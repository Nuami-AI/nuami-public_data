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. 통계\5.통계연보\2025년 통계연보\2025년 통계연보 세부통계 엑셀파일\2025년 통계연보 세부통계 엑셀파일_작업\"/>
    </mc:Choice>
  </mc:AlternateContent>
  <xr:revisionPtr revIDLastSave="0" documentId="13_ncr:1_{C2D7886A-099B-41E6-B216-CCCEBC281A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1" r:id="rId1"/>
  </sheets>
  <definedNames>
    <definedName name="_xlnm._FilterDatabase" localSheetId="0" hidden="1">'2025'!$A$1:$CE$404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D338" i="1"/>
  <c r="D337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D322" i="1"/>
  <c r="D321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D213" i="1"/>
  <c r="D212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D150" i="1"/>
  <c r="D14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D141" i="1"/>
  <c r="D140" i="1"/>
  <c r="E6" i="1"/>
  <c r="E3" i="1" s="1"/>
  <c r="F6" i="1"/>
  <c r="F3" i="1" s="1"/>
  <c r="G6" i="1"/>
  <c r="H6" i="1"/>
  <c r="H3" i="1" s="1"/>
  <c r="I6" i="1"/>
  <c r="J6" i="1"/>
  <c r="K6" i="1"/>
  <c r="L6" i="1"/>
  <c r="M6" i="1"/>
  <c r="N6" i="1"/>
  <c r="O6" i="1"/>
  <c r="P6" i="1"/>
  <c r="Q6" i="1"/>
  <c r="Q3" i="1" s="1"/>
  <c r="R6" i="1"/>
  <c r="R3" i="1" s="1"/>
  <c r="S6" i="1"/>
  <c r="T6" i="1"/>
  <c r="T3" i="1" s="1"/>
  <c r="U6" i="1"/>
  <c r="V6" i="1"/>
  <c r="W6" i="1"/>
  <c r="X6" i="1"/>
  <c r="Y6" i="1"/>
  <c r="Z6" i="1"/>
  <c r="AA6" i="1"/>
  <c r="AB6" i="1"/>
  <c r="AC6" i="1"/>
  <c r="AC3" i="1" s="1"/>
  <c r="AD6" i="1"/>
  <c r="AD3" i="1" s="1"/>
  <c r="AE6" i="1"/>
  <c r="AF6" i="1"/>
  <c r="AF3" i="1" s="1"/>
  <c r="AG6" i="1"/>
  <c r="AH6" i="1"/>
  <c r="AI6" i="1"/>
  <c r="AJ6" i="1"/>
  <c r="AK6" i="1"/>
  <c r="AL6" i="1"/>
  <c r="AM6" i="1"/>
  <c r="AN6" i="1"/>
  <c r="AO6" i="1"/>
  <c r="AO3" i="1" s="1"/>
  <c r="AP6" i="1"/>
  <c r="AP3" i="1" s="1"/>
  <c r="AQ6" i="1"/>
  <c r="AR6" i="1"/>
  <c r="AR3" i="1" s="1"/>
  <c r="AS6" i="1"/>
  <c r="AT6" i="1"/>
  <c r="AU6" i="1"/>
  <c r="AV6" i="1"/>
  <c r="AW6" i="1"/>
  <c r="AX6" i="1"/>
  <c r="AY6" i="1"/>
  <c r="AZ6" i="1"/>
  <c r="BA6" i="1"/>
  <c r="BA3" i="1" s="1"/>
  <c r="BB6" i="1"/>
  <c r="BB3" i="1" s="1"/>
  <c r="BC6" i="1"/>
  <c r="BD6" i="1"/>
  <c r="BD3" i="1" s="1"/>
  <c r="BE6" i="1"/>
  <c r="BF6" i="1"/>
  <c r="BG6" i="1"/>
  <c r="BH6" i="1"/>
  <c r="BI6" i="1"/>
  <c r="BJ6" i="1"/>
  <c r="BK6" i="1"/>
  <c r="BL6" i="1"/>
  <c r="BM6" i="1"/>
  <c r="BM3" i="1" s="1"/>
  <c r="BN6" i="1"/>
  <c r="BN3" i="1" s="1"/>
  <c r="BO6" i="1"/>
  <c r="BP6" i="1"/>
  <c r="BP3" i="1" s="1"/>
  <c r="BQ6" i="1"/>
  <c r="BR6" i="1"/>
  <c r="BS6" i="1"/>
  <c r="BT6" i="1"/>
  <c r="BU6" i="1"/>
  <c r="BV6" i="1"/>
  <c r="BW6" i="1"/>
  <c r="BX6" i="1"/>
  <c r="BY6" i="1"/>
  <c r="BY3" i="1" s="1"/>
  <c r="BZ6" i="1"/>
  <c r="BZ3" i="1" s="1"/>
  <c r="CA6" i="1"/>
  <c r="CB6" i="1"/>
  <c r="CB3" i="1" s="1"/>
  <c r="CC6" i="1"/>
  <c r="CD6" i="1"/>
  <c r="CE6" i="1"/>
  <c r="E7" i="1"/>
  <c r="F7" i="1"/>
  <c r="G7" i="1"/>
  <c r="H7" i="1"/>
  <c r="I7" i="1"/>
  <c r="J7" i="1"/>
  <c r="J4" i="1" s="1"/>
  <c r="K7" i="1"/>
  <c r="K4" i="1" s="1"/>
  <c r="L7" i="1"/>
  <c r="M7" i="1"/>
  <c r="M4" i="1" s="1"/>
  <c r="N7" i="1"/>
  <c r="O7" i="1"/>
  <c r="P7" i="1"/>
  <c r="Q7" i="1"/>
  <c r="R7" i="1"/>
  <c r="S7" i="1"/>
  <c r="T7" i="1"/>
  <c r="U7" i="1"/>
  <c r="V7" i="1"/>
  <c r="V4" i="1" s="1"/>
  <c r="W7" i="1"/>
  <c r="W4" i="1" s="1"/>
  <c r="X7" i="1"/>
  <c r="Y7" i="1"/>
  <c r="Y4" i="1" s="1"/>
  <c r="Z7" i="1"/>
  <c r="AA7" i="1"/>
  <c r="AB7" i="1"/>
  <c r="AC7" i="1"/>
  <c r="AD7" i="1"/>
  <c r="AE7" i="1"/>
  <c r="AF7" i="1"/>
  <c r="AG7" i="1"/>
  <c r="AH7" i="1"/>
  <c r="AH4" i="1" s="1"/>
  <c r="AI7" i="1"/>
  <c r="AI4" i="1" s="1"/>
  <c r="AJ7" i="1"/>
  <c r="AK7" i="1"/>
  <c r="AK4" i="1" s="1"/>
  <c r="AL7" i="1"/>
  <c r="AM7" i="1"/>
  <c r="AN7" i="1"/>
  <c r="AO7" i="1"/>
  <c r="AP7" i="1"/>
  <c r="AQ7" i="1"/>
  <c r="AR7" i="1"/>
  <c r="AS7" i="1"/>
  <c r="AT7" i="1"/>
  <c r="AT4" i="1" s="1"/>
  <c r="AU7" i="1"/>
  <c r="AU4" i="1" s="1"/>
  <c r="AV7" i="1"/>
  <c r="AW7" i="1"/>
  <c r="AW4" i="1" s="1"/>
  <c r="AX7" i="1"/>
  <c r="AY7" i="1"/>
  <c r="AZ7" i="1"/>
  <c r="BA7" i="1"/>
  <c r="BB7" i="1"/>
  <c r="BC7" i="1"/>
  <c r="BD7" i="1"/>
  <c r="BE7" i="1"/>
  <c r="BF7" i="1"/>
  <c r="BF4" i="1" s="1"/>
  <c r="BG7" i="1"/>
  <c r="BG4" i="1" s="1"/>
  <c r="BH7" i="1"/>
  <c r="BI7" i="1"/>
  <c r="BI4" i="1" s="1"/>
  <c r="BJ7" i="1"/>
  <c r="BK7" i="1"/>
  <c r="BL7" i="1"/>
  <c r="BM7" i="1"/>
  <c r="BN7" i="1"/>
  <c r="BO7" i="1"/>
  <c r="BP7" i="1"/>
  <c r="BQ7" i="1"/>
  <c r="BR7" i="1"/>
  <c r="BR4" i="1" s="1"/>
  <c r="BS7" i="1"/>
  <c r="BS4" i="1" s="1"/>
  <c r="BT7" i="1"/>
  <c r="BU7" i="1"/>
  <c r="BU4" i="1" s="1"/>
  <c r="BV7" i="1"/>
  <c r="BW7" i="1"/>
  <c r="BX7" i="1"/>
  <c r="BY7" i="1"/>
  <c r="BZ7" i="1"/>
  <c r="CA7" i="1"/>
  <c r="CB7" i="1"/>
  <c r="CC7" i="1"/>
  <c r="CD7" i="1"/>
  <c r="CD4" i="1" s="1"/>
  <c r="CE7" i="1"/>
  <c r="CE4" i="1" s="1"/>
  <c r="D7" i="1"/>
  <c r="D3" i="1"/>
  <c r="D4" i="1" l="1"/>
  <c r="BT4" i="1"/>
  <c r="BH4" i="1"/>
  <c r="AV4" i="1"/>
  <c r="AJ4" i="1"/>
  <c r="X4" i="1"/>
  <c r="L4" i="1"/>
  <c r="CA3" i="1"/>
  <c r="BO3" i="1"/>
  <c r="BC3" i="1"/>
  <c r="AQ3" i="1"/>
  <c r="AE3" i="1"/>
  <c r="S3" i="1"/>
  <c r="G3" i="1"/>
  <c r="CC4" i="1"/>
  <c r="AG4" i="1"/>
  <c r="U4" i="1"/>
  <c r="AZ3" i="1"/>
  <c r="BE4" i="1"/>
  <c r="BX3" i="1"/>
  <c r="AN3" i="1"/>
  <c r="BQ4" i="1"/>
  <c r="I4" i="1"/>
  <c r="P3" i="1"/>
  <c r="AS4" i="1"/>
  <c r="BL3" i="1"/>
  <c r="AB3" i="1"/>
  <c r="BY4" i="1"/>
  <c r="BM4" i="1"/>
  <c r="BA4" i="1"/>
  <c r="AO4" i="1"/>
  <c r="AC4" i="1"/>
  <c r="Q4" i="1"/>
  <c r="E4" i="1"/>
  <c r="BT3" i="1"/>
  <c r="BH3" i="1"/>
  <c r="AV3" i="1"/>
  <c r="AJ3" i="1"/>
  <c r="X3" i="1"/>
  <c r="L3" i="1"/>
  <c r="CA4" i="1"/>
  <c r="S4" i="1"/>
  <c r="Z3" i="1"/>
  <c r="AQ4" i="1"/>
  <c r="AX3" i="1"/>
  <c r="BZ4" i="1"/>
  <c r="BN4" i="1"/>
  <c r="BB4" i="1"/>
  <c r="AP4" i="1"/>
  <c r="AD4" i="1"/>
  <c r="R4" i="1"/>
  <c r="F4" i="1"/>
  <c r="BU3" i="1"/>
  <c r="BI3" i="1"/>
  <c r="AW3" i="1"/>
  <c r="AK3" i="1"/>
  <c r="Y3" i="1"/>
  <c r="M3" i="1"/>
  <c r="BO4" i="1"/>
  <c r="BV3" i="1"/>
  <c r="BC4" i="1"/>
  <c r="AL3" i="1"/>
  <c r="AE4" i="1"/>
  <c r="BJ3" i="1"/>
  <c r="BW4" i="1"/>
  <c r="BK4" i="1"/>
  <c r="AY4" i="1"/>
  <c r="AM4" i="1"/>
  <c r="AA4" i="1"/>
  <c r="O4" i="1"/>
  <c r="CD3" i="1"/>
  <c r="BR3" i="1"/>
  <c r="BF3" i="1"/>
  <c r="AT3" i="1"/>
  <c r="AH3" i="1"/>
  <c r="V3" i="1"/>
  <c r="J3" i="1"/>
  <c r="G4" i="1"/>
  <c r="N3" i="1"/>
  <c r="BV4" i="1"/>
  <c r="BJ4" i="1"/>
  <c r="AX4" i="1"/>
  <c r="AL4" i="1"/>
  <c r="Z4" i="1"/>
  <c r="N4" i="1"/>
  <c r="CC3" i="1"/>
  <c r="BQ3" i="1"/>
  <c r="BE3" i="1"/>
  <c r="AS3" i="1"/>
  <c r="AG3" i="1"/>
  <c r="U3" i="1"/>
  <c r="I3" i="1"/>
  <c r="CB4" i="1"/>
  <c r="BP4" i="1"/>
  <c r="BD4" i="1"/>
  <c r="AR4" i="1"/>
  <c r="AF4" i="1"/>
  <c r="T4" i="1"/>
  <c r="H4" i="1"/>
  <c r="BW3" i="1"/>
  <c r="BK3" i="1"/>
  <c r="AY3" i="1"/>
  <c r="AM3" i="1"/>
  <c r="AA3" i="1"/>
  <c r="O3" i="1"/>
  <c r="BX4" i="1"/>
  <c r="BL4" i="1"/>
  <c r="AZ4" i="1"/>
  <c r="AN4" i="1"/>
  <c r="AB4" i="1"/>
  <c r="P4" i="1"/>
  <c r="CE3" i="1"/>
  <c r="BS3" i="1"/>
  <c r="BG3" i="1"/>
  <c r="AU3" i="1"/>
  <c r="AI3" i="1"/>
  <c r="W3" i="1"/>
  <c r="K3" i="1"/>
</calcChain>
</file>

<file path=xl/sharedStrings.xml><?xml version="1.0" encoding="utf-8"?>
<sst xmlns="http://schemas.openxmlformats.org/spreadsheetml/2006/main" count="881" uniqueCount="237">
  <si>
    <t>대륙</t>
  </si>
  <si>
    <t>성별</t>
  </si>
  <si>
    <t>총합계</t>
  </si>
  <si>
    <t>A2-02(국제기구)</t>
  </si>
  <si>
    <t>C3-01(단기일반)</t>
  </si>
  <si>
    <t>C3-03(의료관광)</t>
  </si>
  <si>
    <t>D1-00(문화예술)</t>
  </si>
  <si>
    <t>D2-01(전문학사)</t>
  </si>
  <si>
    <t>D2-02(학사유학)</t>
  </si>
  <si>
    <t>D2-03(석사유학)</t>
  </si>
  <si>
    <t>D2-04(박사유학)</t>
  </si>
  <si>
    <t>D2-05(연구유학)</t>
  </si>
  <si>
    <t>D2-06(교환학생)</t>
  </si>
  <si>
    <t>D3-11(해외직접)</t>
  </si>
  <si>
    <t>D4-01(대학부설어학원연수)</t>
  </si>
  <si>
    <t>D4-02(기타기관연수)</t>
  </si>
  <si>
    <t>D4-03(초중고생)</t>
  </si>
  <si>
    <t>D4-06(사설기관연수)</t>
  </si>
  <si>
    <t>D4-07(외국어연수)</t>
  </si>
  <si>
    <t>D5-00(취재)</t>
  </si>
  <si>
    <t>D6-00(종교)</t>
  </si>
  <si>
    <t>D7-01(외국기업)</t>
  </si>
  <si>
    <t>D7-02(내국기업)</t>
  </si>
  <si>
    <t>D8-01(법인에 투자)</t>
  </si>
  <si>
    <t>D8-03(개인기업투자)</t>
  </si>
  <si>
    <t>D9-01(무역고유거래)</t>
  </si>
  <si>
    <t>D9-02(수출설비)</t>
  </si>
  <si>
    <t>D9-03(선박설비)</t>
  </si>
  <si>
    <t>D10-03(첨단기술인턴)</t>
  </si>
  <si>
    <t>E1-00(교수)</t>
  </si>
  <si>
    <t>E2-01(일반회화강사)</t>
  </si>
  <si>
    <t>E2-02(학교보조교사)</t>
  </si>
  <si>
    <t>E3-00(연구)</t>
  </si>
  <si>
    <t>E4-00(기술지도)</t>
  </si>
  <si>
    <t>E6-01(예술연예)</t>
  </si>
  <si>
    <t>E6-02(호텔유흥)</t>
  </si>
  <si>
    <t>E6-03(운    동)</t>
  </si>
  <si>
    <t>E7-01(전문인력)</t>
  </si>
  <si>
    <t>E7-02(준전문인력)</t>
  </si>
  <si>
    <t>E7-03(일반기능인력)</t>
  </si>
  <si>
    <t>E7-S1(네거티브고소득자)</t>
  </si>
  <si>
    <t>E7-S2(네거티브첨단분야종사자점수제)</t>
  </si>
  <si>
    <t>E8-01(농업장기)</t>
  </si>
  <si>
    <t>E8-02(농업장기)</t>
  </si>
  <si>
    <t>E8-03(어업장기)</t>
  </si>
  <si>
    <t>E8-04(어업장기)</t>
  </si>
  <si>
    <t>E8-05(농업장기)</t>
  </si>
  <si>
    <t>E8-06(어업장기)</t>
  </si>
  <si>
    <t>E8-07(농업장기)</t>
  </si>
  <si>
    <t>E8-99(계절근로보조인력)</t>
  </si>
  <si>
    <t>E9-01(제 조 업)</t>
  </si>
  <si>
    <t>E9-02(건 설 업)</t>
  </si>
  <si>
    <t>E9-03(농  업)</t>
  </si>
  <si>
    <t>E9-04(어    업)</t>
  </si>
  <si>
    <t>E9-05(서비스업)</t>
  </si>
  <si>
    <t>E9-09(임업)</t>
  </si>
  <si>
    <t>E9-10(광업)</t>
  </si>
  <si>
    <t>E10-01(내항선원)</t>
  </si>
  <si>
    <t>E10-02(어 선 원)</t>
  </si>
  <si>
    <t>E10-03(순항선원)</t>
  </si>
  <si>
    <t>F1-15(우수인재 등의 부모)</t>
  </si>
  <si>
    <t>F1-21(외교가사보조)</t>
  </si>
  <si>
    <t>F1-22(고액가사보조)</t>
  </si>
  <si>
    <t>F1-24(전문가사보조)</t>
  </si>
  <si>
    <t>F2-07(점수우수인력)</t>
  </si>
  <si>
    <t>F2-71(점수가족)</t>
  </si>
  <si>
    <t>F2-99(기타장기)</t>
  </si>
  <si>
    <t>F3-01(동반)</t>
  </si>
  <si>
    <t>F3-02(문화예술)</t>
  </si>
  <si>
    <t>F3-04(일반연수)</t>
  </si>
  <si>
    <t>F3-05(취재)</t>
  </si>
  <si>
    <t>F3-06(종교)</t>
  </si>
  <si>
    <t>F3-07(주재)</t>
  </si>
  <si>
    <t>F3-08(기업투자)</t>
  </si>
  <si>
    <t>F3-09(무역경영)</t>
  </si>
  <si>
    <t>F3-11(교수)</t>
  </si>
  <si>
    <t>F3-12(회화지도)</t>
  </si>
  <si>
    <t>F3-13(연구)</t>
  </si>
  <si>
    <t>F3-14(기술지도)</t>
  </si>
  <si>
    <t>F3-16(예술흥행)</t>
  </si>
  <si>
    <t>F3-17(특정활동)</t>
  </si>
  <si>
    <t>F3-18(거주가족)</t>
  </si>
  <si>
    <t>총계</t>
  </si>
  <si>
    <t>아시아주</t>
  </si>
  <si>
    <t>베트남</t>
  </si>
  <si>
    <t>남성</t>
  </si>
  <si>
    <t>여성</t>
  </si>
  <si>
    <t>라오스</t>
  </si>
  <si>
    <t>필리핀</t>
  </si>
  <si>
    <t>캄보디아</t>
  </si>
  <si>
    <t>네팔</t>
  </si>
  <si>
    <t>인도네시아</t>
  </si>
  <si>
    <t>타이</t>
  </si>
  <si>
    <t>미얀마</t>
  </si>
  <si>
    <t>중국</t>
  </si>
  <si>
    <t>몽골</t>
  </si>
  <si>
    <t>스리랑카</t>
  </si>
  <si>
    <t>우즈베키스탄</t>
  </si>
  <si>
    <t>방글라데시</t>
  </si>
  <si>
    <t>인도</t>
  </si>
  <si>
    <t>일본</t>
  </si>
  <si>
    <t>티모르민주공화국</t>
  </si>
  <si>
    <t>파키스탄</t>
  </si>
  <si>
    <t>키르기즈</t>
  </si>
  <si>
    <t>타이완</t>
  </si>
  <si>
    <t>말레이시아</t>
  </si>
  <si>
    <t>사우디아라비아</t>
  </si>
  <si>
    <t>싱가포르</t>
  </si>
  <si>
    <t>카자흐스탄</t>
  </si>
  <si>
    <t>이란</t>
  </si>
  <si>
    <t>튀르키예</t>
  </si>
  <si>
    <t>홍콩</t>
  </si>
  <si>
    <t>타지키스탄</t>
  </si>
  <si>
    <t>이스라엘</t>
  </si>
  <si>
    <t>이라크</t>
  </si>
  <si>
    <t>마카오</t>
  </si>
  <si>
    <t>카타르</t>
  </si>
  <si>
    <t>바레인</t>
  </si>
  <si>
    <t>투르크메니스탄</t>
  </si>
  <si>
    <t>오만</t>
  </si>
  <si>
    <t>한국계중국인</t>
  </si>
  <si>
    <t>요르단</t>
  </si>
  <si>
    <t>아프가니스탄</t>
  </si>
  <si>
    <t>아랍에미리트연합</t>
  </si>
  <si>
    <t>브루나이</t>
  </si>
  <si>
    <t>부탄</t>
  </si>
  <si>
    <t>팔레스타인</t>
  </si>
  <si>
    <t>키프로스</t>
  </si>
  <si>
    <t>쿠웨이트</t>
  </si>
  <si>
    <t>예멘인민민주공화국</t>
  </si>
  <si>
    <t>예멘공화국</t>
  </si>
  <si>
    <t>시리아</t>
  </si>
  <si>
    <t>레바논</t>
  </si>
  <si>
    <t>북아메리카주</t>
  </si>
  <si>
    <t>미국</t>
  </si>
  <si>
    <t>캐나다</t>
  </si>
  <si>
    <t>남아메리카주</t>
  </si>
  <si>
    <t>브라질</t>
  </si>
  <si>
    <t>콜롬비아</t>
  </si>
  <si>
    <t>멕시코</t>
  </si>
  <si>
    <t>쿠바</t>
  </si>
  <si>
    <t>아르헨티나</t>
  </si>
  <si>
    <t>에콰도르</t>
  </si>
  <si>
    <t>칠레</t>
  </si>
  <si>
    <t>베네수엘라</t>
  </si>
  <si>
    <t>페루</t>
  </si>
  <si>
    <t>도미니카연방</t>
  </si>
  <si>
    <t>도미니카공화국</t>
  </si>
  <si>
    <t>파나마</t>
  </si>
  <si>
    <t>온두라스</t>
  </si>
  <si>
    <t>트리니다드토바고</t>
  </si>
  <si>
    <t>코스타리카</t>
  </si>
  <si>
    <t>자메이카</t>
  </si>
  <si>
    <t>엘살바도르</t>
  </si>
  <si>
    <t>아이티</t>
  </si>
  <si>
    <t>볼리비아</t>
  </si>
  <si>
    <t>파라과이</t>
  </si>
  <si>
    <t>우루과이</t>
  </si>
  <si>
    <t>과테말라</t>
  </si>
  <si>
    <t>유럽주</t>
  </si>
  <si>
    <t>영국</t>
  </si>
  <si>
    <t>프랑스</t>
  </si>
  <si>
    <t>러시아(연방)</t>
  </si>
  <si>
    <t>이탈리아</t>
  </si>
  <si>
    <t>독일</t>
  </si>
  <si>
    <t>우크라이나</t>
  </si>
  <si>
    <t>스페인</t>
  </si>
  <si>
    <t>아일랜드</t>
  </si>
  <si>
    <t>네덜란드</t>
  </si>
  <si>
    <t>폴란드</t>
  </si>
  <si>
    <t>벨라루스</t>
  </si>
  <si>
    <t>스웨덴</t>
  </si>
  <si>
    <t>그리스</t>
  </si>
  <si>
    <t>오스트리아</t>
  </si>
  <si>
    <t>덴마크</t>
  </si>
  <si>
    <t>포르투갈</t>
  </si>
  <si>
    <t>루마니아</t>
  </si>
  <si>
    <t>스위스</t>
  </si>
  <si>
    <t>벨기에</t>
  </si>
  <si>
    <t>노르웨이</t>
  </si>
  <si>
    <t>헝가리</t>
  </si>
  <si>
    <t>크로아티아</t>
  </si>
  <si>
    <t>라트비아</t>
  </si>
  <si>
    <t>핀란드</t>
  </si>
  <si>
    <t>체코</t>
  </si>
  <si>
    <t>리투아니아</t>
  </si>
  <si>
    <t>조지아</t>
  </si>
  <si>
    <t>불가리아</t>
  </si>
  <si>
    <t>아제르바이잔</t>
  </si>
  <si>
    <t>슬로바크</t>
  </si>
  <si>
    <t>에스토니아</t>
  </si>
  <si>
    <t>몰도바</t>
  </si>
  <si>
    <t>영국속국민</t>
  </si>
  <si>
    <t>영국외지민</t>
  </si>
  <si>
    <t>아르메니아</t>
  </si>
  <si>
    <t>슬로베니아</t>
  </si>
  <si>
    <t>몬테네그로</t>
  </si>
  <si>
    <t>오세아니아주</t>
  </si>
  <si>
    <t>오스트레일리아</t>
  </si>
  <si>
    <t>뉴질랜드</t>
  </si>
  <si>
    <t>바누아투</t>
  </si>
  <si>
    <t>통가</t>
  </si>
  <si>
    <t>키리바시</t>
  </si>
  <si>
    <t>아프리카주</t>
  </si>
  <si>
    <t>남아프리카공화국</t>
  </si>
  <si>
    <t>에티오피아</t>
  </si>
  <si>
    <t>나이지리아</t>
  </si>
  <si>
    <t>이집트</t>
  </si>
  <si>
    <t>우간다</t>
  </si>
  <si>
    <t>가나</t>
  </si>
  <si>
    <t>탄자니아</t>
  </si>
  <si>
    <t>케냐</t>
  </si>
  <si>
    <t>모로코</t>
  </si>
  <si>
    <t>튀니지</t>
  </si>
  <si>
    <t>코트디부아르</t>
  </si>
  <si>
    <t>카메룬</t>
  </si>
  <si>
    <t>알제리</t>
  </si>
  <si>
    <t>세네갈</t>
  </si>
  <si>
    <t>레소토</t>
  </si>
  <si>
    <t>라이베리아</t>
  </si>
  <si>
    <t>에스와티니</t>
  </si>
  <si>
    <t>짐바브웨</t>
  </si>
  <si>
    <t>르완다</t>
  </si>
  <si>
    <t>콩고</t>
  </si>
  <si>
    <t>코모로</t>
  </si>
  <si>
    <t>잠비아</t>
  </si>
  <si>
    <t>베냉</t>
  </si>
  <si>
    <t>모잠비크</t>
  </si>
  <si>
    <t>모리셔스</t>
  </si>
  <si>
    <t>가봉</t>
  </si>
  <si>
    <t>국적</t>
    <phoneticPr fontId="18" type="noConversion"/>
  </si>
  <si>
    <t>아시아주 총계</t>
    <phoneticPr fontId="18" type="noConversion"/>
  </si>
  <si>
    <t>북아메리카주 총계</t>
    <phoneticPr fontId="18" type="noConversion"/>
  </si>
  <si>
    <t>남아메리카주 총계</t>
    <phoneticPr fontId="18" type="noConversion"/>
  </si>
  <si>
    <t>유럽주 총계</t>
    <phoneticPr fontId="18" type="noConversion"/>
  </si>
  <si>
    <t>오세아니아주 총계</t>
    <phoneticPr fontId="18" type="noConversion"/>
  </si>
  <si>
    <t>아프리카주 총계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</si>
</sst>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04"/>
  <sheetViews>
    <sheetView tabSelected="1" topLeftCell="A213" zoomScale="85" zoomScaleNormal="85" workbookViewId="0">
      <selection activeCell="D213" sqref="D213"/>
    </sheetView>
  </sheetViews>
  <sheetFormatPr defaultRowHeight="16.5" x14ac:dyDescent="0.3"/>
  <cols>
    <col min="1" max="1" width="13" bestFit="1" customWidth="1"/>
    <col min="2" max="2" width="19.25" bestFit="1" customWidth="1"/>
    <col min="3" max="3" width="9" style="2"/>
    <col min="4" max="4" width="11.625" customWidth="1"/>
    <col min="5" max="7" width="15.875" bestFit="1" customWidth="1"/>
    <col min="8" max="15" width="16" bestFit="1" customWidth="1"/>
    <col min="16" max="16" width="26.375" bestFit="1" customWidth="1"/>
    <col min="17" max="17" width="20.125" bestFit="1" customWidth="1"/>
    <col min="18" max="18" width="16" bestFit="1" customWidth="1"/>
    <col min="19" max="19" width="20.125" bestFit="1" customWidth="1"/>
    <col min="20" max="20" width="18" bestFit="1" customWidth="1"/>
    <col min="21" max="22" width="11.75" bestFit="1" customWidth="1"/>
    <col min="23" max="24" width="16" bestFit="1" customWidth="1"/>
    <col min="25" max="25" width="18.75" bestFit="1" customWidth="1"/>
    <col min="26" max="27" width="20.125" bestFit="1" customWidth="1"/>
    <col min="28" max="29" width="16" bestFit="1" customWidth="1"/>
    <col min="30" max="30" width="21.25" bestFit="1" customWidth="1"/>
    <col min="31" max="31" width="11.375" bestFit="1" customWidth="1"/>
    <col min="32" max="33" width="19.75" bestFit="1" customWidth="1"/>
    <col min="34" max="34" width="11.375" bestFit="1" customWidth="1"/>
    <col min="35" max="37" width="15.5" bestFit="1" customWidth="1"/>
    <col min="38" max="38" width="14.125" bestFit="1" customWidth="1"/>
    <col min="39" max="39" width="15.5" bestFit="1" customWidth="1"/>
    <col min="40" max="40" width="17.625" bestFit="1" customWidth="1"/>
    <col min="41" max="41" width="19.75" bestFit="1" customWidth="1"/>
    <col min="42" max="42" width="23.875" bestFit="1" customWidth="1"/>
    <col min="43" max="43" width="36.375" bestFit="1" customWidth="1"/>
    <col min="44" max="50" width="15.5" bestFit="1" customWidth="1"/>
    <col min="51" max="51" width="23.875" bestFit="1" customWidth="1"/>
    <col min="52" max="53" width="14.875" bestFit="1" customWidth="1"/>
    <col min="54" max="54" width="12.75" bestFit="1" customWidth="1"/>
    <col min="55" max="55" width="14.125" bestFit="1" customWidth="1"/>
    <col min="56" max="56" width="15.5" bestFit="1" customWidth="1"/>
    <col min="57" max="58" width="11.375" bestFit="1" customWidth="1"/>
    <col min="59" max="59" width="16.625" bestFit="1" customWidth="1"/>
    <col min="60" max="60" width="16" bestFit="1" customWidth="1"/>
    <col min="61" max="61" width="16.625" bestFit="1" customWidth="1"/>
    <col min="62" max="62" width="25.125" bestFit="1" customWidth="1"/>
    <col min="63" max="66" width="19.5" bestFit="1" customWidth="1"/>
    <col min="67" max="68" width="15.375" bestFit="1" customWidth="1"/>
    <col min="69" max="69" width="11.25" bestFit="1" customWidth="1"/>
    <col min="70" max="71" width="15.375" bestFit="1" customWidth="1"/>
    <col min="72" max="74" width="11.25" bestFit="1" customWidth="1"/>
    <col min="75" max="76" width="15.375" bestFit="1" customWidth="1"/>
    <col min="77" max="77" width="11.25" bestFit="1" customWidth="1"/>
    <col min="78" max="78" width="15.375" bestFit="1" customWidth="1"/>
    <col min="79" max="79" width="11.25" bestFit="1" customWidth="1"/>
    <col min="80" max="83" width="15.375" bestFit="1" customWidth="1"/>
  </cols>
  <sheetData>
    <row r="1" spans="1:83" s="3" customFormat="1" x14ac:dyDescent="0.3">
      <c r="A1" s="3" t="s">
        <v>0</v>
      </c>
      <c r="B1" s="3" t="s">
        <v>230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</row>
    <row r="2" spans="1:83" x14ac:dyDescent="0.3">
      <c r="A2" s="4" t="s">
        <v>2</v>
      </c>
      <c r="B2" s="4"/>
      <c r="C2" s="2" t="s">
        <v>82</v>
      </c>
      <c r="D2" s="1">
        <v>200437</v>
      </c>
      <c r="E2">
        <v>46</v>
      </c>
      <c r="F2">
        <v>25</v>
      </c>
      <c r="G2">
        <v>866</v>
      </c>
      <c r="H2">
        <v>78</v>
      </c>
      <c r="I2">
        <v>251</v>
      </c>
      <c r="J2">
        <v>631</v>
      </c>
      <c r="K2">
        <v>56</v>
      </c>
      <c r="L2">
        <v>35</v>
      </c>
      <c r="M2">
        <v>5</v>
      </c>
      <c r="N2">
        <v>89</v>
      </c>
      <c r="O2">
        <v>417</v>
      </c>
      <c r="P2" s="1">
        <v>14186</v>
      </c>
      <c r="Q2" s="1">
        <v>1230</v>
      </c>
      <c r="R2">
        <v>86</v>
      </c>
      <c r="S2">
        <v>16</v>
      </c>
      <c r="T2">
        <v>826</v>
      </c>
      <c r="U2">
        <v>18</v>
      </c>
      <c r="V2">
        <v>611</v>
      </c>
      <c r="W2">
        <v>350</v>
      </c>
      <c r="X2">
        <v>162</v>
      </c>
      <c r="Y2">
        <v>849</v>
      </c>
      <c r="Z2">
        <v>3</v>
      </c>
      <c r="AA2">
        <v>2</v>
      </c>
      <c r="AB2">
        <v>407</v>
      </c>
      <c r="AC2">
        <v>469</v>
      </c>
      <c r="AD2">
        <v>17</v>
      </c>
      <c r="AE2">
        <v>198</v>
      </c>
      <c r="AF2" s="1">
        <v>2851</v>
      </c>
      <c r="AG2">
        <v>3</v>
      </c>
      <c r="AH2">
        <v>860</v>
      </c>
      <c r="AI2">
        <v>16</v>
      </c>
      <c r="AJ2" s="1">
        <v>1385</v>
      </c>
      <c r="AK2" s="1">
        <v>1022</v>
      </c>
      <c r="AL2">
        <v>212</v>
      </c>
      <c r="AM2" s="1">
        <v>2283</v>
      </c>
      <c r="AN2" s="1">
        <v>2551</v>
      </c>
      <c r="AO2" s="1">
        <v>3650</v>
      </c>
      <c r="AP2">
        <v>52</v>
      </c>
      <c r="AQ2">
        <v>11</v>
      </c>
      <c r="AR2" s="1">
        <v>36956</v>
      </c>
      <c r="AS2" s="1">
        <v>51022</v>
      </c>
      <c r="AT2" s="1">
        <v>4694</v>
      </c>
      <c r="AU2" s="1">
        <v>4122</v>
      </c>
      <c r="AV2">
        <v>27</v>
      </c>
      <c r="AW2">
        <v>1</v>
      </c>
      <c r="AX2">
        <v>1</v>
      </c>
      <c r="AY2">
        <v>22</v>
      </c>
      <c r="AZ2" s="1">
        <v>44989</v>
      </c>
      <c r="BA2" s="1">
        <v>1094</v>
      </c>
      <c r="BB2" s="1">
        <v>8840</v>
      </c>
      <c r="BC2" s="1">
        <v>6118</v>
      </c>
      <c r="BD2">
        <v>499</v>
      </c>
      <c r="BE2">
        <v>85</v>
      </c>
      <c r="BF2">
        <v>7</v>
      </c>
      <c r="BG2">
        <v>939</v>
      </c>
      <c r="BH2" s="1">
        <v>2035</v>
      </c>
      <c r="BI2">
        <v>32</v>
      </c>
      <c r="BJ2">
        <v>377</v>
      </c>
      <c r="BK2">
        <v>71</v>
      </c>
      <c r="BL2">
        <v>20</v>
      </c>
      <c r="BM2">
        <v>34</v>
      </c>
      <c r="BN2">
        <v>3</v>
      </c>
      <c r="BO2">
        <v>130</v>
      </c>
      <c r="BP2">
        <v>14</v>
      </c>
      <c r="BQ2">
        <v>127</v>
      </c>
      <c r="BR2">
        <v>10</v>
      </c>
      <c r="BS2">
        <v>6</v>
      </c>
      <c r="BT2">
        <v>10</v>
      </c>
      <c r="BU2">
        <v>25</v>
      </c>
      <c r="BV2">
        <v>102</v>
      </c>
      <c r="BW2">
        <v>242</v>
      </c>
      <c r="BX2">
        <v>140</v>
      </c>
      <c r="BY2">
        <v>50</v>
      </c>
      <c r="BZ2">
        <v>27</v>
      </c>
      <c r="CA2">
        <v>87</v>
      </c>
      <c r="CB2">
        <v>6</v>
      </c>
      <c r="CC2">
        <v>65</v>
      </c>
      <c r="CD2">
        <v>396</v>
      </c>
      <c r="CE2">
        <v>187</v>
      </c>
    </row>
    <row r="3" spans="1:83" x14ac:dyDescent="0.3">
      <c r="A3" s="4"/>
      <c r="B3" s="4"/>
      <c r="C3" s="2" t="s">
        <v>85</v>
      </c>
      <c r="D3" s="1">
        <f>D6+D140+D149+D212+D321+D337</f>
        <v>140601</v>
      </c>
      <c r="E3" s="1">
        <f t="shared" ref="E3:BP3" si="0">E6+E140+E149+E212+E321+E337</f>
        <v>22</v>
      </c>
      <c r="F3" s="1">
        <f t="shared" si="0"/>
        <v>17</v>
      </c>
      <c r="G3" s="1">
        <f t="shared" si="0"/>
        <v>305</v>
      </c>
      <c r="H3" s="1">
        <f t="shared" si="0"/>
        <v>43</v>
      </c>
      <c r="I3" s="1">
        <f t="shared" si="0"/>
        <v>196</v>
      </c>
      <c r="J3" s="1">
        <f t="shared" si="0"/>
        <v>381</v>
      </c>
      <c r="K3" s="1">
        <f t="shared" si="0"/>
        <v>28</v>
      </c>
      <c r="L3" s="1">
        <f t="shared" si="0"/>
        <v>12</v>
      </c>
      <c r="M3" s="1">
        <f t="shared" si="0"/>
        <v>3</v>
      </c>
      <c r="N3" s="1">
        <f t="shared" si="0"/>
        <v>21</v>
      </c>
      <c r="O3" s="1">
        <f t="shared" si="0"/>
        <v>279</v>
      </c>
      <c r="P3" s="1">
        <f t="shared" si="0"/>
        <v>7898</v>
      </c>
      <c r="Q3" s="1">
        <f t="shared" si="0"/>
        <v>658</v>
      </c>
      <c r="R3" s="1">
        <f t="shared" si="0"/>
        <v>25</v>
      </c>
      <c r="S3" s="1">
        <f t="shared" si="0"/>
        <v>13</v>
      </c>
      <c r="T3" s="1">
        <f t="shared" si="0"/>
        <v>584</v>
      </c>
      <c r="U3" s="1">
        <f t="shared" si="0"/>
        <v>12</v>
      </c>
      <c r="V3" s="1">
        <f t="shared" si="0"/>
        <v>303</v>
      </c>
      <c r="W3" s="1">
        <f t="shared" si="0"/>
        <v>278</v>
      </c>
      <c r="X3" s="1">
        <f t="shared" si="0"/>
        <v>123</v>
      </c>
      <c r="Y3" s="1">
        <f t="shared" si="0"/>
        <v>698</v>
      </c>
      <c r="Z3" s="1">
        <f t="shared" si="0"/>
        <v>3</v>
      </c>
      <c r="AA3" s="1">
        <f t="shared" si="0"/>
        <v>2</v>
      </c>
      <c r="AB3" s="1">
        <f t="shared" si="0"/>
        <v>400</v>
      </c>
      <c r="AC3" s="1">
        <f t="shared" si="0"/>
        <v>443</v>
      </c>
      <c r="AD3" s="1">
        <f t="shared" si="0"/>
        <v>10</v>
      </c>
      <c r="AE3" s="1">
        <f t="shared" si="0"/>
        <v>151</v>
      </c>
      <c r="AF3" s="1">
        <f t="shared" si="0"/>
        <v>809</v>
      </c>
      <c r="AG3" s="1">
        <f t="shared" si="0"/>
        <v>1</v>
      </c>
      <c r="AH3" s="1">
        <f t="shared" si="0"/>
        <v>673</v>
      </c>
      <c r="AI3" s="1">
        <f t="shared" si="0"/>
        <v>16</v>
      </c>
      <c r="AJ3" s="1">
        <f t="shared" si="0"/>
        <v>780</v>
      </c>
      <c r="AK3" s="1">
        <f t="shared" si="0"/>
        <v>216</v>
      </c>
      <c r="AL3" s="1">
        <f t="shared" si="0"/>
        <v>172</v>
      </c>
      <c r="AM3" s="1">
        <f t="shared" si="0"/>
        <v>1696</v>
      </c>
      <c r="AN3" s="1">
        <f t="shared" si="0"/>
        <v>1655</v>
      </c>
      <c r="AO3" s="1">
        <f t="shared" si="0"/>
        <v>3612</v>
      </c>
      <c r="AP3" s="1">
        <f t="shared" si="0"/>
        <v>44</v>
      </c>
      <c r="AQ3" s="1">
        <f t="shared" si="0"/>
        <v>11</v>
      </c>
      <c r="AR3" s="1">
        <f t="shared" si="0"/>
        <v>22752</v>
      </c>
      <c r="AS3" s="1">
        <f t="shared" si="0"/>
        <v>29815</v>
      </c>
      <c r="AT3" s="1">
        <f t="shared" si="0"/>
        <v>3674</v>
      </c>
      <c r="AU3" s="1">
        <f t="shared" si="0"/>
        <v>2770</v>
      </c>
      <c r="AV3" s="1">
        <f t="shared" si="0"/>
        <v>11</v>
      </c>
      <c r="AW3" s="1">
        <f t="shared" si="0"/>
        <v>1</v>
      </c>
      <c r="AX3" s="1">
        <f t="shared" si="0"/>
        <v>0</v>
      </c>
      <c r="AY3" s="1">
        <f t="shared" si="0"/>
        <v>10</v>
      </c>
      <c r="AZ3" s="1">
        <f t="shared" si="0"/>
        <v>41402</v>
      </c>
      <c r="BA3" s="1">
        <f t="shared" si="0"/>
        <v>1094</v>
      </c>
      <c r="BB3" s="1">
        <f t="shared" si="0"/>
        <v>6297</v>
      </c>
      <c r="BC3" s="1">
        <f t="shared" si="0"/>
        <v>6084</v>
      </c>
      <c r="BD3" s="1">
        <f t="shared" si="0"/>
        <v>372</v>
      </c>
      <c r="BE3" s="1">
        <f t="shared" si="0"/>
        <v>85</v>
      </c>
      <c r="BF3" s="1">
        <f t="shared" si="0"/>
        <v>7</v>
      </c>
      <c r="BG3" s="1">
        <f t="shared" si="0"/>
        <v>938</v>
      </c>
      <c r="BH3" s="1">
        <f t="shared" si="0"/>
        <v>2035</v>
      </c>
      <c r="BI3" s="1">
        <f t="shared" si="0"/>
        <v>21</v>
      </c>
      <c r="BJ3" s="1">
        <f t="shared" si="0"/>
        <v>91</v>
      </c>
      <c r="BK3" s="1">
        <f t="shared" si="0"/>
        <v>9</v>
      </c>
      <c r="BL3" s="1">
        <f t="shared" si="0"/>
        <v>1</v>
      </c>
      <c r="BM3" s="1">
        <f t="shared" si="0"/>
        <v>0</v>
      </c>
      <c r="BN3" s="1">
        <f t="shared" si="0"/>
        <v>3</v>
      </c>
      <c r="BO3" s="1">
        <f t="shared" si="0"/>
        <v>46</v>
      </c>
      <c r="BP3" s="1">
        <f t="shared" si="0"/>
        <v>5</v>
      </c>
      <c r="BQ3" s="1">
        <f t="shared" ref="BQ3:CE3" si="1">BQ6+BQ140+BQ149+BQ212+BQ321+BQ337</f>
        <v>37</v>
      </c>
      <c r="BR3" s="1">
        <f t="shared" si="1"/>
        <v>5</v>
      </c>
      <c r="BS3" s="1">
        <f t="shared" si="1"/>
        <v>3</v>
      </c>
      <c r="BT3" s="1">
        <f t="shared" si="1"/>
        <v>3</v>
      </c>
      <c r="BU3" s="1">
        <f t="shared" si="1"/>
        <v>6</v>
      </c>
      <c r="BV3" s="1">
        <f t="shared" si="1"/>
        <v>32</v>
      </c>
      <c r="BW3" s="1">
        <f t="shared" si="1"/>
        <v>90</v>
      </c>
      <c r="BX3" s="1">
        <f t="shared" si="1"/>
        <v>31</v>
      </c>
      <c r="BY3" s="1">
        <f t="shared" si="1"/>
        <v>17</v>
      </c>
      <c r="BZ3" s="1">
        <f t="shared" si="1"/>
        <v>16</v>
      </c>
      <c r="CA3" s="1">
        <f t="shared" si="1"/>
        <v>27</v>
      </c>
      <c r="CB3" s="1">
        <f t="shared" si="1"/>
        <v>2</v>
      </c>
      <c r="CC3" s="1">
        <f t="shared" si="1"/>
        <v>27</v>
      </c>
      <c r="CD3" s="1">
        <f t="shared" si="1"/>
        <v>123</v>
      </c>
      <c r="CE3" s="1">
        <f t="shared" si="1"/>
        <v>66</v>
      </c>
    </row>
    <row r="4" spans="1:83" x14ac:dyDescent="0.3">
      <c r="A4" s="4"/>
      <c r="B4" s="4"/>
      <c r="C4" s="2" t="s">
        <v>86</v>
      </c>
      <c r="D4" s="1">
        <f>D7+D141+D150+D213+D322+D338</f>
        <v>59836</v>
      </c>
      <c r="E4" s="1">
        <f t="shared" ref="E4:BP4" si="2">E7+E141+E150+E213+E322+E338</f>
        <v>24</v>
      </c>
      <c r="F4" s="1">
        <f t="shared" si="2"/>
        <v>8</v>
      </c>
      <c r="G4" s="1">
        <f t="shared" si="2"/>
        <v>561</v>
      </c>
      <c r="H4" s="1">
        <f t="shared" si="2"/>
        <v>35</v>
      </c>
      <c r="I4" s="1">
        <f t="shared" si="2"/>
        <v>55</v>
      </c>
      <c r="J4" s="1">
        <f t="shared" si="2"/>
        <v>250</v>
      </c>
      <c r="K4" s="1">
        <f t="shared" si="2"/>
        <v>28</v>
      </c>
      <c r="L4" s="1">
        <f t="shared" si="2"/>
        <v>23</v>
      </c>
      <c r="M4" s="1">
        <f t="shared" si="2"/>
        <v>2</v>
      </c>
      <c r="N4" s="1">
        <f t="shared" si="2"/>
        <v>68</v>
      </c>
      <c r="O4" s="1">
        <f t="shared" si="2"/>
        <v>138</v>
      </c>
      <c r="P4" s="1">
        <f t="shared" si="2"/>
        <v>6288</v>
      </c>
      <c r="Q4" s="1">
        <f t="shared" si="2"/>
        <v>572</v>
      </c>
      <c r="R4" s="1">
        <f t="shared" si="2"/>
        <v>61</v>
      </c>
      <c r="S4" s="1">
        <f t="shared" si="2"/>
        <v>3</v>
      </c>
      <c r="T4" s="1">
        <f t="shared" si="2"/>
        <v>242</v>
      </c>
      <c r="U4" s="1">
        <f t="shared" si="2"/>
        <v>6</v>
      </c>
      <c r="V4" s="1">
        <f t="shared" si="2"/>
        <v>308</v>
      </c>
      <c r="W4" s="1">
        <f t="shared" si="2"/>
        <v>72</v>
      </c>
      <c r="X4" s="1">
        <f t="shared" si="2"/>
        <v>39</v>
      </c>
      <c r="Y4" s="1">
        <f t="shared" si="2"/>
        <v>151</v>
      </c>
      <c r="Z4" s="1">
        <f t="shared" si="2"/>
        <v>0</v>
      </c>
      <c r="AA4" s="1">
        <f t="shared" si="2"/>
        <v>0</v>
      </c>
      <c r="AB4" s="1">
        <f t="shared" si="2"/>
        <v>7</v>
      </c>
      <c r="AC4" s="1">
        <f t="shared" si="2"/>
        <v>26</v>
      </c>
      <c r="AD4" s="1">
        <f t="shared" si="2"/>
        <v>7</v>
      </c>
      <c r="AE4" s="1">
        <f t="shared" si="2"/>
        <v>47</v>
      </c>
      <c r="AF4" s="1">
        <f t="shared" si="2"/>
        <v>2042</v>
      </c>
      <c r="AG4" s="1">
        <f t="shared" si="2"/>
        <v>2</v>
      </c>
      <c r="AH4" s="1">
        <f t="shared" si="2"/>
        <v>187</v>
      </c>
      <c r="AI4" s="1">
        <f t="shared" si="2"/>
        <v>0</v>
      </c>
      <c r="AJ4" s="1">
        <f t="shared" si="2"/>
        <v>605</v>
      </c>
      <c r="AK4" s="1">
        <f t="shared" si="2"/>
        <v>806</v>
      </c>
      <c r="AL4" s="1">
        <f t="shared" si="2"/>
        <v>40</v>
      </c>
      <c r="AM4" s="1">
        <f t="shared" si="2"/>
        <v>587</v>
      </c>
      <c r="AN4" s="1">
        <f t="shared" si="2"/>
        <v>896</v>
      </c>
      <c r="AO4" s="1">
        <f t="shared" si="2"/>
        <v>38</v>
      </c>
      <c r="AP4" s="1">
        <f t="shared" si="2"/>
        <v>8</v>
      </c>
      <c r="AQ4" s="1">
        <f t="shared" si="2"/>
        <v>0</v>
      </c>
      <c r="AR4" s="1">
        <f t="shared" si="2"/>
        <v>14204</v>
      </c>
      <c r="AS4" s="1">
        <f t="shared" si="2"/>
        <v>21207</v>
      </c>
      <c r="AT4" s="1">
        <f t="shared" si="2"/>
        <v>1020</v>
      </c>
      <c r="AU4" s="1">
        <f t="shared" si="2"/>
        <v>1352</v>
      </c>
      <c r="AV4" s="1">
        <f t="shared" si="2"/>
        <v>16</v>
      </c>
      <c r="AW4" s="1">
        <f t="shared" si="2"/>
        <v>0</v>
      </c>
      <c r="AX4" s="1">
        <f t="shared" si="2"/>
        <v>1</v>
      </c>
      <c r="AY4" s="1">
        <f t="shared" si="2"/>
        <v>12</v>
      </c>
      <c r="AZ4" s="1">
        <f t="shared" si="2"/>
        <v>3587</v>
      </c>
      <c r="BA4" s="1">
        <f t="shared" si="2"/>
        <v>0</v>
      </c>
      <c r="BB4" s="1">
        <f t="shared" si="2"/>
        <v>2543</v>
      </c>
      <c r="BC4" s="1">
        <f t="shared" si="2"/>
        <v>34</v>
      </c>
      <c r="BD4" s="1">
        <f t="shared" si="2"/>
        <v>127</v>
      </c>
      <c r="BE4" s="1">
        <f t="shared" si="2"/>
        <v>0</v>
      </c>
      <c r="BF4" s="1">
        <f t="shared" si="2"/>
        <v>0</v>
      </c>
      <c r="BG4" s="1">
        <f t="shared" si="2"/>
        <v>1</v>
      </c>
      <c r="BH4" s="1">
        <f t="shared" si="2"/>
        <v>0</v>
      </c>
      <c r="BI4" s="1">
        <f t="shared" si="2"/>
        <v>11</v>
      </c>
      <c r="BJ4" s="1">
        <f t="shared" si="2"/>
        <v>286</v>
      </c>
      <c r="BK4" s="1">
        <f t="shared" si="2"/>
        <v>62</v>
      </c>
      <c r="BL4" s="1">
        <f t="shared" si="2"/>
        <v>19</v>
      </c>
      <c r="BM4" s="1">
        <f t="shared" si="2"/>
        <v>34</v>
      </c>
      <c r="BN4" s="1">
        <f t="shared" si="2"/>
        <v>0</v>
      </c>
      <c r="BO4" s="1">
        <f t="shared" si="2"/>
        <v>84</v>
      </c>
      <c r="BP4" s="1">
        <f t="shared" si="2"/>
        <v>9</v>
      </c>
      <c r="BQ4" s="1">
        <f t="shared" ref="BQ4:CE4" si="3">BQ7+BQ141+BQ150+BQ213+BQ322+BQ338</f>
        <v>90</v>
      </c>
      <c r="BR4" s="1">
        <f t="shared" si="3"/>
        <v>5</v>
      </c>
      <c r="BS4" s="1">
        <f t="shared" si="3"/>
        <v>3</v>
      </c>
      <c r="BT4" s="1">
        <f t="shared" si="3"/>
        <v>7</v>
      </c>
      <c r="BU4" s="1">
        <f t="shared" si="3"/>
        <v>19</v>
      </c>
      <c r="BV4" s="1">
        <f t="shared" si="3"/>
        <v>70</v>
      </c>
      <c r="BW4" s="1">
        <f t="shared" si="3"/>
        <v>152</v>
      </c>
      <c r="BX4" s="1">
        <f t="shared" si="3"/>
        <v>109</v>
      </c>
      <c r="BY4" s="1">
        <f t="shared" si="3"/>
        <v>33</v>
      </c>
      <c r="BZ4" s="1">
        <f t="shared" si="3"/>
        <v>11</v>
      </c>
      <c r="CA4" s="1">
        <f t="shared" si="3"/>
        <v>60</v>
      </c>
      <c r="CB4" s="1">
        <f t="shared" si="3"/>
        <v>4</v>
      </c>
      <c r="CC4" s="1">
        <f t="shared" si="3"/>
        <v>38</v>
      </c>
      <c r="CD4" s="1">
        <f t="shared" si="3"/>
        <v>273</v>
      </c>
      <c r="CE4" s="1">
        <f t="shared" si="3"/>
        <v>121</v>
      </c>
    </row>
    <row r="5" spans="1:83" x14ac:dyDescent="0.3">
      <c r="A5" s="4" t="s">
        <v>231</v>
      </c>
      <c r="B5" s="4"/>
      <c r="C5" s="2" t="s">
        <v>82</v>
      </c>
      <c r="D5" s="1">
        <v>193719</v>
      </c>
      <c r="E5">
        <v>21</v>
      </c>
      <c r="F5">
        <v>8</v>
      </c>
      <c r="G5">
        <v>861</v>
      </c>
      <c r="H5">
        <v>58</v>
      </c>
      <c r="I5">
        <v>251</v>
      </c>
      <c r="J5">
        <v>620</v>
      </c>
      <c r="K5">
        <v>53</v>
      </c>
      <c r="L5">
        <v>33</v>
      </c>
      <c r="M5">
        <v>4</v>
      </c>
      <c r="N5">
        <v>61</v>
      </c>
      <c r="O5">
        <v>414</v>
      </c>
      <c r="P5" s="1">
        <v>14175</v>
      </c>
      <c r="Q5">
        <v>968</v>
      </c>
      <c r="R5">
        <v>82</v>
      </c>
      <c r="S5">
        <v>16</v>
      </c>
      <c r="T5">
        <v>826</v>
      </c>
      <c r="U5">
        <v>7</v>
      </c>
      <c r="V5">
        <v>252</v>
      </c>
      <c r="W5">
        <v>248</v>
      </c>
      <c r="X5">
        <v>122</v>
      </c>
      <c r="Y5">
        <v>645</v>
      </c>
      <c r="Z5">
        <v>3</v>
      </c>
      <c r="AA5">
        <v>2</v>
      </c>
      <c r="AB5">
        <v>360</v>
      </c>
      <c r="AC5">
        <v>223</v>
      </c>
      <c r="AD5">
        <v>10</v>
      </c>
      <c r="AE5">
        <v>104</v>
      </c>
      <c r="AF5">
        <v>78</v>
      </c>
      <c r="AG5">
        <v>0</v>
      </c>
      <c r="AH5">
        <v>719</v>
      </c>
      <c r="AI5">
        <v>15</v>
      </c>
      <c r="AJ5">
        <v>731</v>
      </c>
      <c r="AK5">
        <v>836</v>
      </c>
      <c r="AL5">
        <v>94</v>
      </c>
      <c r="AM5" s="1">
        <v>1720</v>
      </c>
      <c r="AN5" s="1">
        <v>2531</v>
      </c>
      <c r="AO5" s="1">
        <v>3647</v>
      </c>
      <c r="AP5">
        <v>16</v>
      </c>
      <c r="AQ5">
        <v>11</v>
      </c>
      <c r="AR5" s="1">
        <v>36956</v>
      </c>
      <c r="AS5" s="1">
        <v>51021</v>
      </c>
      <c r="AT5" s="1">
        <v>4694</v>
      </c>
      <c r="AU5" s="1">
        <v>4122</v>
      </c>
      <c r="AV5">
        <v>27</v>
      </c>
      <c r="AW5">
        <v>1</v>
      </c>
      <c r="AX5">
        <v>1</v>
      </c>
      <c r="AY5">
        <v>22</v>
      </c>
      <c r="AZ5" s="1">
        <v>44989</v>
      </c>
      <c r="BA5" s="1">
        <v>1094</v>
      </c>
      <c r="BB5" s="1">
        <v>8840</v>
      </c>
      <c r="BC5" s="1">
        <v>6118</v>
      </c>
      <c r="BD5">
        <v>499</v>
      </c>
      <c r="BE5">
        <v>85</v>
      </c>
      <c r="BF5">
        <v>7</v>
      </c>
      <c r="BG5">
        <v>939</v>
      </c>
      <c r="BH5" s="1">
        <v>2035</v>
      </c>
      <c r="BI5">
        <v>32</v>
      </c>
      <c r="BJ5">
        <v>369</v>
      </c>
      <c r="BK5">
        <v>59</v>
      </c>
      <c r="BL5">
        <v>19</v>
      </c>
      <c r="BM5">
        <v>33</v>
      </c>
      <c r="BN5">
        <v>2</v>
      </c>
      <c r="BO5">
        <v>127</v>
      </c>
      <c r="BP5">
        <v>14</v>
      </c>
      <c r="BQ5">
        <v>56</v>
      </c>
      <c r="BR5">
        <v>10</v>
      </c>
      <c r="BS5">
        <v>5</v>
      </c>
      <c r="BT5">
        <v>6</v>
      </c>
      <c r="BU5">
        <v>11</v>
      </c>
      <c r="BV5">
        <v>64</v>
      </c>
      <c r="BW5">
        <v>97</v>
      </c>
      <c r="BX5">
        <v>74</v>
      </c>
      <c r="BY5">
        <v>23</v>
      </c>
      <c r="BZ5">
        <v>3</v>
      </c>
      <c r="CA5">
        <v>78</v>
      </c>
      <c r="CB5">
        <v>6</v>
      </c>
      <c r="CC5">
        <v>12</v>
      </c>
      <c r="CD5">
        <v>168</v>
      </c>
      <c r="CE5">
        <v>176</v>
      </c>
    </row>
    <row r="6" spans="1:83" x14ac:dyDescent="0.3">
      <c r="A6" s="4"/>
      <c r="B6" s="4"/>
      <c r="C6" s="2" t="s">
        <v>85</v>
      </c>
      <c r="D6" s="1">
        <f>D9+D12+D15+D18+D21+D24+D27+D30+D33+D36+D39+D42+D45+D48+D51+D54+D57+D60+D63+D66+D69+D72+D75+D78+D81+D84+D87+D90+D93+D96+D99+D101+D104+D107+D110+D113+D116+D119+D123+D128+D130+D132+D134+D136</f>
        <v>137485</v>
      </c>
      <c r="E6" s="1">
        <f t="shared" ref="E6:BP6" si="4">E9+E12+E15+E18+E21+E24+E27+E30+E33+E36+E39+E42+E45+E48+E51+E54+E57+E60+E63+E66+E69+E72+E75+E78+E81+E84+E87+E90+E93+E96+E99+E101+E104+E107+E110+E113+E116+E119+E123+E128+E130+E132+E134+E136</f>
        <v>10</v>
      </c>
      <c r="F6" s="1">
        <f t="shared" si="4"/>
        <v>4</v>
      </c>
      <c r="G6" s="1">
        <f t="shared" si="4"/>
        <v>301</v>
      </c>
      <c r="H6" s="1">
        <f t="shared" si="4"/>
        <v>37</v>
      </c>
      <c r="I6" s="1">
        <f t="shared" si="4"/>
        <v>196</v>
      </c>
      <c r="J6" s="1">
        <f t="shared" si="4"/>
        <v>379</v>
      </c>
      <c r="K6" s="1">
        <f t="shared" si="4"/>
        <v>28</v>
      </c>
      <c r="L6" s="1">
        <f t="shared" si="4"/>
        <v>11</v>
      </c>
      <c r="M6" s="1">
        <f t="shared" si="4"/>
        <v>2</v>
      </c>
      <c r="N6" s="1">
        <f t="shared" si="4"/>
        <v>12</v>
      </c>
      <c r="O6" s="1">
        <f t="shared" si="4"/>
        <v>278</v>
      </c>
      <c r="P6" s="1">
        <f t="shared" si="4"/>
        <v>7893</v>
      </c>
      <c r="Q6" s="1">
        <f t="shared" si="4"/>
        <v>525</v>
      </c>
      <c r="R6" s="1">
        <f t="shared" si="4"/>
        <v>25</v>
      </c>
      <c r="S6" s="1">
        <f t="shared" si="4"/>
        <v>13</v>
      </c>
      <c r="T6" s="1">
        <f t="shared" si="4"/>
        <v>584</v>
      </c>
      <c r="U6" s="1">
        <f t="shared" si="4"/>
        <v>4</v>
      </c>
      <c r="V6" s="1">
        <f t="shared" si="4"/>
        <v>96</v>
      </c>
      <c r="W6" s="1">
        <f t="shared" si="4"/>
        <v>193</v>
      </c>
      <c r="X6" s="1">
        <f t="shared" si="4"/>
        <v>98</v>
      </c>
      <c r="Y6" s="1">
        <f t="shared" si="4"/>
        <v>527</v>
      </c>
      <c r="Z6" s="1">
        <f t="shared" si="4"/>
        <v>3</v>
      </c>
      <c r="AA6" s="1">
        <f t="shared" si="4"/>
        <v>2</v>
      </c>
      <c r="AB6" s="1">
        <f t="shared" si="4"/>
        <v>354</v>
      </c>
      <c r="AC6" s="1">
        <f t="shared" si="4"/>
        <v>207</v>
      </c>
      <c r="AD6" s="1">
        <f t="shared" si="4"/>
        <v>4</v>
      </c>
      <c r="AE6" s="1">
        <f t="shared" si="4"/>
        <v>82</v>
      </c>
      <c r="AF6" s="1">
        <f t="shared" si="4"/>
        <v>4</v>
      </c>
      <c r="AG6" s="1">
        <f t="shared" si="4"/>
        <v>0</v>
      </c>
      <c r="AH6" s="1">
        <f t="shared" si="4"/>
        <v>557</v>
      </c>
      <c r="AI6" s="1">
        <f t="shared" si="4"/>
        <v>15</v>
      </c>
      <c r="AJ6" s="1">
        <f t="shared" si="4"/>
        <v>457</v>
      </c>
      <c r="AK6" s="1">
        <f t="shared" si="4"/>
        <v>125</v>
      </c>
      <c r="AL6" s="1">
        <f t="shared" si="4"/>
        <v>65</v>
      </c>
      <c r="AM6" s="1">
        <f t="shared" si="4"/>
        <v>1384</v>
      </c>
      <c r="AN6" s="1">
        <f t="shared" si="4"/>
        <v>1639</v>
      </c>
      <c r="AO6" s="1">
        <f t="shared" si="4"/>
        <v>3609</v>
      </c>
      <c r="AP6" s="1">
        <f t="shared" si="4"/>
        <v>10</v>
      </c>
      <c r="AQ6" s="1">
        <f t="shared" si="4"/>
        <v>11</v>
      </c>
      <c r="AR6" s="1">
        <f t="shared" si="4"/>
        <v>22752</v>
      </c>
      <c r="AS6" s="1">
        <f t="shared" si="4"/>
        <v>29814</v>
      </c>
      <c r="AT6" s="1">
        <f t="shared" si="4"/>
        <v>3674</v>
      </c>
      <c r="AU6" s="1">
        <f t="shared" si="4"/>
        <v>2770</v>
      </c>
      <c r="AV6" s="1">
        <f t="shared" si="4"/>
        <v>11</v>
      </c>
      <c r="AW6" s="1">
        <f t="shared" si="4"/>
        <v>1</v>
      </c>
      <c r="AX6" s="1">
        <f t="shared" si="4"/>
        <v>0</v>
      </c>
      <c r="AY6" s="1">
        <f t="shared" si="4"/>
        <v>10</v>
      </c>
      <c r="AZ6" s="1">
        <f t="shared" si="4"/>
        <v>41402</v>
      </c>
      <c r="BA6" s="1">
        <f t="shared" si="4"/>
        <v>1094</v>
      </c>
      <c r="BB6" s="1">
        <f t="shared" si="4"/>
        <v>6297</v>
      </c>
      <c r="BC6" s="1">
        <f t="shared" si="4"/>
        <v>6084</v>
      </c>
      <c r="BD6" s="1">
        <f t="shared" si="4"/>
        <v>372</v>
      </c>
      <c r="BE6" s="1">
        <f t="shared" si="4"/>
        <v>85</v>
      </c>
      <c r="BF6" s="1">
        <f t="shared" si="4"/>
        <v>7</v>
      </c>
      <c r="BG6" s="1">
        <f t="shared" si="4"/>
        <v>938</v>
      </c>
      <c r="BH6" s="1">
        <f t="shared" si="4"/>
        <v>2035</v>
      </c>
      <c r="BI6" s="1">
        <f t="shared" si="4"/>
        <v>21</v>
      </c>
      <c r="BJ6" s="1">
        <f t="shared" si="4"/>
        <v>91</v>
      </c>
      <c r="BK6" s="1">
        <f t="shared" si="4"/>
        <v>9</v>
      </c>
      <c r="BL6" s="1">
        <f t="shared" si="4"/>
        <v>1</v>
      </c>
      <c r="BM6" s="1">
        <f t="shared" si="4"/>
        <v>0</v>
      </c>
      <c r="BN6" s="1">
        <f t="shared" si="4"/>
        <v>2</v>
      </c>
      <c r="BO6" s="1">
        <f t="shared" si="4"/>
        <v>44</v>
      </c>
      <c r="BP6" s="1">
        <f t="shared" si="4"/>
        <v>5</v>
      </c>
      <c r="BQ6" s="1">
        <f t="shared" ref="BQ6:CE6" si="5">BQ9+BQ12+BQ15+BQ18+BQ21+BQ24+BQ27+BQ30+BQ33+BQ36+BQ39+BQ42+BQ45+BQ48+BQ51+BQ54+BQ57+BQ60+BQ63+BQ66+BQ69+BQ72+BQ75+BQ78+BQ81+BQ84+BQ87+BQ90+BQ93+BQ96+BQ99+BQ101+BQ104+BQ107+BQ110+BQ113+BQ116+BQ119+BQ123+BQ128+BQ130+BQ132+BQ134+BQ136</f>
        <v>10</v>
      </c>
      <c r="BR6" s="1">
        <f t="shared" si="5"/>
        <v>5</v>
      </c>
      <c r="BS6" s="1">
        <f t="shared" si="5"/>
        <v>3</v>
      </c>
      <c r="BT6" s="1">
        <f t="shared" si="5"/>
        <v>1</v>
      </c>
      <c r="BU6" s="1">
        <f t="shared" si="5"/>
        <v>2</v>
      </c>
      <c r="BV6" s="1">
        <f t="shared" si="5"/>
        <v>19</v>
      </c>
      <c r="BW6" s="1">
        <f t="shared" si="5"/>
        <v>30</v>
      </c>
      <c r="BX6" s="1">
        <f t="shared" si="5"/>
        <v>14</v>
      </c>
      <c r="BY6" s="1">
        <f t="shared" si="5"/>
        <v>6</v>
      </c>
      <c r="BZ6" s="1">
        <f t="shared" si="5"/>
        <v>2</v>
      </c>
      <c r="CA6" s="1">
        <f t="shared" si="5"/>
        <v>23</v>
      </c>
      <c r="CB6" s="1">
        <f t="shared" si="5"/>
        <v>2</v>
      </c>
      <c r="CC6" s="1">
        <f t="shared" si="5"/>
        <v>4</v>
      </c>
      <c r="CD6" s="1">
        <f t="shared" si="5"/>
        <v>39</v>
      </c>
      <c r="CE6" s="1">
        <f t="shared" si="5"/>
        <v>62</v>
      </c>
    </row>
    <row r="7" spans="1:83" x14ac:dyDescent="0.3">
      <c r="A7" s="4"/>
      <c r="B7" s="4"/>
      <c r="C7" s="2" t="s">
        <v>86</v>
      </c>
      <c r="D7" s="1">
        <f>D10+D13+D16+D19+D22+D25+D28+D31+D34+D37+D40+D43+D46+D49+D52+D55+D58+D61+D64+D67+D70+D73+D76+D79+D82+D85+D88+D91+D94+D97+D102+D105+D108+D111+D114+D117+D121+D124+D126+D138</f>
        <v>56234</v>
      </c>
      <c r="E7" s="1">
        <f t="shared" ref="E7:BP7" si="6">E10+E13+E16+E19+E22+E25+E28+E31+E34+E37+E40+E43+E46+E49+E52+E55+E58+E61+E64+E67+E70+E73+E76+E79+E82+E85+E88+E91+E94+E97+E102+E105+E108+E111+E114+E117+E121+E124+E126+E138</f>
        <v>11</v>
      </c>
      <c r="F7" s="1">
        <f t="shared" si="6"/>
        <v>4</v>
      </c>
      <c r="G7" s="1">
        <f t="shared" si="6"/>
        <v>560</v>
      </c>
      <c r="H7" s="1">
        <f t="shared" si="6"/>
        <v>21</v>
      </c>
      <c r="I7" s="1">
        <f t="shared" si="6"/>
        <v>55</v>
      </c>
      <c r="J7" s="1">
        <f t="shared" si="6"/>
        <v>241</v>
      </c>
      <c r="K7" s="1">
        <f t="shared" si="6"/>
        <v>25</v>
      </c>
      <c r="L7" s="1">
        <f t="shared" si="6"/>
        <v>22</v>
      </c>
      <c r="M7" s="1">
        <f t="shared" si="6"/>
        <v>2</v>
      </c>
      <c r="N7" s="1">
        <f t="shared" si="6"/>
        <v>49</v>
      </c>
      <c r="O7" s="1">
        <f t="shared" si="6"/>
        <v>136</v>
      </c>
      <c r="P7" s="1">
        <f t="shared" si="6"/>
        <v>6282</v>
      </c>
      <c r="Q7" s="1">
        <f t="shared" si="6"/>
        <v>443</v>
      </c>
      <c r="R7" s="1">
        <f t="shared" si="6"/>
        <v>57</v>
      </c>
      <c r="S7" s="1">
        <f t="shared" si="6"/>
        <v>3</v>
      </c>
      <c r="T7" s="1">
        <f t="shared" si="6"/>
        <v>242</v>
      </c>
      <c r="U7" s="1">
        <f t="shared" si="6"/>
        <v>3</v>
      </c>
      <c r="V7" s="1">
        <f t="shared" si="6"/>
        <v>156</v>
      </c>
      <c r="W7" s="1">
        <f t="shared" si="6"/>
        <v>55</v>
      </c>
      <c r="X7" s="1">
        <f t="shared" si="6"/>
        <v>24</v>
      </c>
      <c r="Y7" s="1">
        <f t="shared" si="6"/>
        <v>118</v>
      </c>
      <c r="Z7" s="1">
        <f t="shared" si="6"/>
        <v>0</v>
      </c>
      <c r="AA7" s="1">
        <f t="shared" si="6"/>
        <v>0</v>
      </c>
      <c r="AB7" s="1">
        <f t="shared" si="6"/>
        <v>6</v>
      </c>
      <c r="AC7" s="1">
        <f t="shared" si="6"/>
        <v>16</v>
      </c>
      <c r="AD7" s="1">
        <f t="shared" si="6"/>
        <v>6</v>
      </c>
      <c r="AE7" s="1">
        <f t="shared" si="6"/>
        <v>22</v>
      </c>
      <c r="AF7" s="1">
        <f t="shared" si="6"/>
        <v>74</v>
      </c>
      <c r="AG7" s="1">
        <f t="shared" si="6"/>
        <v>0</v>
      </c>
      <c r="AH7" s="1">
        <f t="shared" si="6"/>
        <v>162</v>
      </c>
      <c r="AI7" s="1">
        <f t="shared" si="6"/>
        <v>0</v>
      </c>
      <c r="AJ7" s="1">
        <f t="shared" si="6"/>
        <v>274</v>
      </c>
      <c r="AK7" s="1">
        <f t="shared" si="6"/>
        <v>711</v>
      </c>
      <c r="AL7" s="1">
        <f t="shared" si="6"/>
        <v>29</v>
      </c>
      <c r="AM7" s="1">
        <f t="shared" si="6"/>
        <v>336</v>
      </c>
      <c r="AN7" s="1">
        <f t="shared" si="6"/>
        <v>892</v>
      </c>
      <c r="AO7" s="1">
        <f t="shared" si="6"/>
        <v>38</v>
      </c>
      <c r="AP7" s="1">
        <f t="shared" si="6"/>
        <v>6</v>
      </c>
      <c r="AQ7" s="1">
        <f t="shared" si="6"/>
        <v>0</v>
      </c>
      <c r="AR7" s="1">
        <f t="shared" si="6"/>
        <v>14204</v>
      </c>
      <c r="AS7" s="1">
        <f t="shared" si="6"/>
        <v>21207</v>
      </c>
      <c r="AT7" s="1">
        <f t="shared" si="6"/>
        <v>1020</v>
      </c>
      <c r="AU7" s="1">
        <f t="shared" si="6"/>
        <v>1352</v>
      </c>
      <c r="AV7" s="1">
        <f t="shared" si="6"/>
        <v>16</v>
      </c>
      <c r="AW7" s="1">
        <f t="shared" si="6"/>
        <v>0</v>
      </c>
      <c r="AX7" s="1">
        <f t="shared" si="6"/>
        <v>1</v>
      </c>
      <c r="AY7" s="1">
        <f t="shared" si="6"/>
        <v>12</v>
      </c>
      <c r="AZ7" s="1">
        <f t="shared" si="6"/>
        <v>3587</v>
      </c>
      <c r="BA7" s="1">
        <f t="shared" si="6"/>
        <v>0</v>
      </c>
      <c r="BB7" s="1">
        <f t="shared" si="6"/>
        <v>2543</v>
      </c>
      <c r="BC7" s="1">
        <f t="shared" si="6"/>
        <v>34</v>
      </c>
      <c r="BD7" s="1">
        <f t="shared" si="6"/>
        <v>127</v>
      </c>
      <c r="BE7" s="1">
        <f t="shared" si="6"/>
        <v>0</v>
      </c>
      <c r="BF7" s="1">
        <f t="shared" si="6"/>
        <v>0</v>
      </c>
      <c r="BG7" s="1">
        <f t="shared" si="6"/>
        <v>1</v>
      </c>
      <c r="BH7" s="1">
        <f t="shared" si="6"/>
        <v>0</v>
      </c>
      <c r="BI7" s="1">
        <f t="shared" si="6"/>
        <v>11</v>
      </c>
      <c r="BJ7" s="1">
        <f t="shared" si="6"/>
        <v>278</v>
      </c>
      <c r="BK7" s="1">
        <f t="shared" si="6"/>
        <v>50</v>
      </c>
      <c r="BL7" s="1">
        <f t="shared" si="6"/>
        <v>18</v>
      </c>
      <c r="BM7" s="1">
        <f t="shared" si="6"/>
        <v>33</v>
      </c>
      <c r="BN7" s="1">
        <f t="shared" si="6"/>
        <v>0</v>
      </c>
      <c r="BO7" s="1">
        <f t="shared" si="6"/>
        <v>83</v>
      </c>
      <c r="BP7" s="1">
        <f t="shared" si="6"/>
        <v>9</v>
      </c>
      <c r="BQ7" s="1">
        <f t="shared" ref="BQ7:CE7" si="7">BQ10+BQ13+BQ16+BQ19+BQ22+BQ25+BQ28+BQ31+BQ34+BQ37+BQ40+BQ43+BQ46+BQ49+BQ52+BQ55+BQ58+BQ61+BQ64+BQ67+BQ70+BQ73+BQ76+BQ79+BQ82+BQ85+BQ88+BQ91+BQ94+BQ97+BQ102+BQ105+BQ108+BQ111+BQ114+BQ117+BQ121+BQ124+BQ126+BQ138</f>
        <v>46</v>
      </c>
      <c r="BR7" s="1">
        <f t="shared" si="7"/>
        <v>5</v>
      </c>
      <c r="BS7" s="1">
        <f t="shared" si="7"/>
        <v>2</v>
      </c>
      <c r="BT7" s="1">
        <f t="shared" si="7"/>
        <v>5</v>
      </c>
      <c r="BU7" s="1">
        <f t="shared" si="7"/>
        <v>9</v>
      </c>
      <c r="BV7" s="1">
        <f t="shared" si="7"/>
        <v>45</v>
      </c>
      <c r="BW7" s="1">
        <f t="shared" si="7"/>
        <v>67</v>
      </c>
      <c r="BX7" s="1">
        <f t="shared" si="7"/>
        <v>60</v>
      </c>
      <c r="BY7" s="1">
        <f t="shared" si="7"/>
        <v>17</v>
      </c>
      <c r="BZ7" s="1">
        <f t="shared" si="7"/>
        <v>1</v>
      </c>
      <c r="CA7" s="1">
        <f t="shared" si="7"/>
        <v>55</v>
      </c>
      <c r="CB7" s="1">
        <f t="shared" si="7"/>
        <v>4</v>
      </c>
      <c r="CC7" s="1">
        <f t="shared" si="7"/>
        <v>8</v>
      </c>
      <c r="CD7" s="1">
        <f t="shared" si="7"/>
        <v>129</v>
      </c>
      <c r="CE7" s="1">
        <f t="shared" si="7"/>
        <v>114</v>
      </c>
    </row>
    <row r="8" spans="1:83" x14ac:dyDescent="0.3">
      <c r="A8" s="5" t="s">
        <v>83</v>
      </c>
      <c r="B8" t="s">
        <v>84</v>
      </c>
      <c r="C8" s="2" t="s">
        <v>82</v>
      </c>
      <c r="D8" s="1">
        <v>76170</v>
      </c>
      <c r="E8">
        <v>0</v>
      </c>
      <c r="F8">
        <v>0</v>
      </c>
      <c r="G8">
        <v>0</v>
      </c>
      <c r="H8">
        <v>18</v>
      </c>
      <c r="I8">
        <v>63</v>
      </c>
      <c r="J8">
        <v>71</v>
      </c>
      <c r="K8">
        <v>12</v>
      </c>
      <c r="L8">
        <v>5</v>
      </c>
      <c r="M8">
        <v>0</v>
      </c>
      <c r="N8">
        <v>5</v>
      </c>
      <c r="O8">
        <v>232</v>
      </c>
      <c r="P8" s="1">
        <v>9041</v>
      </c>
      <c r="Q8">
        <v>62</v>
      </c>
      <c r="R8">
        <v>0</v>
      </c>
      <c r="S8">
        <v>13</v>
      </c>
      <c r="T8">
        <v>0</v>
      </c>
      <c r="U8">
        <v>0</v>
      </c>
      <c r="V8">
        <v>55</v>
      </c>
      <c r="W8">
        <v>4</v>
      </c>
      <c r="X8">
        <v>15</v>
      </c>
      <c r="Y8">
        <v>25</v>
      </c>
      <c r="Z8">
        <v>0</v>
      </c>
      <c r="AA8">
        <v>0</v>
      </c>
      <c r="AB8">
        <v>6</v>
      </c>
      <c r="AC8">
        <v>7</v>
      </c>
      <c r="AD8">
        <v>0</v>
      </c>
      <c r="AE8">
        <v>4</v>
      </c>
      <c r="AF8">
        <v>1</v>
      </c>
      <c r="AG8">
        <v>0</v>
      </c>
      <c r="AH8">
        <v>26</v>
      </c>
      <c r="AI8">
        <v>0</v>
      </c>
      <c r="AJ8">
        <v>4</v>
      </c>
      <c r="AK8">
        <v>0</v>
      </c>
      <c r="AL8">
        <v>2</v>
      </c>
      <c r="AM8">
        <v>794</v>
      </c>
      <c r="AN8">
        <v>50</v>
      </c>
      <c r="AO8" s="1">
        <v>2167</v>
      </c>
      <c r="AP8">
        <v>0</v>
      </c>
      <c r="AQ8">
        <v>0</v>
      </c>
      <c r="AR8" s="1">
        <v>5792</v>
      </c>
      <c r="AS8" s="1">
        <v>44251</v>
      </c>
      <c r="AT8">
        <v>140</v>
      </c>
      <c r="AU8" s="1">
        <v>3590</v>
      </c>
      <c r="AV8">
        <v>3</v>
      </c>
      <c r="AW8">
        <v>1</v>
      </c>
      <c r="AX8">
        <v>1</v>
      </c>
      <c r="AY8">
        <v>1</v>
      </c>
      <c r="AZ8" s="1">
        <v>5936</v>
      </c>
      <c r="BA8">
        <v>34</v>
      </c>
      <c r="BB8">
        <v>462</v>
      </c>
      <c r="BC8" s="1">
        <v>2212</v>
      </c>
      <c r="BD8">
        <v>6</v>
      </c>
      <c r="BE8">
        <v>30</v>
      </c>
      <c r="BF8">
        <v>0</v>
      </c>
      <c r="BG8">
        <v>1</v>
      </c>
      <c r="BH8">
        <v>806</v>
      </c>
      <c r="BI8">
        <v>0</v>
      </c>
      <c r="BJ8">
        <v>76</v>
      </c>
      <c r="BK8">
        <v>0</v>
      </c>
      <c r="BL8">
        <v>1</v>
      </c>
      <c r="BM8">
        <v>0</v>
      </c>
      <c r="BN8">
        <v>0</v>
      </c>
      <c r="BO8">
        <v>51</v>
      </c>
      <c r="BP8">
        <v>0</v>
      </c>
      <c r="BQ8">
        <v>1</v>
      </c>
      <c r="BR8">
        <v>2</v>
      </c>
      <c r="BS8">
        <v>0</v>
      </c>
      <c r="BT8">
        <v>0</v>
      </c>
      <c r="BU8">
        <v>0</v>
      </c>
      <c r="BV8">
        <v>7</v>
      </c>
      <c r="BW8">
        <v>0</v>
      </c>
      <c r="BX8">
        <v>2</v>
      </c>
      <c r="BY8">
        <v>0</v>
      </c>
      <c r="BZ8">
        <v>0</v>
      </c>
      <c r="CA8">
        <v>3</v>
      </c>
      <c r="CB8">
        <v>0</v>
      </c>
      <c r="CC8">
        <v>0</v>
      </c>
      <c r="CD8">
        <v>5</v>
      </c>
      <c r="CE8">
        <v>74</v>
      </c>
    </row>
    <row r="9" spans="1:83" x14ac:dyDescent="0.3">
      <c r="A9" s="5"/>
      <c r="B9" t="s">
        <v>84</v>
      </c>
      <c r="C9" s="2" t="s">
        <v>85</v>
      </c>
      <c r="D9" s="1">
        <v>47861</v>
      </c>
      <c r="E9">
        <v>0</v>
      </c>
      <c r="F9">
        <v>0</v>
      </c>
      <c r="G9">
        <v>0</v>
      </c>
      <c r="H9">
        <v>17</v>
      </c>
      <c r="I9">
        <v>42</v>
      </c>
      <c r="J9">
        <v>26</v>
      </c>
      <c r="K9">
        <v>6</v>
      </c>
      <c r="L9">
        <v>2</v>
      </c>
      <c r="M9">
        <v>0</v>
      </c>
      <c r="N9">
        <v>0</v>
      </c>
      <c r="O9">
        <v>115</v>
      </c>
      <c r="P9" s="1">
        <v>4995</v>
      </c>
      <c r="Q9">
        <v>39</v>
      </c>
      <c r="R9">
        <v>0</v>
      </c>
      <c r="S9">
        <v>13</v>
      </c>
      <c r="T9">
        <v>0</v>
      </c>
      <c r="U9">
        <v>0</v>
      </c>
      <c r="V9">
        <v>16</v>
      </c>
      <c r="W9">
        <v>4</v>
      </c>
      <c r="X9">
        <v>13</v>
      </c>
      <c r="Y9">
        <v>17</v>
      </c>
      <c r="Z9">
        <v>0</v>
      </c>
      <c r="AA9">
        <v>0</v>
      </c>
      <c r="AB9">
        <v>6</v>
      </c>
      <c r="AC9">
        <v>7</v>
      </c>
      <c r="AD9">
        <v>0</v>
      </c>
      <c r="AE9">
        <v>3</v>
      </c>
      <c r="AF9">
        <v>0</v>
      </c>
      <c r="AG9">
        <v>0</v>
      </c>
      <c r="AH9">
        <v>19</v>
      </c>
      <c r="AI9">
        <v>0</v>
      </c>
      <c r="AJ9">
        <v>2</v>
      </c>
      <c r="AK9">
        <v>0</v>
      </c>
      <c r="AL9">
        <v>1</v>
      </c>
      <c r="AM9">
        <v>764</v>
      </c>
      <c r="AN9">
        <v>29</v>
      </c>
      <c r="AO9" s="1">
        <v>2130</v>
      </c>
      <c r="AP9">
        <v>0</v>
      </c>
      <c r="AQ9">
        <v>0</v>
      </c>
      <c r="AR9" s="1">
        <v>2952</v>
      </c>
      <c r="AS9" s="1">
        <v>25775</v>
      </c>
      <c r="AT9">
        <v>85</v>
      </c>
      <c r="AU9" s="1">
        <v>2414</v>
      </c>
      <c r="AV9">
        <v>2</v>
      </c>
      <c r="AW9">
        <v>1</v>
      </c>
      <c r="AX9">
        <v>0</v>
      </c>
      <c r="AY9">
        <v>0</v>
      </c>
      <c r="AZ9" s="1">
        <v>4930</v>
      </c>
      <c r="BA9">
        <v>34</v>
      </c>
      <c r="BB9">
        <v>292</v>
      </c>
      <c r="BC9" s="1">
        <v>2200</v>
      </c>
      <c r="BD9">
        <v>2</v>
      </c>
      <c r="BE9">
        <v>30</v>
      </c>
      <c r="BF9">
        <v>0</v>
      </c>
      <c r="BG9">
        <v>1</v>
      </c>
      <c r="BH9">
        <v>806</v>
      </c>
      <c r="BI9">
        <v>0</v>
      </c>
      <c r="BJ9">
        <v>12</v>
      </c>
      <c r="BK9">
        <v>0</v>
      </c>
      <c r="BL9">
        <v>0</v>
      </c>
      <c r="BM9">
        <v>0</v>
      </c>
      <c r="BN9">
        <v>0</v>
      </c>
      <c r="BO9">
        <v>24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0</v>
      </c>
      <c r="CE9">
        <v>32</v>
      </c>
    </row>
    <row r="10" spans="1:83" x14ac:dyDescent="0.3">
      <c r="A10" s="5"/>
      <c r="B10" t="s">
        <v>84</v>
      </c>
      <c r="C10" s="2" t="s">
        <v>86</v>
      </c>
      <c r="D10" s="1">
        <v>28309</v>
      </c>
      <c r="E10">
        <v>0</v>
      </c>
      <c r="F10">
        <v>0</v>
      </c>
      <c r="G10">
        <v>0</v>
      </c>
      <c r="H10">
        <v>1</v>
      </c>
      <c r="I10">
        <v>21</v>
      </c>
      <c r="J10">
        <v>45</v>
      </c>
      <c r="K10">
        <v>6</v>
      </c>
      <c r="L10">
        <v>3</v>
      </c>
      <c r="M10">
        <v>0</v>
      </c>
      <c r="N10">
        <v>5</v>
      </c>
      <c r="O10">
        <v>117</v>
      </c>
      <c r="P10" s="1">
        <v>4046</v>
      </c>
      <c r="Q10">
        <v>23</v>
      </c>
      <c r="R10">
        <v>0</v>
      </c>
      <c r="S10">
        <v>0</v>
      </c>
      <c r="T10">
        <v>0</v>
      </c>
      <c r="U10">
        <v>0</v>
      </c>
      <c r="V10">
        <v>39</v>
      </c>
      <c r="W10">
        <v>0</v>
      </c>
      <c r="X10">
        <v>2</v>
      </c>
      <c r="Y10">
        <v>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7</v>
      </c>
      <c r="AI10">
        <v>0</v>
      </c>
      <c r="AJ10">
        <v>2</v>
      </c>
      <c r="AK10">
        <v>0</v>
      </c>
      <c r="AL10">
        <v>1</v>
      </c>
      <c r="AM10">
        <v>30</v>
      </c>
      <c r="AN10">
        <v>21</v>
      </c>
      <c r="AO10">
        <v>37</v>
      </c>
      <c r="AP10">
        <v>0</v>
      </c>
      <c r="AQ10">
        <v>0</v>
      </c>
      <c r="AR10" s="1">
        <v>2840</v>
      </c>
      <c r="AS10" s="1">
        <v>18476</v>
      </c>
      <c r="AT10">
        <v>55</v>
      </c>
      <c r="AU10" s="1">
        <v>1176</v>
      </c>
      <c r="AV10">
        <v>1</v>
      </c>
      <c r="AW10" s="1">
        <v>0</v>
      </c>
      <c r="AX10">
        <v>1</v>
      </c>
      <c r="AY10">
        <v>1</v>
      </c>
      <c r="AZ10" s="1">
        <v>1006</v>
      </c>
      <c r="BA10" s="1">
        <v>0</v>
      </c>
      <c r="BB10">
        <v>170</v>
      </c>
      <c r="BC10">
        <v>12</v>
      </c>
      <c r="BD10">
        <v>4</v>
      </c>
      <c r="BE10">
        <v>0</v>
      </c>
      <c r="BF10">
        <v>0</v>
      </c>
      <c r="BG10">
        <v>0</v>
      </c>
      <c r="BH10" s="1">
        <v>0</v>
      </c>
      <c r="BI10">
        <v>0</v>
      </c>
      <c r="BJ10">
        <v>64</v>
      </c>
      <c r="BK10">
        <v>0</v>
      </c>
      <c r="BL10">
        <v>1</v>
      </c>
      <c r="BM10">
        <v>0</v>
      </c>
      <c r="BN10">
        <v>0</v>
      </c>
      <c r="BO10">
        <v>27</v>
      </c>
      <c r="BP10">
        <v>0</v>
      </c>
      <c r="BQ10">
        <v>1</v>
      </c>
      <c r="BR10">
        <v>1</v>
      </c>
      <c r="BS10">
        <v>0</v>
      </c>
      <c r="BT10">
        <v>0</v>
      </c>
      <c r="BU10">
        <v>0</v>
      </c>
      <c r="BV10">
        <v>6</v>
      </c>
      <c r="BW10">
        <v>0</v>
      </c>
      <c r="BX10">
        <v>2</v>
      </c>
      <c r="BY10">
        <v>0</v>
      </c>
      <c r="BZ10">
        <v>0</v>
      </c>
      <c r="CA10">
        <v>2</v>
      </c>
      <c r="CB10">
        <v>0</v>
      </c>
      <c r="CC10">
        <v>0</v>
      </c>
      <c r="CD10">
        <v>5</v>
      </c>
      <c r="CE10">
        <v>42</v>
      </c>
    </row>
    <row r="11" spans="1:83" x14ac:dyDescent="0.3">
      <c r="A11" s="5"/>
      <c r="B11" t="s">
        <v>87</v>
      </c>
      <c r="C11" s="2" t="s">
        <v>82</v>
      </c>
      <c r="D11" s="1">
        <v>19866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20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11</v>
      </c>
      <c r="AL11">
        <v>0</v>
      </c>
      <c r="AM11">
        <v>0</v>
      </c>
      <c r="AN11">
        <v>0</v>
      </c>
      <c r="AO11" s="1">
        <v>0</v>
      </c>
      <c r="AP11">
        <v>0</v>
      </c>
      <c r="AQ11">
        <v>0</v>
      </c>
      <c r="AR11" s="1">
        <v>16985</v>
      </c>
      <c r="AS11">
        <v>115</v>
      </c>
      <c r="AT11" s="1">
        <v>1202</v>
      </c>
      <c r="AU11">
        <v>3</v>
      </c>
      <c r="AV11" s="1">
        <v>0</v>
      </c>
      <c r="AW11" s="1">
        <v>0</v>
      </c>
      <c r="AX11" s="1">
        <v>0</v>
      </c>
      <c r="AY11">
        <v>18</v>
      </c>
      <c r="AZ11" s="1">
        <v>1085</v>
      </c>
      <c r="BA11" s="1">
        <v>0</v>
      </c>
      <c r="BB11">
        <v>417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>
        <v>6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</row>
    <row r="12" spans="1:83" x14ac:dyDescent="0.3">
      <c r="A12" s="5"/>
      <c r="B12" t="s">
        <v>87</v>
      </c>
      <c r="C12" s="2" t="s">
        <v>85</v>
      </c>
      <c r="D12" s="1">
        <v>11928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11</v>
      </c>
      <c r="AL12">
        <v>0</v>
      </c>
      <c r="AM12">
        <v>0</v>
      </c>
      <c r="AN12">
        <v>0</v>
      </c>
      <c r="AO12" s="1">
        <v>0</v>
      </c>
      <c r="AP12">
        <v>0</v>
      </c>
      <c r="AQ12">
        <v>0</v>
      </c>
      <c r="AR12" s="1">
        <v>9586</v>
      </c>
      <c r="AS12">
        <v>66</v>
      </c>
      <c r="AT12" s="1">
        <v>1005</v>
      </c>
      <c r="AU12">
        <v>1</v>
      </c>
      <c r="AV12" s="1">
        <v>0</v>
      </c>
      <c r="AW12" s="1">
        <v>0</v>
      </c>
      <c r="AX12" s="1">
        <v>0</v>
      </c>
      <c r="AY12">
        <v>10</v>
      </c>
      <c r="AZ12">
        <v>889</v>
      </c>
      <c r="BA12" s="1">
        <v>0</v>
      </c>
      <c r="BB12">
        <v>342</v>
      </c>
      <c r="BC12" s="1">
        <v>0</v>
      </c>
      <c r="BD12">
        <v>0</v>
      </c>
      <c r="BE12" s="1">
        <v>0</v>
      </c>
      <c r="BF12">
        <v>0</v>
      </c>
      <c r="BG12" s="1">
        <v>0</v>
      </c>
      <c r="BH12">
        <v>6</v>
      </c>
      <c r="BI12" s="1">
        <v>0</v>
      </c>
      <c r="BJ12">
        <v>0</v>
      </c>
      <c r="BK12" s="1">
        <v>0</v>
      </c>
      <c r="BL12">
        <v>0</v>
      </c>
      <c r="BM12" s="1">
        <v>0</v>
      </c>
      <c r="BN12">
        <v>0</v>
      </c>
      <c r="BO12" s="1">
        <v>0</v>
      </c>
      <c r="BP12">
        <v>0</v>
      </c>
      <c r="BQ12" s="1">
        <v>0</v>
      </c>
      <c r="BR12">
        <v>0</v>
      </c>
      <c r="BS12" s="1">
        <v>0</v>
      </c>
      <c r="BT12">
        <v>0</v>
      </c>
      <c r="BU12" s="1">
        <v>0</v>
      </c>
      <c r="BV12">
        <v>0</v>
      </c>
      <c r="BW12" s="1">
        <v>0</v>
      </c>
      <c r="BX12">
        <v>0</v>
      </c>
      <c r="BY12" s="1">
        <v>0</v>
      </c>
      <c r="BZ12">
        <v>0</v>
      </c>
      <c r="CA12" s="1">
        <v>0</v>
      </c>
      <c r="CB12">
        <v>0</v>
      </c>
      <c r="CC12" s="1">
        <v>0</v>
      </c>
      <c r="CD12">
        <v>0</v>
      </c>
      <c r="CE12" s="1">
        <v>0</v>
      </c>
    </row>
    <row r="13" spans="1:83" x14ac:dyDescent="0.3">
      <c r="A13" s="5"/>
      <c r="B13" t="s">
        <v>87</v>
      </c>
      <c r="C13" s="2" t="s">
        <v>86</v>
      </c>
      <c r="D13" s="1">
        <v>7938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  <c r="Q13">
        <v>11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">
        <v>0</v>
      </c>
      <c r="AP13">
        <v>0</v>
      </c>
      <c r="AQ13">
        <v>0</v>
      </c>
      <c r="AR13" s="1">
        <v>7399</v>
      </c>
      <c r="AS13">
        <v>49</v>
      </c>
      <c r="AT13">
        <v>197</v>
      </c>
      <c r="AU13">
        <v>2</v>
      </c>
      <c r="AV13">
        <v>0</v>
      </c>
      <c r="AW13" s="1">
        <v>0</v>
      </c>
      <c r="AX13">
        <v>0</v>
      </c>
      <c r="AY13">
        <v>8</v>
      </c>
      <c r="AZ13">
        <v>196</v>
      </c>
      <c r="BA13" s="1">
        <v>0</v>
      </c>
      <c r="BB13">
        <v>75</v>
      </c>
      <c r="BC13" s="1">
        <v>0</v>
      </c>
      <c r="BD13">
        <v>0</v>
      </c>
      <c r="BE13" s="1">
        <v>0</v>
      </c>
      <c r="BF13">
        <v>0</v>
      </c>
      <c r="BG13" s="1">
        <v>0</v>
      </c>
      <c r="BH13">
        <v>0</v>
      </c>
      <c r="BI13" s="1">
        <v>0</v>
      </c>
      <c r="BJ13">
        <v>0</v>
      </c>
      <c r="BK13" s="1">
        <v>0</v>
      </c>
      <c r="BL13">
        <v>0</v>
      </c>
      <c r="BM13" s="1">
        <v>0</v>
      </c>
      <c r="BN13">
        <v>0</v>
      </c>
      <c r="BO13" s="1">
        <v>0</v>
      </c>
      <c r="BP13">
        <v>0</v>
      </c>
      <c r="BQ13" s="1">
        <v>0</v>
      </c>
      <c r="BR13">
        <v>0</v>
      </c>
      <c r="BS13" s="1">
        <v>0</v>
      </c>
      <c r="BT13">
        <v>0</v>
      </c>
      <c r="BU13" s="1">
        <v>0</v>
      </c>
      <c r="BV13">
        <v>0</v>
      </c>
      <c r="BW13" s="1">
        <v>0</v>
      </c>
      <c r="BX13">
        <v>0</v>
      </c>
      <c r="BY13" s="1">
        <v>0</v>
      </c>
      <c r="BZ13">
        <v>0</v>
      </c>
      <c r="CA13" s="1">
        <v>0</v>
      </c>
      <c r="CB13">
        <v>0</v>
      </c>
      <c r="CC13" s="1">
        <v>0</v>
      </c>
      <c r="CD13">
        <v>0</v>
      </c>
      <c r="CE13" s="1">
        <v>0</v>
      </c>
    </row>
    <row r="14" spans="1:83" x14ac:dyDescent="0.3">
      <c r="A14" s="5"/>
      <c r="B14" t="s">
        <v>88</v>
      </c>
      <c r="C14" s="2" t="s">
        <v>82</v>
      </c>
      <c r="D14" s="1">
        <v>19141</v>
      </c>
      <c r="E14">
        <v>3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41</v>
      </c>
      <c r="R14">
        <v>0</v>
      </c>
      <c r="S14">
        <v>0</v>
      </c>
      <c r="T14">
        <v>0</v>
      </c>
      <c r="U14">
        <v>1</v>
      </c>
      <c r="V14">
        <v>65</v>
      </c>
      <c r="W14">
        <v>0</v>
      </c>
      <c r="X14">
        <v>4</v>
      </c>
      <c r="Y14">
        <v>7</v>
      </c>
      <c r="Z14">
        <v>0</v>
      </c>
      <c r="AA14">
        <v>0</v>
      </c>
      <c r="AB14">
        <v>6</v>
      </c>
      <c r="AC14">
        <v>47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0</v>
      </c>
      <c r="AJ14">
        <v>14</v>
      </c>
      <c r="AK14">
        <v>703</v>
      </c>
      <c r="AL14">
        <v>10</v>
      </c>
      <c r="AM14">
        <v>53</v>
      </c>
      <c r="AN14">
        <v>13</v>
      </c>
      <c r="AO14">
        <v>105</v>
      </c>
      <c r="AP14">
        <v>1</v>
      </c>
      <c r="AQ14">
        <v>0</v>
      </c>
      <c r="AR14" s="1">
        <v>8910</v>
      </c>
      <c r="AS14" s="1">
        <v>1492</v>
      </c>
      <c r="AT14" s="1">
        <v>2435</v>
      </c>
      <c r="AU14">
        <v>231</v>
      </c>
      <c r="AV14" s="1">
        <v>0</v>
      </c>
      <c r="AW14" s="1">
        <v>0</v>
      </c>
      <c r="AX14" s="1">
        <v>0</v>
      </c>
      <c r="AY14">
        <v>1</v>
      </c>
      <c r="AZ14" s="1">
        <v>4856</v>
      </c>
      <c r="BA14" s="1">
        <v>0</v>
      </c>
      <c r="BB14">
        <v>1</v>
      </c>
      <c r="BC14" s="1">
        <v>0</v>
      </c>
      <c r="BD14" s="1">
        <v>0</v>
      </c>
      <c r="BE14" s="1">
        <v>0</v>
      </c>
      <c r="BF14" s="1">
        <v>0</v>
      </c>
      <c r="BG14">
        <v>1</v>
      </c>
      <c r="BH14" s="1">
        <v>0</v>
      </c>
      <c r="BI14">
        <v>29</v>
      </c>
      <c r="BJ14" s="1">
        <v>0</v>
      </c>
      <c r="BK14">
        <v>50</v>
      </c>
      <c r="BL14">
        <v>11</v>
      </c>
      <c r="BM14">
        <v>23</v>
      </c>
      <c r="BN14">
        <v>0</v>
      </c>
      <c r="BO14">
        <v>2</v>
      </c>
      <c r="BP14">
        <v>0</v>
      </c>
      <c r="BQ14" s="1">
        <v>0</v>
      </c>
      <c r="BR14">
        <v>0</v>
      </c>
      <c r="BS14" s="1">
        <v>0</v>
      </c>
      <c r="BT14">
        <v>0</v>
      </c>
      <c r="BU14" s="1">
        <v>0</v>
      </c>
      <c r="BV14">
        <v>3</v>
      </c>
      <c r="BW14">
        <v>3</v>
      </c>
      <c r="BX14">
        <v>6</v>
      </c>
      <c r="BY14" s="1">
        <v>0</v>
      </c>
      <c r="BZ14">
        <v>0</v>
      </c>
      <c r="CA14" s="1">
        <v>0</v>
      </c>
      <c r="CB14">
        <v>0</v>
      </c>
      <c r="CC14">
        <v>4</v>
      </c>
      <c r="CD14">
        <v>4</v>
      </c>
      <c r="CE14" s="1">
        <v>0</v>
      </c>
    </row>
    <row r="15" spans="1:83" x14ac:dyDescent="0.3">
      <c r="A15" s="5"/>
      <c r="B15" t="s">
        <v>88</v>
      </c>
      <c r="C15" s="2" t="s">
        <v>85</v>
      </c>
      <c r="D15" s="1">
        <v>14439</v>
      </c>
      <c r="E15">
        <v>3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18</v>
      </c>
      <c r="R15">
        <v>0</v>
      </c>
      <c r="S15">
        <v>0</v>
      </c>
      <c r="T15">
        <v>0</v>
      </c>
      <c r="U15">
        <v>0</v>
      </c>
      <c r="V15">
        <v>20</v>
      </c>
      <c r="W15">
        <v>0</v>
      </c>
      <c r="X15">
        <v>3</v>
      </c>
      <c r="Y15">
        <v>3</v>
      </c>
      <c r="Z15">
        <v>0</v>
      </c>
      <c r="AA15">
        <v>0</v>
      </c>
      <c r="AB15">
        <v>6</v>
      </c>
      <c r="AC15">
        <v>37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9</v>
      </c>
      <c r="AK15">
        <v>30</v>
      </c>
      <c r="AL15">
        <v>10</v>
      </c>
      <c r="AM15">
        <v>33</v>
      </c>
      <c r="AN15">
        <v>3</v>
      </c>
      <c r="AO15">
        <v>105</v>
      </c>
      <c r="AP15">
        <v>0</v>
      </c>
      <c r="AQ15">
        <v>0</v>
      </c>
      <c r="AR15" s="1">
        <v>6595</v>
      </c>
      <c r="AS15" s="1">
        <v>1018</v>
      </c>
      <c r="AT15" s="1">
        <v>1908</v>
      </c>
      <c r="AU15">
        <v>164</v>
      </c>
      <c r="AV15" s="1">
        <v>0</v>
      </c>
      <c r="AW15" s="1">
        <v>0</v>
      </c>
      <c r="AX15" s="1">
        <v>0</v>
      </c>
      <c r="AY15" s="1">
        <v>0</v>
      </c>
      <c r="AZ15" s="1">
        <v>4443</v>
      </c>
      <c r="BA15" s="1">
        <v>0</v>
      </c>
      <c r="BB15">
        <v>1</v>
      </c>
      <c r="BC15" s="1">
        <v>0</v>
      </c>
      <c r="BD15" s="1">
        <v>0</v>
      </c>
      <c r="BE15" s="1">
        <v>0</v>
      </c>
      <c r="BF15" s="1">
        <v>0</v>
      </c>
      <c r="BG15">
        <v>1</v>
      </c>
      <c r="BH15" s="1">
        <v>0</v>
      </c>
      <c r="BI15">
        <v>19</v>
      </c>
      <c r="BJ15" s="1">
        <v>0</v>
      </c>
      <c r="BK15">
        <v>4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>
        <v>2</v>
      </c>
      <c r="BX15">
        <v>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>
        <v>1</v>
      </c>
      <c r="CE15" s="1">
        <v>0</v>
      </c>
    </row>
    <row r="16" spans="1:83" x14ac:dyDescent="0.3">
      <c r="A16" s="5"/>
      <c r="B16" t="s">
        <v>88</v>
      </c>
      <c r="C16" s="2" t="s">
        <v>86</v>
      </c>
      <c r="D16" s="1">
        <v>4702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23</v>
      </c>
      <c r="R16">
        <v>0</v>
      </c>
      <c r="S16">
        <v>0</v>
      </c>
      <c r="T16">
        <v>0</v>
      </c>
      <c r="U16">
        <v>1</v>
      </c>
      <c r="V16">
        <v>45</v>
      </c>
      <c r="W16">
        <v>0</v>
      </c>
      <c r="X16">
        <v>1</v>
      </c>
      <c r="Y16">
        <v>4</v>
      </c>
      <c r="Z16">
        <v>0</v>
      </c>
      <c r="AA16">
        <v>0</v>
      </c>
      <c r="AB16">
        <v>0</v>
      </c>
      <c r="AC16">
        <v>10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5</v>
      </c>
      <c r="AK16">
        <v>673</v>
      </c>
      <c r="AL16">
        <v>0</v>
      </c>
      <c r="AM16">
        <v>20</v>
      </c>
      <c r="AN16">
        <v>10</v>
      </c>
      <c r="AO16" s="1">
        <v>0</v>
      </c>
      <c r="AP16">
        <v>1</v>
      </c>
      <c r="AQ16">
        <v>0</v>
      </c>
      <c r="AR16" s="1">
        <v>2315</v>
      </c>
      <c r="AS16">
        <v>474</v>
      </c>
      <c r="AT16">
        <v>527</v>
      </c>
      <c r="AU16">
        <v>67</v>
      </c>
      <c r="AV16" s="1">
        <v>0</v>
      </c>
      <c r="AW16" s="1">
        <v>0</v>
      </c>
      <c r="AX16" s="1">
        <v>0</v>
      </c>
      <c r="AY16">
        <v>1</v>
      </c>
      <c r="AZ16">
        <v>413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>
        <v>10</v>
      </c>
      <c r="BJ16" s="1">
        <v>0</v>
      </c>
      <c r="BK16">
        <v>46</v>
      </c>
      <c r="BL16">
        <v>11</v>
      </c>
      <c r="BM16">
        <v>23</v>
      </c>
      <c r="BN16">
        <v>0</v>
      </c>
      <c r="BO16">
        <v>2</v>
      </c>
      <c r="BP16">
        <v>0</v>
      </c>
      <c r="BQ16" s="1">
        <v>0</v>
      </c>
      <c r="BR16">
        <v>0</v>
      </c>
      <c r="BS16" s="1">
        <v>0</v>
      </c>
      <c r="BT16">
        <v>0</v>
      </c>
      <c r="BU16" s="1">
        <v>0</v>
      </c>
      <c r="BV16">
        <v>3</v>
      </c>
      <c r="BW16">
        <v>1</v>
      </c>
      <c r="BX16">
        <v>5</v>
      </c>
      <c r="BY16" s="1">
        <v>0</v>
      </c>
      <c r="BZ16">
        <v>0</v>
      </c>
      <c r="CA16" s="1">
        <v>0</v>
      </c>
      <c r="CB16">
        <v>0</v>
      </c>
      <c r="CC16">
        <v>4</v>
      </c>
      <c r="CD16">
        <v>3</v>
      </c>
      <c r="CE16" s="1">
        <v>0</v>
      </c>
    </row>
    <row r="17" spans="1:83" x14ac:dyDescent="0.3">
      <c r="A17" s="5"/>
      <c r="B17" t="s">
        <v>89</v>
      </c>
      <c r="C17" s="2" t="s">
        <v>82</v>
      </c>
      <c r="D17" s="1">
        <v>17850</v>
      </c>
      <c r="E17">
        <v>0</v>
      </c>
      <c r="F17">
        <v>0</v>
      </c>
      <c r="G17">
        <v>4</v>
      </c>
      <c r="H17">
        <v>0</v>
      </c>
      <c r="I17">
        <v>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57</v>
      </c>
      <c r="Q17">
        <v>24</v>
      </c>
      <c r="R17">
        <v>0</v>
      </c>
      <c r="S17">
        <v>0</v>
      </c>
      <c r="T17">
        <v>0</v>
      </c>
      <c r="U17">
        <v>0</v>
      </c>
      <c r="V17">
        <v>3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2</v>
      </c>
      <c r="AO17">
        <v>21</v>
      </c>
      <c r="AP17">
        <v>0</v>
      </c>
      <c r="AQ17">
        <v>0</v>
      </c>
      <c r="AR17" s="1">
        <v>4716</v>
      </c>
      <c r="AS17" s="1">
        <v>3460</v>
      </c>
      <c r="AT17">
        <v>165</v>
      </c>
      <c r="AU17">
        <v>123</v>
      </c>
      <c r="AV17" s="1">
        <v>0</v>
      </c>
      <c r="AW17" s="1">
        <v>0</v>
      </c>
      <c r="AX17" s="1">
        <v>0</v>
      </c>
      <c r="AY17" s="1">
        <v>0</v>
      </c>
      <c r="AZ17" s="1">
        <v>5694</v>
      </c>
      <c r="BA17">
        <v>124</v>
      </c>
      <c r="BB17" s="1">
        <v>3444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>
        <v>2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>
        <v>1</v>
      </c>
    </row>
    <row r="18" spans="1:83" x14ac:dyDescent="0.3">
      <c r="A18" s="5"/>
      <c r="B18" t="s">
        <v>89</v>
      </c>
      <c r="C18" s="2" t="s">
        <v>85</v>
      </c>
      <c r="D18" s="1">
        <v>12856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21</v>
      </c>
      <c r="Q18">
        <v>20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21</v>
      </c>
      <c r="AP18">
        <v>0</v>
      </c>
      <c r="AQ18">
        <v>0</v>
      </c>
      <c r="AR18" s="1">
        <v>3410</v>
      </c>
      <c r="AS18" s="1">
        <v>1976</v>
      </c>
      <c r="AT18">
        <v>150</v>
      </c>
      <c r="AU18">
        <v>80</v>
      </c>
      <c r="AV18" s="1">
        <v>0</v>
      </c>
      <c r="AW18" s="1">
        <v>0</v>
      </c>
      <c r="AX18" s="1">
        <v>0</v>
      </c>
      <c r="AY18" s="1">
        <v>0</v>
      </c>
      <c r="AZ18" s="1">
        <v>5169</v>
      </c>
      <c r="BA18">
        <v>124</v>
      </c>
      <c r="BB18" s="1">
        <v>1875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</row>
    <row r="19" spans="1:83" x14ac:dyDescent="0.3">
      <c r="A19" s="5"/>
      <c r="B19" t="s">
        <v>89</v>
      </c>
      <c r="C19" s="2" t="s">
        <v>86</v>
      </c>
      <c r="D19" s="1">
        <v>4994</v>
      </c>
      <c r="E19">
        <v>0</v>
      </c>
      <c r="F19">
        <v>0</v>
      </c>
      <c r="G19">
        <v>3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36</v>
      </c>
      <c r="Q19">
        <v>4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 s="1">
        <v>1306</v>
      </c>
      <c r="AS19" s="1">
        <v>1484</v>
      </c>
      <c r="AT19">
        <v>15</v>
      </c>
      <c r="AU19">
        <v>43</v>
      </c>
      <c r="AV19" s="1">
        <v>0</v>
      </c>
      <c r="AW19" s="1">
        <v>0</v>
      </c>
      <c r="AX19" s="1">
        <v>0</v>
      </c>
      <c r="AY19" s="1">
        <v>0</v>
      </c>
      <c r="AZ19">
        <v>525</v>
      </c>
      <c r="BA19" s="1">
        <v>0</v>
      </c>
      <c r="BB19" s="1">
        <v>1569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>
        <v>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>
        <v>1</v>
      </c>
    </row>
    <row r="20" spans="1:83" x14ac:dyDescent="0.3">
      <c r="A20" s="5"/>
      <c r="B20" t="s">
        <v>90</v>
      </c>
      <c r="C20" s="2" t="s">
        <v>82</v>
      </c>
      <c r="D20" s="1">
        <v>11658</v>
      </c>
      <c r="E20">
        <v>0</v>
      </c>
      <c r="F20">
        <v>2</v>
      </c>
      <c r="G20">
        <v>2</v>
      </c>
      <c r="H20">
        <v>0</v>
      </c>
      <c r="I20">
        <v>43</v>
      </c>
      <c r="J20">
        <v>180</v>
      </c>
      <c r="K20">
        <v>0</v>
      </c>
      <c r="L20">
        <v>0</v>
      </c>
      <c r="M20">
        <v>0</v>
      </c>
      <c r="N20">
        <v>0</v>
      </c>
      <c r="O20">
        <v>0</v>
      </c>
      <c r="P20">
        <v>901</v>
      </c>
      <c r="Q20">
        <v>4</v>
      </c>
      <c r="R20">
        <v>0</v>
      </c>
      <c r="S20">
        <v>0</v>
      </c>
      <c r="T20">
        <v>369</v>
      </c>
      <c r="U20">
        <v>0</v>
      </c>
      <c r="V20">
        <v>15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9</v>
      </c>
      <c r="AI20">
        <v>0</v>
      </c>
      <c r="AJ20">
        <v>0</v>
      </c>
      <c r="AK20">
        <v>0</v>
      </c>
      <c r="AL20">
        <v>0</v>
      </c>
      <c r="AM20">
        <v>6</v>
      </c>
      <c r="AN20">
        <v>73</v>
      </c>
      <c r="AO20">
        <v>5</v>
      </c>
      <c r="AP20">
        <v>0</v>
      </c>
      <c r="AQ20">
        <v>0</v>
      </c>
      <c r="AR20">
        <v>1</v>
      </c>
      <c r="AS20">
        <v>355</v>
      </c>
      <c r="AT20">
        <v>0</v>
      </c>
      <c r="AU20">
        <v>10</v>
      </c>
      <c r="AV20">
        <v>1</v>
      </c>
      <c r="AW20" s="1">
        <v>0</v>
      </c>
      <c r="AX20" s="1">
        <v>0</v>
      </c>
      <c r="AY20" s="1">
        <v>0</v>
      </c>
      <c r="AZ20" s="1">
        <v>6608</v>
      </c>
      <c r="BA20" s="1">
        <v>0</v>
      </c>
      <c r="BB20" s="1">
        <v>3038</v>
      </c>
      <c r="BC20" s="1">
        <v>0</v>
      </c>
      <c r="BD20">
        <v>2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>
        <v>8</v>
      </c>
      <c r="BK20" s="1">
        <v>0</v>
      </c>
      <c r="BL20" s="1">
        <v>0</v>
      </c>
      <c r="BM20">
        <v>2</v>
      </c>
      <c r="BN20" s="1">
        <v>0</v>
      </c>
      <c r="BO20">
        <v>4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>
        <v>3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>
        <v>2</v>
      </c>
      <c r="CE20">
        <v>14</v>
      </c>
    </row>
    <row r="21" spans="1:83" x14ac:dyDescent="0.3">
      <c r="A21" s="5"/>
      <c r="B21" t="s">
        <v>90</v>
      </c>
      <c r="C21" s="2" t="s">
        <v>85</v>
      </c>
      <c r="D21" s="1">
        <v>9795</v>
      </c>
      <c r="E21">
        <v>0</v>
      </c>
      <c r="F21">
        <v>1</v>
      </c>
      <c r="G21">
        <v>1</v>
      </c>
      <c r="H21">
        <v>0</v>
      </c>
      <c r="I21">
        <v>26</v>
      </c>
      <c r="J21">
        <v>98</v>
      </c>
      <c r="K21">
        <v>0</v>
      </c>
      <c r="L21">
        <v>0</v>
      </c>
      <c r="M21">
        <v>0</v>
      </c>
      <c r="N21">
        <v>0</v>
      </c>
      <c r="O21">
        <v>0</v>
      </c>
      <c r="P21">
        <v>433</v>
      </c>
      <c r="Q21">
        <v>4</v>
      </c>
      <c r="R21">
        <v>0</v>
      </c>
      <c r="S21">
        <v>0</v>
      </c>
      <c r="T21">
        <v>201</v>
      </c>
      <c r="U21">
        <v>0</v>
      </c>
      <c r="V21">
        <v>13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9</v>
      </c>
      <c r="AI21">
        <v>0</v>
      </c>
      <c r="AJ21">
        <v>0</v>
      </c>
      <c r="AK21">
        <v>0</v>
      </c>
      <c r="AL21">
        <v>0</v>
      </c>
      <c r="AM21">
        <v>6</v>
      </c>
      <c r="AN21">
        <v>73</v>
      </c>
      <c r="AO21">
        <v>5</v>
      </c>
      <c r="AP21">
        <v>0</v>
      </c>
      <c r="AQ21">
        <v>0</v>
      </c>
      <c r="AR21">
        <v>1</v>
      </c>
      <c r="AS21">
        <v>235</v>
      </c>
      <c r="AT21">
        <v>0</v>
      </c>
      <c r="AU21">
        <v>8</v>
      </c>
      <c r="AV21">
        <v>1</v>
      </c>
      <c r="AW21" s="1">
        <v>0</v>
      </c>
      <c r="AX21" s="1">
        <v>0</v>
      </c>
      <c r="AY21" s="1">
        <v>0</v>
      </c>
      <c r="AZ21" s="1">
        <v>6139</v>
      </c>
      <c r="BA21" s="1">
        <v>0</v>
      </c>
      <c r="BB21" s="1">
        <v>2530</v>
      </c>
      <c r="BC21" s="1">
        <v>0</v>
      </c>
      <c r="BD21">
        <v>2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>
        <v>3</v>
      </c>
      <c r="BK21" s="1">
        <v>0</v>
      </c>
      <c r="BL21" s="1">
        <v>0</v>
      </c>
      <c r="BM21" s="1">
        <v>0</v>
      </c>
      <c r="BN21" s="1">
        <v>0</v>
      </c>
      <c r="BO21">
        <v>2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>
        <v>3</v>
      </c>
    </row>
    <row r="22" spans="1:83" x14ac:dyDescent="0.3">
      <c r="A22" s="5"/>
      <c r="B22" t="s">
        <v>90</v>
      </c>
      <c r="C22" s="2" t="s">
        <v>86</v>
      </c>
      <c r="D22" s="1">
        <v>1863</v>
      </c>
      <c r="E22">
        <v>0</v>
      </c>
      <c r="F22">
        <v>1</v>
      </c>
      <c r="G22">
        <v>1</v>
      </c>
      <c r="H22">
        <v>0</v>
      </c>
      <c r="I22">
        <v>17</v>
      </c>
      <c r="J22">
        <v>82</v>
      </c>
      <c r="K22">
        <v>0</v>
      </c>
      <c r="L22">
        <v>0</v>
      </c>
      <c r="M22">
        <v>0</v>
      </c>
      <c r="N22">
        <v>0</v>
      </c>
      <c r="O22">
        <v>0</v>
      </c>
      <c r="P22">
        <v>468</v>
      </c>
      <c r="Q22">
        <v>0</v>
      </c>
      <c r="R22">
        <v>0</v>
      </c>
      <c r="S22">
        <v>0</v>
      </c>
      <c r="T22">
        <v>168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1">
        <v>0</v>
      </c>
      <c r="AS22">
        <v>120</v>
      </c>
      <c r="AT22">
        <v>0</v>
      </c>
      <c r="AU22">
        <v>2</v>
      </c>
      <c r="AV22" s="1">
        <v>0</v>
      </c>
      <c r="AW22" s="1">
        <v>0</v>
      </c>
      <c r="AX22" s="1">
        <v>0</v>
      </c>
      <c r="AY22" s="1">
        <v>0</v>
      </c>
      <c r="AZ22">
        <v>469</v>
      </c>
      <c r="BA22" s="1">
        <v>0</v>
      </c>
      <c r="BB22">
        <v>508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>
        <v>5</v>
      </c>
      <c r="BK22" s="1">
        <v>0</v>
      </c>
      <c r="BL22" s="1">
        <v>0</v>
      </c>
      <c r="BM22">
        <v>2</v>
      </c>
      <c r="BN22" s="1">
        <v>0</v>
      </c>
      <c r="BO22">
        <v>2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>
        <v>3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>
        <v>2</v>
      </c>
      <c r="CE22">
        <v>11</v>
      </c>
    </row>
    <row r="23" spans="1:83" x14ac:dyDescent="0.3">
      <c r="A23" s="5"/>
      <c r="B23" t="s">
        <v>91</v>
      </c>
      <c r="C23" s="2" t="s">
        <v>82</v>
      </c>
      <c r="D23" s="1">
        <v>10005</v>
      </c>
      <c r="E23">
        <v>2</v>
      </c>
      <c r="F23">
        <v>0</v>
      </c>
      <c r="G23">
        <v>5</v>
      </c>
      <c r="H23">
        <v>2</v>
      </c>
      <c r="I23">
        <v>0</v>
      </c>
      <c r="J23">
        <v>0</v>
      </c>
      <c r="K23">
        <v>2</v>
      </c>
      <c r="L23">
        <v>2</v>
      </c>
      <c r="M23">
        <v>0</v>
      </c>
      <c r="N23">
        <v>0</v>
      </c>
      <c r="O23">
        <v>50</v>
      </c>
      <c r="P23">
        <v>6</v>
      </c>
      <c r="Q23">
        <v>86</v>
      </c>
      <c r="R23">
        <v>0</v>
      </c>
      <c r="S23">
        <v>0</v>
      </c>
      <c r="T23">
        <v>0</v>
      </c>
      <c r="U23">
        <v>0</v>
      </c>
      <c r="V23">
        <v>29</v>
      </c>
      <c r="W23">
        <v>4</v>
      </c>
      <c r="X23">
        <v>27</v>
      </c>
      <c r="Y23">
        <v>6</v>
      </c>
      <c r="Z23">
        <v>0</v>
      </c>
      <c r="AA23">
        <v>0</v>
      </c>
      <c r="AB23">
        <v>2</v>
      </c>
      <c r="AC23">
        <v>23</v>
      </c>
      <c r="AD23">
        <v>0</v>
      </c>
      <c r="AE23">
        <v>2</v>
      </c>
      <c r="AF23">
        <v>0</v>
      </c>
      <c r="AG23">
        <v>0</v>
      </c>
      <c r="AH23">
        <v>15</v>
      </c>
      <c r="AI23">
        <v>0</v>
      </c>
      <c r="AJ23">
        <v>13</v>
      </c>
      <c r="AK23">
        <v>1</v>
      </c>
      <c r="AL23">
        <v>0</v>
      </c>
      <c r="AM23">
        <v>132</v>
      </c>
      <c r="AN23">
        <v>13</v>
      </c>
      <c r="AO23">
        <v>544</v>
      </c>
      <c r="AP23">
        <v>0</v>
      </c>
      <c r="AQ23">
        <v>0</v>
      </c>
      <c r="AR23" s="1">
        <v>0</v>
      </c>
      <c r="AS23">
        <v>24</v>
      </c>
      <c r="AT23">
        <v>0</v>
      </c>
      <c r="AU23">
        <v>0</v>
      </c>
      <c r="AV23" s="1">
        <v>0</v>
      </c>
      <c r="AW23" s="1">
        <v>0</v>
      </c>
      <c r="AX23" s="1">
        <v>0</v>
      </c>
      <c r="AY23" s="1">
        <v>0</v>
      </c>
      <c r="AZ23" s="1">
        <v>5135</v>
      </c>
      <c r="BA23" s="1">
        <v>0</v>
      </c>
      <c r="BB23" s="1">
        <v>0</v>
      </c>
      <c r="BC23" s="1">
        <v>2365</v>
      </c>
      <c r="BD23">
        <v>42</v>
      </c>
      <c r="BE23" s="1">
        <v>0</v>
      </c>
      <c r="BF23" s="1">
        <v>0</v>
      </c>
      <c r="BG23">
        <v>247</v>
      </c>
      <c r="BH23" s="1">
        <v>1192</v>
      </c>
      <c r="BI23">
        <v>2</v>
      </c>
      <c r="BJ23">
        <v>3</v>
      </c>
      <c r="BK23">
        <v>1</v>
      </c>
      <c r="BL23">
        <v>1</v>
      </c>
      <c r="BM23">
        <v>3</v>
      </c>
      <c r="BN23" s="1">
        <v>0</v>
      </c>
      <c r="BO23">
        <v>2</v>
      </c>
      <c r="BP23" s="1">
        <v>0</v>
      </c>
      <c r="BQ23">
        <v>3</v>
      </c>
      <c r="BR23">
        <v>1</v>
      </c>
      <c r="BS23" s="1">
        <v>0</v>
      </c>
      <c r="BT23" s="1">
        <v>0</v>
      </c>
      <c r="BU23">
        <v>3</v>
      </c>
      <c r="BV23" s="1">
        <v>0</v>
      </c>
      <c r="BW23" s="1">
        <v>0</v>
      </c>
      <c r="BX23">
        <v>7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>
        <v>6</v>
      </c>
      <c r="CE23">
        <v>2</v>
      </c>
    </row>
    <row r="24" spans="1:83" x14ac:dyDescent="0.3">
      <c r="A24" s="5"/>
      <c r="B24" t="s">
        <v>91</v>
      </c>
      <c r="C24" s="2" t="s">
        <v>85</v>
      </c>
      <c r="D24" s="1">
        <v>9590</v>
      </c>
      <c r="E24">
        <v>1</v>
      </c>
      <c r="F24">
        <v>0</v>
      </c>
      <c r="G24">
        <v>2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36</v>
      </c>
      <c r="P24">
        <v>1</v>
      </c>
      <c r="Q24">
        <v>64</v>
      </c>
      <c r="R24">
        <v>0</v>
      </c>
      <c r="S24">
        <v>0</v>
      </c>
      <c r="T24">
        <v>0</v>
      </c>
      <c r="U24">
        <v>0</v>
      </c>
      <c r="V24">
        <v>9</v>
      </c>
      <c r="W24">
        <v>3</v>
      </c>
      <c r="X24">
        <v>21</v>
      </c>
      <c r="Y24">
        <v>5</v>
      </c>
      <c r="Z24">
        <v>0</v>
      </c>
      <c r="AA24">
        <v>0</v>
      </c>
      <c r="AB24">
        <v>2</v>
      </c>
      <c r="AC24">
        <v>22</v>
      </c>
      <c r="AD24">
        <v>0</v>
      </c>
      <c r="AE24">
        <v>2</v>
      </c>
      <c r="AF24">
        <v>0</v>
      </c>
      <c r="AG24">
        <v>0</v>
      </c>
      <c r="AH24">
        <v>8</v>
      </c>
      <c r="AI24">
        <v>0</v>
      </c>
      <c r="AJ24">
        <v>7</v>
      </c>
      <c r="AK24">
        <v>0</v>
      </c>
      <c r="AL24">
        <v>0</v>
      </c>
      <c r="AM24">
        <v>68</v>
      </c>
      <c r="AN24">
        <v>10</v>
      </c>
      <c r="AO24">
        <v>544</v>
      </c>
      <c r="AP24">
        <v>0</v>
      </c>
      <c r="AQ24">
        <v>0</v>
      </c>
      <c r="AR24" s="1">
        <v>0</v>
      </c>
      <c r="AS24">
        <v>16</v>
      </c>
      <c r="AT24">
        <v>0</v>
      </c>
      <c r="AU24">
        <v>0</v>
      </c>
      <c r="AV24" s="1">
        <v>0</v>
      </c>
      <c r="AW24" s="1">
        <v>0</v>
      </c>
      <c r="AX24" s="1">
        <v>0</v>
      </c>
      <c r="AY24" s="1">
        <v>0</v>
      </c>
      <c r="AZ24" s="1">
        <v>4925</v>
      </c>
      <c r="BA24" s="1">
        <v>0</v>
      </c>
      <c r="BB24" s="1">
        <v>0</v>
      </c>
      <c r="BC24" s="1">
        <v>2360</v>
      </c>
      <c r="BD24">
        <v>36</v>
      </c>
      <c r="BE24" s="1">
        <v>0</v>
      </c>
      <c r="BF24" s="1">
        <v>0</v>
      </c>
      <c r="BG24">
        <v>247</v>
      </c>
      <c r="BH24" s="1">
        <v>1192</v>
      </c>
      <c r="BI24">
        <v>2</v>
      </c>
      <c r="BJ24">
        <v>1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>
        <v>1</v>
      </c>
      <c r="BS24" s="1">
        <v>0</v>
      </c>
      <c r="BT24" s="1">
        <v>0</v>
      </c>
      <c r="BU24">
        <v>1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>
        <v>2</v>
      </c>
      <c r="CE24" s="1">
        <v>0</v>
      </c>
    </row>
    <row r="25" spans="1:83" x14ac:dyDescent="0.3">
      <c r="A25" s="5"/>
      <c r="B25" t="s">
        <v>91</v>
      </c>
      <c r="C25" s="2" t="s">
        <v>86</v>
      </c>
      <c r="D25">
        <v>415</v>
      </c>
      <c r="E25">
        <v>1</v>
      </c>
      <c r="F25">
        <v>0</v>
      </c>
      <c r="G25">
        <v>3</v>
      </c>
      <c r="H25">
        <v>2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14</v>
      </c>
      <c r="P25">
        <v>5</v>
      </c>
      <c r="Q25">
        <v>22</v>
      </c>
      <c r="R25">
        <v>0</v>
      </c>
      <c r="S25">
        <v>0</v>
      </c>
      <c r="T25">
        <v>0</v>
      </c>
      <c r="U25">
        <v>0</v>
      </c>
      <c r="V25">
        <v>20</v>
      </c>
      <c r="W25">
        <v>1</v>
      </c>
      <c r="X25">
        <v>6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7</v>
      </c>
      <c r="AI25">
        <v>0</v>
      </c>
      <c r="AJ25">
        <v>6</v>
      </c>
      <c r="AK25">
        <v>1</v>
      </c>
      <c r="AL25">
        <v>0</v>
      </c>
      <c r="AM25">
        <v>64</v>
      </c>
      <c r="AN25">
        <v>3</v>
      </c>
      <c r="AO25">
        <v>0</v>
      </c>
      <c r="AP25">
        <v>0</v>
      </c>
      <c r="AQ25">
        <v>0</v>
      </c>
      <c r="AR25" s="1">
        <v>0</v>
      </c>
      <c r="AS25">
        <v>8</v>
      </c>
      <c r="AT25">
        <v>0</v>
      </c>
      <c r="AU25">
        <v>0</v>
      </c>
      <c r="AV25" s="1">
        <v>0</v>
      </c>
      <c r="AW25" s="1">
        <v>0</v>
      </c>
      <c r="AX25" s="1">
        <v>0</v>
      </c>
      <c r="AY25" s="1">
        <v>0</v>
      </c>
      <c r="AZ25">
        <v>210</v>
      </c>
      <c r="BA25" s="1">
        <v>0</v>
      </c>
      <c r="BB25" s="1">
        <v>0</v>
      </c>
      <c r="BC25">
        <v>5</v>
      </c>
      <c r="BD25">
        <v>6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>
        <v>2</v>
      </c>
      <c r="BK25">
        <v>1</v>
      </c>
      <c r="BL25">
        <v>1</v>
      </c>
      <c r="BM25">
        <v>3</v>
      </c>
      <c r="BN25" s="1">
        <v>0</v>
      </c>
      <c r="BO25">
        <v>2</v>
      </c>
      <c r="BP25" s="1">
        <v>0</v>
      </c>
      <c r="BQ25">
        <v>3</v>
      </c>
      <c r="BR25" s="1">
        <v>0</v>
      </c>
      <c r="BS25" s="1">
        <v>0</v>
      </c>
      <c r="BT25" s="1">
        <v>0</v>
      </c>
      <c r="BU25">
        <v>2</v>
      </c>
      <c r="BV25" s="1">
        <v>0</v>
      </c>
      <c r="BW25" s="1">
        <v>0</v>
      </c>
      <c r="BX25">
        <v>7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>
        <v>4</v>
      </c>
      <c r="CE25">
        <v>2</v>
      </c>
    </row>
    <row r="26" spans="1:83" x14ac:dyDescent="0.3">
      <c r="A26" s="5"/>
      <c r="B26" t="s">
        <v>92</v>
      </c>
      <c r="C26" s="2" t="s">
        <v>82</v>
      </c>
      <c r="D26" s="1">
        <v>6603</v>
      </c>
      <c r="E26">
        <v>1</v>
      </c>
      <c r="F26">
        <v>0</v>
      </c>
      <c r="G26">
        <v>10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10</v>
      </c>
      <c r="P26">
        <v>0</v>
      </c>
      <c r="Q26">
        <v>94</v>
      </c>
      <c r="R26">
        <v>2</v>
      </c>
      <c r="S26">
        <v>0</v>
      </c>
      <c r="T26">
        <v>0</v>
      </c>
      <c r="U26">
        <v>0</v>
      </c>
      <c r="V26">
        <v>0</v>
      </c>
      <c r="W26">
        <v>5</v>
      </c>
      <c r="X26">
        <v>4</v>
      </c>
      <c r="Y26">
        <v>3</v>
      </c>
      <c r="Z26">
        <v>0</v>
      </c>
      <c r="AA26">
        <v>0</v>
      </c>
      <c r="AB26">
        <v>1</v>
      </c>
      <c r="AC26">
        <v>4</v>
      </c>
      <c r="AD26">
        <v>0</v>
      </c>
      <c r="AE26">
        <v>3</v>
      </c>
      <c r="AF26">
        <v>0</v>
      </c>
      <c r="AG26">
        <v>0</v>
      </c>
      <c r="AH26">
        <v>3</v>
      </c>
      <c r="AI26">
        <v>0</v>
      </c>
      <c r="AJ26">
        <v>33</v>
      </c>
      <c r="AK26">
        <v>0</v>
      </c>
      <c r="AL26">
        <v>11</v>
      </c>
      <c r="AM26">
        <v>20</v>
      </c>
      <c r="AN26">
        <v>85</v>
      </c>
      <c r="AO26">
        <v>193</v>
      </c>
      <c r="AP26">
        <v>0</v>
      </c>
      <c r="AQ26">
        <v>0</v>
      </c>
      <c r="AR26">
        <v>59</v>
      </c>
      <c r="AS26">
        <v>927</v>
      </c>
      <c r="AT26">
        <v>5</v>
      </c>
      <c r="AU26">
        <v>119</v>
      </c>
      <c r="AV26">
        <v>13</v>
      </c>
      <c r="AW26" s="1">
        <v>0</v>
      </c>
      <c r="AX26" s="1">
        <v>0</v>
      </c>
      <c r="AY26" s="1">
        <v>0</v>
      </c>
      <c r="AZ26" s="1">
        <v>3502</v>
      </c>
      <c r="BA26">
        <v>547</v>
      </c>
      <c r="BB26">
        <v>899</v>
      </c>
      <c r="BC26" s="1">
        <v>0</v>
      </c>
      <c r="BD26">
        <v>44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>
        <v>1</v>
      </c>
      <c r="BM26" s="1">
        <v>0</v>
      </c>
      <c r="BN26" s="1">
        <v>0</v>
      </c>
      <c r="BO26" s="1">
        <v>0</v>
      </c>
      <c r="BP26" s="1">
        <v>0</v>
      </c>
      <c r="BQ26">
        <v>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>
        <v>1</v>
      </c>
      <c r="BZ26" s="1">
        <v>0</v>
      </c>
      <c r="CA26" s="1">
        <v>0</v>
      </c>
      <c r="CB26" s="1">
        <v>0</v>
      </c>
      <c r="CC26" s="1">
        <v>0</v>
      </c>
      <c r="CD26">
        <v>2</v>
      </c>
      <c r="CE26" s="1">
        <v>0</v>
      </c>
    </row>
    <row r="27" spans="1:83" x14ac:dyDescent="0.3">
      <c r="A27" s="5"/>
      <c r="B27" t="s">
        <v>92</v>
      </c>
      <c r="C27" s="2" t="s">
        <v>85</v>
      </c>
      <c r="D27" s="1">
        <v>5329</v>
      </c>
      <c r="E27">
        <v>0</v>
      </c>
      <c r="F27">
        <v>0</v>
      </c>
      <c r="G27">
        <v>2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7</v>
      </c>
      <c r="P27">
        <v>0</v>
      </c>
      <c r="Q27">
        <v>11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3</v>
      </c>
      <c r="Y27">
        <v>3</v>
      </c>
      <c r="Z27">
        <v>0</v>
      </c>
      <c r="AA27">
        <v>0</v>
      </c>
      <c r="AB27">
        <v>1</v>
      </c>
      <c r="AC27">
        <v>3</v>
      </c>
      <c r="AD27">
        <v>0</v>
      </c>
      <c r="AE27">
        <v>1</v>
      </c>
      <c r="AF27">
        <v>0</v>
      </c>
      <c r="AG27">
        <v>0</v>
      </c>
      <c r="AH27">
        <v>2</v>
      </c>
      <c r="AI27">
        <v>0</v>
      </c>
      <c r="AJ27">
        <v>19</v>
      </c>
      <c r="AK27">
        <v>0</v>
      </c>
      <c r="AL27">
        <v>5</v>
      </c>
      <c r="AM27">
        <v>8</v>
      </c>
      <c r="AN27">
        <v>61</v>
      </c>
      <c r="AO27">
        <v>193</v>
      </c>
      <c r="AP27">
        <v>0</v>
      </c>
      <c r="AQ27">
        <v>0</v>
      </c>
      <c r="AR27">
        <v>32</v>
      </c>
      <c r="AS27">
        <v>480</v>
      </c>
      <c r="AT27">
        <v>3</v>
      </c>
      <c r="AU27">
        <v>66</v>
      </c>
      <c r="AV27">
        <v>3</v>
      </c>
      <c r="AW27" s="1">
        <v>0</v>
      </c>
      <c r="AX27" s="1">
        <v>0</v>
      </c>
      <c r="AY27" s="1">
        <v>0</v>
      </c>
      <c r="AZ27" s="1">
        <v>3180</v>
      </c>
      <c r="BA27">
        <v>547</v>
      </c>
      <c r="BB27">
        <v>694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>
        <v>1</v>
      </c>
      <c r="CE27" s="1">
        <v>0</v>
      </c>
    </row>
    <row r="28" spans="1:83" x14ac:dyDescent="0.3">
      <c r="A28" s="5"/>
      <c r="B28" t="s">
        <v>92</v>
      </c>
      <c r="C28" s="2" t="s">
        <v>86</v>
      </c>
      <c r="D28" s="1">
        <v>1274</v>
      </c>
      <c r="E28">
        <v>1</v>
      </c>
      <c r="F28">
        <v>0</v>
      </c>
      <c r="G28">
        <v>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</v>
      </c>
      <c r="P28">
        <v>0</v>
      </c>
      <c r="Q28">
        <v>83</v>
      </c>
      <c r="R28">
        <v>2</v>
      </c>
      <c r="S28">
        <v>0</v>
      </c>
      <c r="T28">
        <v>0</v>
      </c>
      <c r="U28">
        <v>0</v>
      </c>
      <c r="V28">
        <v>0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2</v>
      </c>
      <c r="AF28">
        <v>0</v>
      </c>
      <c r="AG28">
        <v>0</v>
      </c>
      <c r="AH28">
        <v>1</v>
      </c>
      <c r="AI28">
        <v>0</v>
      </c>
      <c r="AJ28">
        <v>14</v>
      </c>
      <c r="AK28">
        <v>0</v>
      </c>
      <c r="AL28">
        <v>6</v>
      </c>
      <c r="AM28">
        <v>12</v>
      </c>
      <c r="AN28">
        <v>24</v>
      </c>
      <c r="AO28">
        <v>0</v>
      </c>
      <c r="AP28">
        <v>0</v>
      </c>
      <c r="AQ28">
        <v>0</v>
      </c>
      <c r="AR28">
        <v>27</v>
      </c>
      <c r="AS28">
        <v>447</v>
      </c>
      <c r="AT28">
        <v>2</v>
      </c>
      <c r="AU28">
        <v>53</v>
      </c>
      <c r="AV28">
        <v>10</v>
      </c>
      <c r="AW28" s="1">
        <v>0</v>
      </c>
      <c r="AX28" s="1">
        <v>0</v>
      </c>
      <c r="AY28" s="1">
        <v>0</v>
      </c>
      <c r="AZ28">
        <v>322</v>
      </c>
      <c r="BA28" s="1">
        <v>0</v>
      </c>
      <c r="BB28">
        <v>205</v>
      </c>
      <c r="BC28" s="1">
        <v>0</v>
      </c>
      <c r="BD28">
        <v>44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>
        <v>1</v>
      </c>
      <c r="BM28" s="1">
        <v>0</v>
      </c>
      <c r="BN28" s="1">
        <v>0</v>
      </c>
      <c r="BO28" s="1">
        <v>0</v>
      </c>
      <c r="BP28" s="1">
        <v>0</v>
      </c>
      <c r="BQ28">
        <v>1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>
        <v>1</v>
      </c>
      <c r="BZ28" s="1">
        <v>0</v>
      </c>
      <c r="CA28" s="1">
        <v>0</v>
      </c>
      <c r="CB28" s="1">
        <v>0</v>
      </c>
      <c r="CC28" s="1">
        <v>0</v>
      </c>
      <c r="CD28">
        <v>1</v>
      </c>
      <c r="CE28" s="1">
        <v>0</v>
      </c>
    </row>
    <row r="29" spans="1:83" x14ac:dyDescent="0.3">
      <c r="A29" s="5"/>
      <c r="B29" t="s">
        <v>93</v>
      </c>
      <c r="C29" s="2" t="s">
        <v>82</v>
      </c>
      <c r="D29" s="1">
        <v>6530</v>
      </c>
      <c r="E29">
        <v>1</v>
      </c>
      <c r="F29">
        <v>0</v>
      </c>
      <c r="G29">
        <v>5</v>
      </c>
      <c r="H29">
        <v>0</v>
      </c>
      <c r="I29">
        <v>12</v>
      </c>
      <c r="J29">
        <v>21</v>
      </c>
      <c r="K29">
        <v>2</v>
      </c>
      <c r="L29">
        <v>0</v>
      </c>
      <c r="M29">
        <v>0</v>
      </c>
      <c r="N29">
        <v>2</v>
      </c>
      <c r="O29">
        <v>1</v>
      </c>
      <c r="P29" s="1">
        <v>1218</v>
      </c>
      <c r="Q29">
        <v>11</v>
      </c>
      <c r="R29">
        <v>0</v>
      </c>
      <c r="S29">
        <v>0</v>
      </c>
      <c r="T29">
        <v>28</v>
      </c>
      <c r="U29">
        <v>0</v>
      </c>
      <c r="V29">
        <v>19</v>
      </c>
      <c r="W29">
        <v>0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9</v>
      </c>
      <c r="AN29">
        <v>12</v>
      </c>
      <c r="AO29">
        <v>78</v>
      </c>
      <c r="AP29">
        <v>0</v>
      </c>
      <c r="AQ29">
        <v>0</v>
      </c>
      <c r="AR29">
        <v>0</v>
      </c>
      <c r="AS29">
        <v>13</v>
      </c>
      <c r="AT29">
        <v>0</v>
      </c>
      <c r="AU29">
        <v>0</v>
      </c>
      <c r="AV29">
        <v>0</v>
      </c>
      <c r="AW29" s="1">
        <v>0</v>
      </c>
      <c r="AX29" s="1">
        <v>0</v>
      </c>
      <c r="AY29" s="1">
        <v>0</v>
      </c>
      <c r="AZ29" s="1">
        <v>3493</v>
      </c>
      <c r="BA29">
        <v>314</v>
      </c>
      <c r="BB29">
        <v>457</v>
      </c>
      <c r="BC29" s="1">
        <v>0</v>
      </c>
      <c r="BD29">
        <v>63</v>
      </c>
      <c r="BE29">
        <v>55</v>
      </c>
      <c r="BF29" s="1">
        <v>0</v>
      </c>
      <c r="BG29">
        <v>690</v>
      </c>
      <c r="BH29">
        <v>22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</row>
    <row r="30" spans="1:83" x14ac:dyDescent="0.3">
      <c r="A30" s="5"/>
      <c r="B30" t="s">
        <v>93</v>
      </c>
      <c r="C30" s="2" t="s">
        <v>85</v>
      </c>
      <c r="D30" s="1">
        <v>5659</v>
      </c>
      <c r="E30">
        <v>1</v>
      </c>
      <c r="F30">
        <v>0</v>
      </c>
      <c r="G30">
        <v>1</v>
      </c>
      <c r="H30">
        <v>0</v>
      </c>
      <c r="I30">
        <v>5</v>
      </c>
      <c r="J30">
        <v>3</v>
      </c>
      <c r="K30">
        <v>0</v>
      </c>
      <c r="L30">
        <v>0</v>
      </c>
      <c r="M30">
        <v>0</v>
      </c>
      <c r="N30">
        <v>0</v>
      </c>
      <c r="O30">
        <v>1</v>
      </c>
      <c r="P30">
        <v>447</v>
      </c>
      <c r="Q30">
        <v>4</v>
      </c>
      <c r="R30">
        <v>0</v>
      </c>
      <c r="S30">
        <v>0</v>
      </c>
      <c r="T30">
        <v>11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7</v>
      </c>
      <c r="AN30">
        <v>12</v>
      </c>
      <c r="AO30">
        <v>78</v>
      </c>
      <c r="AP30">
        <v>0</v>
      </c>
      <c r="AQ30">
        <v>0</v>
      </c>
      <c r="AR30">
        <v>0</v>
      </c>
      <c r="AS30">
        <v>6</v>
      </c>
      <c r="AT30">
        <v>0</v>
      </c>
      <c r="AU30">
        <v>0</v>
      </c>
      <c r="AV30">
        <v>0</v>
      </c>
      <c r="AW30" s="1">
        <v>0</v>
      </c>
      <c r="AX30" s="1">
        <v>0</v>
      </c>
      <c r="AY30" s="1">
        <v>0</v>
      </c>
      <c r="AZ30" s="1">
        <v>3493</v>
      </c>
      <c r="BA30">
        <v>314</v>
      </c>
      <c r="BB30">
        <v>457</v>
      </c>
      <c r="BC30" s="1">
        <v>0</v>
      </c>
      <c r="BD30">
        <v>50</v>
      </c>
      <c r="BE30">
        <v>55</v>
      </c>
      <c r="BF30" s="1">
        <v>0</v>
      </c>
      <c r="BG30">
        <v>689</v>
      </c>
      <c r="BH30">
        <v>22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</row>
    <row r="31" spans="1:83" x14ac:dyDescent="0.3">
      <c r="A31" s="5"/>
      <c r="B31" t="s">
        <v>93</v>
      </c>
      <c r="C31" s="2" t="s">
        <v>86</v>
      </c>
      <c r="D31">
        <v>871</v>
      </c>
      <c r="E31">
        <v>0</v>
      </c>
      <c r="F31">
        <v>0</v>
      </c>
      <c r="G31">
        <v>4</v>
      </c>
      <c r="H31">
        <v>0</v>
      </c>
      <c r="I31">
        <v>7</v>
      </c>
      <c r="J31">
        <v>18</v>
      </c>
      <c r="K31">
        <v>2</v>
      </c>
      <c r="L31">
        <v>0</v>
      </c>
      <c r="M31">
        <v>0</v>
      </c>
      <c r="N31">
        <v>2</v>
      </c>
      <c r="O31">
        <v>0</v>
      </c>
      <c r="P31">
        <v>771</v>
      </c>
      <c r="Q31">
        <v>7</v>
      </c>
      <c r="R31">
        <v>0</v>
      </c>
      <c r="S31">
        <v>0</v>
      </c>
      <c r="T31">
        <v>17</v>
      </c>
      <c r="U31">
        <v>0</v>
      </c>
      <c r="V31">
        <v>18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7</v>
      </c>
      <c r="AT31">
        <v>0</v>
      </c>
      <c r="AU31">
        <v>0</v>
      </c>
      <c r="AV3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>
        <v>13</v>
      </c>
      <c r="BE31" s="1">
        <v>0</v>
      </c>
      <c r="BF31" s="1">
        <v>0</v>
      </c>
      <c r="BG31">
        <v>1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</row>
    <row r="32" spans="1:83" x14ac:dyDescent="0.3">
      <c r="A32" s="5"/>
      <c r="B32" t="s">
        <v>94</v>
      </c>
      <c r="C32" s="2" t="s">
        <v>82</v>
      </c>
      <c r="D32" s="1">
        <v>5128</v>
      </c>
      <c r="E32">
        <v>0</v>
      </c>
      <c r="F32">
        <v>5</v>
      </c>
      <c r="G32">
        <v>322</v>
      </c>
      <c r="H32">
        <v>12</v>
      </c>
      <c r="I32">
        <v>0</v>
      </c>
      <c r="J32">
        <v>25</v>
      </c>
      <c r="K32">
        <v>6</v>
      </c>
      <c r="L32">
        <v>17</v>
      </c>
      <c r="M32">
        <v>4</v>
      </c>
      <c r="N32">
        <v>28</v>
      </c>
      <c r="O32">
        <v>96</v>
      </c>
      <c r="P32">
        <v>235</v>
      </c>
      <c r="Q32">
        <v>109</v>
      </c>
      <c r="R32">
        <v>65</v>
      </c>
      <c r="S32">
        <v>0</v>
      </c>
      <c r="T32">
        <v>0</v>
      </c>
      <c r="U32">
        <v>1</v>
      </c>
      <c r="V32">
        <v>6</v>
      </c>
      <c r="W32">
        <v>76</v>
      </c>
      <c r="X32">
        <v>25</v>
      </c>
      <c r="Y32">
        <v>187</v>
      </c>
      <c r="Z32">
        <v>1</v>
      </c>
      <c r="AA32">
        <v>2</v>
      </c>
      <c r="AB32">
        <v>295</v>
      </c>
      <c r="AC32">
        <v>3</v>
      </c>
      <c r="AD32">
        <v>0</v>
      </c>
      <c r="AE32">
        <v>26</v>
      </c>
      <c r="AF32">
        <v>25</v>
      </c>
      <c r="AG32">
        <v>0</v>
      </c>
      <c r="AH32">
        <v>151</v>
      </c>
      <c r="AI32">
        <v>0</v>
      </c>
      <c r="AJ32">
        <v>197</v>
      </c>
      <c r="AK32">
        <v>54</v>
      </c>
      <c r="AL32">
        <v>2</v>
      </c>
      <c r="AM32">
        <v>221</v>
      </c>
      <c r="AN32" s="1">
        <v>2157</v>
      </c>
      <c r="AO32">
        <v>11</v>
      </c>
      <c r="AP32">
        <v>7</v>
      </c>
      <c r="AQ32">
        <v>10</v>
      </c>
      <c r="AR32">
        <v>0</v>
      </c>
      <c r="AS32">
        <v>164</v>
      </c>
      <c r="AT32">
        <v>0</v>
      </c>
      <c r="AU32">
        <v>13</v>
      </c>
      <c r="AV32">
        <v>8</v>
      </c>
      <c r="AW32" s="1">
        <v>0</v>
      </c>
      <c r="AX32" s="1">
        <v>0</v>
      </c>
      <c r="AY32" s="1">
        <v>0</v>
      </c>
      <c r="AZ32">
        <v>365</v>
      </c>
      <c r="BA32" s="1">
        <v>0</v>
      </c>
      <c r="BB32" s="1">
        <v>0</v>
      </c>
      <c r="BC32" s="1">
        <v>0</v>
      </c>
      <c r="BD32">
        <v>27</v>
      </c>
      <c r="BE32" s="1">
        <v>0</v>
      </c>
      <c r="BF32" s="1">
        <v>0</v>
      </c>
      <c r="BG32" s="1">
        <v>0</v>
      </c>
      <c r="BH32">
        <v>9</v>
      </c>
      <c r="BI32" s="1">
        <v>0</v>
      </c>
      <c r="BJ32">
        <v>82</v>
      </c>
      <c r="BK32" s="1">
        <v>0</v>
      </c>
      <c r="BL32" s="1">
        <v>0</v>
      </c>
      <c r="BM32" s="1">
        <v>0</v>
      </c>
      <c r="BN32">
        <v>2</v>
      </c>
      <c r="BO32">
        <v>14</v>
      </c>
      <c r="BP32" s="1">
        <v>0</v>
      </c>
      <c r="BQ32">
        <v>7</v>
      </c>
      <c r="BR32">
        <v>2</v>
      </c>
      <c r="BS32" s="1">
        <v>0</v>
      </c>
      <c r="BT32" s="1">
        <v>0</v>
      </c>
      <c r="BU32">
        <v>1</v>
      </c>
      <c r="BV32">
        <v>1</v>
      </c>
      <c r="BW32">
        <v>10</v>
      </c>
      <c r="BX32" s="1">
        <v>0</v>
      </c>
      <c r="BY32">
        <v>2</v>
      </c>
      <c r="BZ32" s="1">
        <v>0</v>
      </c>
      <c r="CA32">
        <v>6</v>
      </c>
      <c r="CB32" s="1">
        <v>0</v>
      </c>
      <c r="CC32">
        <v>3</v>
      </c>
      <c r="CD32">
        <v>21</v>
      </c>
      <c r="CE32">
        <v>10</v>
      </c>
    </row>
    <row r="33" spans="1:83" x14ac:dyDescent="0.3">
      <c r="A33" s="5"/>
      <c r="B33" t="s">
        <v>94</v>
      </c>
      <c r="C33" s="2" t="s">
        <v>85</v>
      </c>
      <c r="D33" s="1">
        <v>3233</v>
      </c>
      <c r="E33">
        <v>0</v>
      </c>
      <c r="F33">
        <v>2</v>
      </c>
      <c r="G33">
        <v>66</v>
      </c>
      <c r="H33">
        <v>7</v>
      </c>
      <c r="I33">
        <v>0</v>
      </c>
      <c r="J33">
        <v>7</v>
      </c>
      <c r="K33">
        <v>3</v>
      </c>
      <c r="L33">
        <v>4</v>
      </c>
      <c r="M33">
        <v>2</v>
      </c>
      <c r="N33">
        <v>10</v>
      </c>
      <c r="O33">
        <v>94</v>
      </c>
      <c r="P33">
        <v>148</v>
      </c>
      <c r="Q33">
        <v>34</v>
      </c>
      <c r="R33">
        <v>19</v>
      </c>
      <c r="S33">
        <v>0</v>
      </c>
      <c r="T33">
        <v>0</v>
      </c>
      <c r="U33">
        <v>1</v>
      </c>
      <c r="V33">
        <v>2</v>
      </c>
      <c r="W33">
        <v>51</v>
      </c>
      <c r="X33">
        <v>21</v>
      </c>
      <c r="Y33">
        <v>132</v>
      </c>
      <c r="Z33">
        <v>1</v>
      </c>
      <c r="AA33">
        <v>2</v>
      </c>
      <c r="AB33">
        <v>289</v>
      </c>
      <c r="AC33">
        <v>3</v>
      </c>
      <c r="AD33">
        <v>0</v>
      </c>
      <c r="AE33">
        <v>20</v>
      </c>
      <c r="AF33">
        <v>1</v>
      </c>
      <c r="AG33">
        <v>0</v>
      </c>
      <c r="AH33">
        <v>112</v>
      </c>
      <c r="AI33">
        <v>0</v>
      </c>
      <c r="AJ33">
        <v>128</v>
      </c>
      <c r="AK33">
        <v>37</v>
      </c>
      <c r="AL33">
        <v>1</v>
      </c>
      <c r="AM33">
        <v>130</v>
      </c>
      <c r="AN33" s="1">
        <v>1377</v>
      </c>
      <c r="AO33">
        <v>11</v>
      </c>
      <c r="AP33">
        <v>4</v>
      </c>
      <c r="AQ33">
        <v>10</v>
      </c>
      <c r="AR33">
        <v>0</v>
      </c>
      <c r="AS33">
        <v>94</v>
      </c>
      <c r="AT33">
        <v>0</v>
      </c>
      <c r="AU33">
        <v>8</v>
      </c>
      <c r="AV33">
        <v>4</v>
      </c>
      <c r="AW33" s="1">
        <v>0</v>
      </c>
      <c r="AX33" s="1">
        <v>0</v>
      </c>
      <c r="AY33" s="1">
        <v>0</v>
      </c>
      <c r="AZ33">
        <v>318</v>
      </c>
      <c r="BA33" s="1">
        <v>0</v>
      </c>
      <c r="BB33" s="1">
        <v>0</v>
      </c>
      <c r="BC33" s="1">
        <v>0</v>
      </c>
      <c r="BD33">
        <v>16</v>
      </c>
      <c r="BE33" s="1">
        <v>0</v>
      </c>
      <c r="BF33" s="1">
        <v>0</v>
      </c>
      <c r="BG33" s="1">
        <v>0</v>
      </c>
      <c r="BH33">
        <v>9</v>
      </c>
      <c r="BI33" s="1">
        <v>0</v>
      </c>
      <c r="BJ33">
        <v>29</v>
      </c>
      <c r="BK33" s="1">
        <v>0</v>
      </c>
      <c r="BL33" s="1">
        <v>0</v>
      </c>
      <c r="BM33" s="1">
        <v>0</v>
      </c>
      <c r="BN33">
        <v>2</v>
      </c>
      <c r="BO33">
        <v>6</v>
      </c>
      <c r="BP33" s="1">
        <v>0</v>
      </c>
      <c r="BQ33">
        <v>4</v>
      </c>
      <c r="BR33">
        <v>2</v>
      </c>
      <c r="BS33" s="1">
        <v>0</v>
      </c>
      <c r="BT33" s="1">
        <v>0</v>
      </c>
      <c r="BU33" s="1">
        <v>0</v>
      </c>
      <c r="BV33" s="1">
        <v>0</v>
      </c>
      <c r="BW33">
        <v>3</v>
      </c>
      <c r="BX33" s="1">
        <v>0</v>
      </c>
      <c r="BY33">
        <v>2</v>
      </c>
      <c r="BZ33" s="1">
        <v>0</v>
      </c>
      <c r="CA33">
        <v>1</v>
      </c>
      <c r="CB33" s="1">
        <v>0</v>
      </c>
      <c r="CC33">
        <v>1</v>
      </c>
      <c r="CD33">
        <v>1</v>
      </c>
      <c r="CE33">
        <v>4</v>
      </c>
    </row>
    <row r="34" spans="1:83" x14ac:dyDescent="0.3">
      <c r="A34" s="5"/>
      <c r="B34" t="s">
        <v>94</v>
      </c>
      <c r="C34" s="2" t="s">
        <v>86</v>
      </c>
      <c r="D34" s="1">
        <v>1895</v>
      </c>
      <c r="E34">
        <v>0</v>
      </c>
      <c r="F34">
        <v>3</v>
      </c>
      <c r="G34">
        <v>256</v>
      </c>
      <c r="H34">
        <v>5</v>
      </c>
      <c r="I34">
        <v>0</v>
      </c>
      <c r="J34">
        <v>18</v>
      </c>
      <c r="K34">
        <v>3</v>
      </c>
      <c r="L34">
        <v>13</v>
      </c>
      <c r="M34">
        <v>2</v>
      </c>
      <c r="N34">
        <v>18</v>
      </c>
      <c r="O34">
        <v>2</v>
      </c>
      <c r="P34">
        <v>87</v>
      </c>
      <c r="Q34">
        <v>75</v>
      </c>
      <c r="R34">
        <v>46</v>
      </c>
      <c r="S34">
        <v>0</v>
      </c>
      <c r="T34">
        <v>0</v>
      </c>
      <c r="U34">
        <v>0</v>
      </c>
      <c r="V34">
        <v>4</v>
      </c>
      <c r="W34">
        <v>25</v>
      </c>
      <c r="X34">
        <v>4</v>
      </c>
      <c r="Y34">
        <v>55</v>
      </c>
      <c r="Z34">
        <v>0</v>
      </c>
      <c r="AA34">
        <v>0</v>
      </c>
      <c r="AB34">
        <v>6</v>
      </c>
      <c r="AC34">
        <v>0</v>
      </c>
      <c r="AD34">
        <v>0</v>
      </c>
      <c r="AE34">
        <v>6</v>
      </c>
      <c r="AF34">
        <v>24</v>
      </c>
      <c r="AG34">
        <v>0</v>
      </c>
      <c r="AH34">
        <v>39</v>
      </c>
      <c r="AI34">
        <v>0</v>
      </c>
      <c r="AJ34">
        <v>69</v>
      </c>
      <c r="AK34">
        <v>17</v>
      </c>
      <c r="AL34">
        <v>1</v>
      </c>
      <c r="AM34">
        <v>91</v>
      </c>
      <c r="AN34">
        <v>780</v>
      </c>
      <c r="AO34">
        <v>0</v>
      </c>
      <c r="AP34">
        <v>3</v>
      </c>
      <c r="AQ34">
        <v>0</v>
      </c>
      <c r="AR34">
        <v>0</v>
      </c>
      <c r="AS34">
        <v>70</v>
      </c>
      <c r="AT34">
        <v>0</v>
      </c>
      <c r="AU34">
        <v>5</v>
      </c>
      <c r="AV34">
        <v>4</v>
      </c>
      <c r="AW34" s="1">
        <v>0</v>
      </c>
      <c r="AX34" s="1">
        <v>0</v>
      </c>
      <c r="AY34" s="1">
        <v>0</v>
      </c>
      <c r="AZ34">
        <v>47</v>
      </c>
      <c r="BA34" s="1">
        <v>0</v>
      </c>
      <c r="BB34" s="1">
        <v>0</v>
      </c>
      <c r="BC34" s="1">
        <v>0</v>
      </c>
      <c r="BD34">
        <v>11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>
        <v>53</v>
      </c>
      <c r="BK34" s="1">
        <v>0</v>
      </c>
      <c r="BL34" s="1">
        <v>0</v>
      </c>
      <c r="BM34" s="1">
        <v>0</v>
      </c>
      <c r="BN34" s="1">
        <v>0</v>
      </c>
      <c r="BO34">
        <v>8</v>
      </c>
      <c r="BP34" s="1">
        <v>0</v>
      </c>
      <c r="BQ34">
        <v>3</v>
      </c>
      <c r="BR34" s="1">
        <v>0</v>
      </c>
      <c r="BS34" s="1">
        <v>0</v>
      </c>
      <c r="BT34" s="1">
        <v>0</v>
      </c>
      <c r="BU34">
        <v>1</v>
      </c>
      <c r="BV34">
        <v>1</v>
      </c>
      <c r="BW34">
        <v>7</v>
      </c>
      <c r="BX34" s="1">
        <v>0</v>
      </c>
      <c r="BY34" s="1">
        <v>0</v>
      </c>
      <c r="BZ34" s="1">
        <v>0</v>
      </c>
      <c r="CA34">
        <v>5</v>
      </c>
      <c r="CB34" s="1">
        <v>0</v>
      </c>
      <c r="CC34">
        <v>2</v>
      </c>
      <c r="CD34">
        <v>20</v>
      </c>
      <c r="CE34">
        <v>6</v>
      </c>
    </row>
    <row r="35" spans="1:83" x14ac:dyDescent="0.3">
      <c r="A35" s="5"/>
      <c r="B35" t="s">
        <v>95</v>
      </c>
      <c r="C35" s="2" t="s">
        <v>82</v>
      </c>
      <c r="D35" s="1">
        <v>4070</v>
      </c>
      <c r="E35">
        <v>3</v>
      </c>
      <c r="F35">
        <v>0</v>
      </c>
      <c r="G35">
        <v>389</v>
      </c>
      <c r="H35">
        <v>1</v>
      </c>
      <c r="I35">
        <v>1</v>
      </c>
      <c r="J35">
        <v>29</v>
      </c>
      <c r="K35">
        <v>1</v>
      </c>
      <c r="L35">
        <v>1</v>
      </c>
      <c r="M35">
        <v>0</v>
      </c>
      <c r="N35">
        <v>0</v>
      </c>
      <c r="O35">
        <v>0</v>
      </c>
      <c r="P35" s="1">
        <v>1419</v>
      </c>
      <c r="Q35">
        <v>42</v>
      </c>
      <c r="R35">
        <v>13</v>
      </c>
      <c r="S35">
        <v>0</v>
      </c>
      <c r="T35">
        <v>3</v>
      </c>
      <c r="U35">
        <v>0</v>
      </c>
      <c r="V35">
        <v>4</v>
      </c>
      <c r="W35">
        <v>3</v>
      </c>
      <c r="X35">
        <v>0</v>
      </c>
      <c r="Y35">
        <v>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3</v>
      </c>
      <c r="AI35">
        <v>0</v>
      </c>
      <c r="AJ35">
        <v>12</v>
      </c>
      <c r="AK35">
        <v>47</v>
      </c>
      <c r="AL35">
        <v>4</v>
      </c>
      <c r="AM35">
        <v>5</v>
      </c>
      <c r="AN35">
        <v>2</v>
      </c>
      <c r="AO35">
        <v>20</v>
      </c>
      <c r="AP35">
        <v>0</v>
      </c>
      <c r="AQ35">
        <v>0</v>
      </c>
      <c r="AR35">
        <v>459</v>
      </c>
      <c r="AS35">
        <v>86</v>
      </c>
      <c r="AT35">
        <v>707</v>
      </c>
      <c r="AU35">
        <v>0</v>
      </c>
      <c r="AV35">
        <v>0</v>
      </c>
      <c r="AW35" s="1">
        <v>0</v>
      </c>
      <c r="AX35" s="1">
        <v>0</v>
      </c>
      <c r="AY35">
        <v>2</v>
      </c>
      <c r="AZ35">
        <v>635</v>
      </c>
      <c r="BA35">
        <v>2</v>
      </c>
      <c r="BB35">
        <v>28</v>
      </c>
      <c r="BC35" s="1">
        <v>0</v>
      </c>
      <c r="BD35">
        <v>56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>
        <v>44</v>
      </c>
      <c r="BK35" s="1">
        <v>0</v>
      </c>
      <c r="BL35" s="1">
        <v>0</v>
      </c>
      <c r="BM35" s="1">
        <v>0</v>
      </c>
      <c r="BN35" s="1">
        <v>0</v>
      </c>
      <c r="BO35">
        <v>8</v>
      </c>
      <c r="BP35" s="1">
        <v>0</v>
      </c>
      <c r="BQ35" s="1">
        <v>0</v>
      </c>
      <c r="BR35">
        <v>3</v>
      </c>
      <c r="BS35">
        <v>5</v>
      </c>
      <c r="BT35" s="1">
        <v>0</v>
      </c>
      <c r="BU35">
        <v>2</v>
      </c>
      <c r="BV35" s="1">
        <v>0</v>
      </c>
      <c r="BW35">
        <v>4</v>
      </c>
      <c r="BX35" s="1">
        <v>0</v>
      </c>
      <c r="BY35" s="1">
        <v>0</v>
      </c>
      <c r="BZ35" s="1">
        <v>0</v>
      </c>
      <c r="CA35">
        <v>1</v>
      </c>
      <c r="CB35" s="1">
        <v>0</v>
      </c>
      <c r="CC35">
        <v>2</v>
      </c>
      <c r="CD35" s="1">
        <v>0</v>
      </c>
      <c r="CE35">
        <v>17</v>
      </c>
    </row>
    <row r="36" spans="1:83" x14ac:dyDescent="0.3">
      <c r="A36" s="5"/>
      <c r="B36" t="s">
        <v>95</v>
      </c>
      <c r="C36" s="2" t="s">
        <v>85</v>
      </c>
      <c r="D36" s="1">
        <v>2263</v>
      </c>
      <c r="E36">
        <v>1</v>
      </c>
      <c r="F36">
        <v>0</v>
      </c>
      <c r="G36">
        <v>148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720</v>
      </c>
      <c r="Q36">
        <v>14</v>
      </c>
      <c r="R36">
        <v>6</v>
      </c>
      <c r="S36">
        <v>0</v>
      </c>
      <c r="T36">
        <v>3</v>
      </c>
      <c r="U36">
        <v>0</v>
      </c>
      <c r="V36">
        <v>2</v>
      </c>
      <c r="W36">
        <v>2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7</v>
      </c>
      <c r="AK36">
        <v>29</v>
      </c>
      <c r="AL36">
        <v>3</v>
      </c>
      <c r="AM36">
        <v>4</v>
      </c>
      <c r="AN36">
        <v>0</v>
      </c>
      <c r="AO36">
        <v>19</v>
      </c>
      <c r="AP36">
        <v>0</v>
      </c>
      <c r="AQ36">
        <v>0</v>
      </c>
      <c r="AR36">
        <v>146</v>
      </c>
      <c r="AS36">
        <v>45</v>
      </c>
      <c r="AT36">
        <v>483</v>
      </c>
      <c r="AU36">
        <v>0</v>
      </c>
      <c r="AV36">
        <v>0</v>
      </c>
      <c r="AW36" s="1">
        <v>0</v>
      </c>
      <c r="AX36" s="1">
        <v>0</v>
      </c>
      <c r="AY36" s="1">
        <v>0</v>
      </c>
      <c r="AZ36">
        <v>540</v>
      </c>
      <c r="BA36">
        <v>2</v>
      </c>
      <c r="BB36">
        <v>28</v>
      </c>
      <c r="BC36" s="1">
        <v>0</v>
      </c>
      <c r="BD36">
        <v>27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>
        <v>5</v>
      </c>
      <c r="BK36" s="1">
        <v>0</v>
      </c>
      <c r="BL36" s="1">
        <v>0</v>
      </c>
      <c r="BM36" s="1">
        <v>0</v>
      </c>
      <c r="BN36" s="1">
        <v>0</v>
      </c>
      <c r="BO36">
        <v>5</v>
      </c>
      <c r="BP36" s="1">
        <v>0</v>
      </c>
      <c r="BQ36" s="1">
        <v>0</v>
      </c>
      <c r="BR36">
        <v>1</v>
      </c>
      <c r="BS36">
        <v>3</v>
      </c>
      <c r="BT36" s="1">
        <v>0</v>
      </c>
      <c r="BU36">
        <v>1</v>
      </c>
      <c r="BV36">
        <v>0</v>
      </c>
      <c r="BW36">
        <v>2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>
        <v>1</v>
      </c>
      <c r="CD36" s="1">
        <v>0</v>
      </c>
      <c r="CE36">
        <v>10</v>
      </c>
    </row>
    <row r="37" spans="1:83" x14ac:dyDescent="0.3">
      <c r="A37" s="5"/>
      <c r="B37" t="s">
        <v>95</v>
      </c>
      <c r="C37" s="2" t="s">
        <v>86</v>
      </c>
      <c r="D37" s="1">
        <v>1807</v>
      </c>
      <c r="E37">
        <v>2</v>
      </c>
      <c r="F37">
        <v>0</v>
      </c>
      <c r="G37">
        <v>241</v>
      </c>
      <c r="H37">
        <v>0</v>
      </c>
      <c r="I37">
        <v>1</v>
      </c>
      <c r="J37">
        <v>29</v>
      </c>
      <c r="K37">
        <v>1</v>
      </c>
      <c r="L37">
        <v>1</v>
      </c>
      <c r="M37">
        <v>0</v>
      </c>
      <c r="N37">
        <v>0</v>
      </c>
      <c r="O37">
        <v>0</v>
      </c>
      <c r="P37">
        <v>699</v>
      </c>
      <c r="Q37">
        <v>28</v>
      </c>
      <c r="R37">
        <v>7</v>
      </c>
      <c r="S37">
        <v>0</v>
      </c>
      <c r="T37">
        <v>0</v>
      </c>
      <c r="U37">
        <v>0</v>
      </c>
      <c r="V37">
        <v>2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2</v>
      </c>
      <c r="AI37">
        <v>0</v>
      </c>
      <c r="AJ37">
        <v>5</v>
      </c>
      <c r="AK37">
        <v>18</v>
      </c>
      <c r="AL37">
        <v>1</v>
      </c>
      <c r="AM37">
        <v>1</v>
      </c>
      <c r="AN37">
        <v>2</v>
      </c>
      <c r="AO37">
        <v>1</v>
      </c>
      <c r="AP37">
        <v>0</v>
      </c>
      <c r="AQ37">
        <v>0</v>
      </c>
      <c r="AR37">
        <v>313</v>
      </c>
      <c r="AS37">
        <v>41</v>
      </c>
      <c r="AT37">
        <v>224</v>
      </c>
      <c r="AU37">
        <v>0</v>
      </c>
      <c r="AV37">
        <v>0</v>
      </c>
      <c r="AW37" s="1">
        <v>0</v>
      </c>
      <c r="AX37" s="1">
        <v>0</v>
      </c>
      <c r="AY37">
        <v>2</v>
      </c>
      <c r="AZ37">
        <v>95</v>
      </c>
      <c r="BA37" s="1">
        <v>0</v>
      </c>
      <c r="BB37" s="1">
        <v>0</v>
      </c>
      <c r="BC37" s="1">
        <v>0</v>
      </c>
      <c r="BD37">
        <v>29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>
        <v>39</v>
      </c>
      <c r="BK37" s="1">
        <v>0</v>
      </c>
      <c r="BL37" s="1">
        <v>0</v>
      </c>
      <c r="BM37" s="1">
        <v>0</v>
      </c>
      <c r="BN37" s="1">
        <v>0</v>
      </c>
      <c r="BO37">
        <v>3</v>
      </c>
      <c r="BP37" s="1">
        <v>0</v>
      </c>
      <c r="BQ37" s="1">
        <v>0</v>
      </c>
      <c r="BR37">
        <v>2</v>
      </c>
      <c r="BS37">
        <v>2</v>
      </c>
      <c r="BT37" s="1">
        <v>0</v>
      </c>
      <c r="BU37">
        <v>1</v>
      </c>
      <c r="BV37" s="1">
        <v>0</v>
      </c>
      <c r="BW37">
        <v>2</v>
      </c>
      <c r="BX37" s="1">
        <v>0</v>
      </c>
      <c r="BY37" s="1">
        <v>0</v>
      </c>
      <c r="BZ37" s="1">
        <v>0</v>
      </c>
      <c r="CA37">
        <v>1</v>
      </c>
      <c r="CB37" s="1">
        <v>0</v>
      </c>
      <c r="CC37">
        <v>1</v>
      </c>
      <c r="CD37" s="1">
        <v>0</v>
      </c>
      <c r="CE37">
        <v>7</v>
      </c>
    </row>
    <row r="38" spans="1:83" x14ac:dyDescent="0.3">
      <c r="A38" s="5"/>
      <c r="B38" t="s">
        <v>96</v>
      </c>
      <c r="C38" s="2" t="s">
        <v>82</v>
      </c>
      <c r="D38" s="1">
        <v>4051</v>
      </c>
      <c r="E38">
        <v>0</v>
      </c>
      <c r="F38">
        <v>0</v>
      </c>
      <c r="G38">
        <v>0</v>
      </c>
      <c r="H38">
        <v>0</v>
      </c>
      <c r="I38">
        <v>0</v>
      </c>
      <c r="J38">
        <v>14</v>
      </c>
      <c r="K38">
        <v>2</v>
      </c>
      <c r="L38">
        <v>2</v>
      </c>
      <c r="M38">
        <v>0</v>
      </c>
      <c r="N38">
        <v>0</v>
      </c>
      <c r="O38">
        <v>0</v>
      </c>
      <c r="P38">
        <v>36</v>
      </c>
      <c r="Q38">
        <v>2</v>
      </c>
      <c r="R38">
        <v>1</v>
      </c>
      <c r="S38">
        <v>0</v>
      </c>
      <c r="T38">
        <v>2</v>
      </c>
      <c r="U38">
        <v>0</v>
      </c>
      <c r="V38">
        <v>12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</v>
      </c>
      <c r="AL38">
        <v>0</v>
      </c>
      <c r="AM38">
        <v>5</v>
      </c>
      <c r="AN38">
        <v>3</v>
      </c>
      <c r="AO38">
        <v>178</v>
      </c>
      <c r="AP38">
        <v>0</v>
      </c>
      <c r="AQ38">
        <v>0</v>
      </c>
      <c r="AR38">
        <v>15</v>
      </c>
      <c r="AS38">
        <v>14</v>
      </c>
      <c r="AT38">
        <v>0</v>
      </c>
      <c r="AU38">
        <v>5</v>
      </c>
      <c r="AV38">
        <v>1</v>
      </c>
      <c r="AW38" s="1">
        <v>0</v>
      </c>
      <c r="AX38" s="1">
        <v>0</v>
      </c>
      <c r="AY38" s="1">
        <v>0</v>
      </c>
      <c r="AZ38" s="1">
        <v>2783</v>
      </c>
      <c r="BA38">
        <v>35</v>
      </c>
      <c r="BB38">
        <v>2</v>
      </c>
      <c r="BC38">
        <v>888</v>
      </c>
      <c r="BD38">
        <v>39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>
        <v>1</v>
      </c>
      <c r="BK38">
        <v>1</v>
      </c>
      <c r="BL38">
        <v>2</v>
      </c>
      <c r="BM38">
        <v>1</v>
      </c>
      <c r="BN38" s="1">
        <v>0</v>
      </c>
      <c r="BO38">
        <v>1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</row>
    <row r="39" spans="1:83" x14ac:dyDescent="0.3">
      <c r="A39" s="5"/>
      <c r="B39" t="s">
        <v>96</v>
      </c>
      <c r="C39" s="2" t="s">
        <v>85</v>
      </c>
      <c r="D39" s="1">
        <v>3859</v>
      </c>
      <c r="E39">
        <v>0</v>
      </c>
      <c r="F39">
        <v>0</v>
      </c>
      <c r="G39">
        <v>0</v>
      </c>
      <c r="H39">
        <v>0</v>
      </c>
      <c r="I39">
        <v>0</v>
      </c>
      <c r="J39">
        <v>9</v>
      </c>
      <c r="K39">
        <v>0</v>
      </c>
      <c r="L39">
        <v>2</v>
      </c>
      <c r="M39">
        <v>0</v>
      </c>
      <c r="N39">
        <v>0</v>
      </c>
      <c r="O39">
        <v>0</v>
      </c>
      <c r="P39">
        <v>20</v>
      </c>
      <c r="Q39">
        <v>1</v>
      </c>
      <c r="R39">
        <v>0</v>
      </c>
      <c r="S39">
        <v>0</v>
      </c>
      <c r="T39">
        <v>0</v>
      </c>
      <c r="U39">
        <v>0</v>
      </c>
      <c r="V39">
        <v>12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2</v>
      </c>
      <c r="AK39">
        <v>0</v>
      </c>
      <c r="AL39">
        <v>0</v>
      </c>
      <c r="AM39">
        <v>5</v>
      </c>
      <c r="AN39">
        <v>3</v>
      </c>
      <c r="AO39">
        <v>178</v>
      </c>
      <c r="AP39">
        <v>0</v>
      </c>
      <c r="AQ39">
        <v>0</v>
      </c>
      <c r="AR39">
        <v>13</v>
      </c>
      <c r="AS39">
        <v>10</v>
      </c>
      <c r="AT39">
        <v>0</v>
      </c>
      <c r="AU39">
        <v>3</v>
      </c>
      <c r="AV39">
        <v>1</v>
      </c>
      <c r="AW39" s="1">
        <v>0</v>
      </c>
      <c r="AX39" s="1">
        <v>0</v>
      </c>
      <c r="AY39">
        <v>0</v>
      </c>
      <c r="AZ39" s="1">
        <v>2649</v>
      </c>
      <c r="BA39">
        <v>35</v>
      </c>
      <c r="BB39">
        <v>2</v>
      </c>
      <c r="BC39">
        <v>871</v>
      </c>
      <c r="BD39">
        <v>38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>
        <v>1</v>
      </c>
      <c r="BL39">
        <v>1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</row>
    <row r="40" spans="1:83" x14ac:dyDescent="0.3">
      <c r="A40" s="5"/>
      <c r="B40" t="s">
        <v>96</v>
      </c>
      <c r="C40" s="2" t="s">
        <v>86</v>
      </c>
      <c r="D40">
        <v>192</v>
      </c>
      <c r="E40">
        <v>0</v>
      </c>
      <c r="F40">
        <v>0</v>
      </c>
      <c r="G40">
        <v>0</v>
      </c>
      <c r="H40">
        <v>0</v>
      </c>
      <c r="I40">
        <v>0</v>
      </c>
      <c r="J40">
        <v>5</v>
      </c>
      <c r="K40">
        <v>2</v>
      </c>
      <c r="L40">
        <v>0</v>
      </c>
      <c r="M40">
        <v>0</v>
      </c>
      <c r="N40">
        <v>0</v>
      </c>
      <c r="O40">
        <v>0</v>
      </c>
      <c r="P40">
        <v>16</v>
      </c>
      <c r="Q40">
        <v>1</v>
      </c>
      <c r="R40">
        <v>1</v>
      </c>
      <c r="S40">
        <v>0</v>
      </c>
      <c r="T40">
        <v>2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>
        <v>4</v>
      </c>
      <c r="AT40">
        <v>0</v>
      </c>
      <c r="AU40">
        <v>2</v>
      </c>
      <c r="AV40">
        <v>0</v>
      </c>
      <c r="AW40" s="1">
        <v>0</v>
      </c>
      <c r="AX40" s="1">
        <v>0</v>
      </c>
      <c r="AY40" s="1">
        <v>0</v>
      </c>
      <c r="AZ40">
        <v>134</v>
      </c>
      <c r="BA40" s="1">
        <v>0</v>
      </c>
      <c r="BB40" s="1">
        <v>0</v>
      </c>
      <c r="BC40">
        <v>17</v>
      </c>
      <c r="BD40">
        <v>1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>
        <v>1</v>
      </c>
      <c r="BK40" s="1">
        <v>0</v>
      </c>
      <c r="BL40">
        <v>1</v>
      </c>
      <c r="BM40">
        <v>1</v>
      </c>
      <c r="BN40" s="1">
        <v>0</v>
      </c>
      <c r="BO40">
        <v>1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</row>
    <row r="41" spans="1:83" x14ac:dyDescent="0.3">
      <c r="A41" s="5"/>
      <c r="B41" t="s">
        <v>97</v>
      </c>
      <c r="C41" s="2" t="s">
        <v>82</v>
      </c>
      <c r="D41" s="1">
        <v>4013</v>
      </c>
      <c r="E41">
        <v>0</v>
      </c>
      <c r="F41">
        <v>0</v>
      </c>
      <c r="G41">
        <v>110</v>
      </c>
      <c r="H41">
        <v>2</v>
      </c>
      <c r="I41">
        <v>86</v>
      </c>
      <c r="J41">
        <v>59</v>
      </c>
      <c r="K41">
        <v>3</v>
      </c>
      <c r="L41">
        <v>1</v>
      </c>
      <c r="M41">
        <v>0</v>
      </c>
      <c r="N41">
        <v>14</v>
      </c>
      <c r="O41">
        <v>21</v>
      </c>
      <c r="P41">
        <v>983</v>
      </c>
      <c r="Q41">
        <v>12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5</v>
      </c>
      <c r="AG41">
        <v>0</v>
      </c>
      <c r="AH41">
        <v>2</v>
      </c>
      <c r="AI41">
        <v>0</v>
      </c>
      <c r="AJ41">
        <v>6</v>
      </c>
      <c r="AK41">
        <v>14</v>
      </c>
      <c r="AL41">
        <v>3</v>
      </c>
      <c r="AM41">
        <v>39</v>
      </c>
      <c r="AN41">
        <v>3</v>
      </c>
      <c r="AO41">
        <v>84</v>
      </c>
      <c r="AP41">
        <v>0</v>
      </c>
      <c r="AQ41">
        <v>0</v>
      </c>
      <c r="AR41">
        <v>0</v>
      </c>
      <c r="AS41">
        <v>97</v>
      </c>
      <c r="AT41">
        <v>0</v>
      </c>
      <c r="AU41">
        <v>12</v>
      </c>
      <c r="AV41">
        <v>1</v>
      </c>
      <c r="AW41" s="1">
        <v>0</v>
      </c>
      <c r="AX41" s="1">
        <v>0</v>
      </c>
      <c r="AY41">
        <v>0</v>
      </c>
      <c r="AZ41" s="1">
        <v>2026</v>
      </c>
      <c r="BA41">
        <v>30</v>
      </c>
      <c r="BB41">
        <v>69</v>
      </c>
      <c r="BC41">
        <v>0</v>
      </c>
      <c r="BD41">
        <v>220</v>
      </c>
      <c r="BE41" s="1">
        <v>0</v>
      </c>
      <c r="BF41">
        <v>2</v>
      </c>
      <c r="BG41" s="1">
        <v>0</v>
      </c>
      <c r="BH41" s="1">
        <v>0</v>
      </c>
      <c r="BI41" s="1">
        <v>0</v>
      </c>
      <c r="BJ41">
        <v>79</v>
      </c>
      <c r="BK41" s="1">
        <v>0</v>
      </c>
      <c r="BL41" s="1">
        <v>0</v>
      </c>
      <c r="BM41" s="1">
        <v>0</v>
      </c>
      <c r="BN41" s="1">
        <v>0</v>
      </c>
      <c r="BO41">
        <v>12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>
        <v>2</v>
      </c>
      <c r="CB41" s="1">
        <v>0</v>
      </c>
      <c r="CC41" s="1">
        <v>0</v>
      </c>
      <c r="CD41" s="1">
        <v>0</v>
      </c>
      <c r="CE41">
        <v>13</v>
      </c>
    </row>
    <row r="42" spans="1:83" x14ac:dyDescent="0.3">
      <c r="A42" s="5"/>
      <c r="B42" t="s">
        <v>97</v>
      </c>
      <c r="C42" s="2" t="s">
        <v>85</v>
      </c>
      <c r="D42" s="1">
        <v>3637</v>
      </c>
      <c r="E42">
        <v>0</v>
      </c>
      <c r="F42">
        <v>0</v>
      </c>
      <c r="G42">
        <v>71</v>
      </c>
      <c r="H42">
        <v>0</v>
      </c>
      <c r="I42">
        <v>84</v>
      </c>
      <c r="J42">
        <v>44</v>
      </c>
      <c r="K42">
        <v>0</v>
      </c>
      <c r="L42">
        <v>0</v>
      </c>
      <c r="M42">
        <v>0</v>
      </c>
      <c r="N42">
        <v>0</v>
      </c>
      <c r="O42">
        <v>21</v>
      </c>
      <c r="P42">
        <v>876</v>
      </c>
      <c r="Q42">
        <v>10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4</v>
      </c>
      <c r="AK42">
        <v>13</v>
      </c>
      <c r="AL42">
        <v>3</v>
      </c>
      <c r="AM42">
        <v>35</v>
      </c>
      <c r="AN42">
        <v>1</v>
      </c>
      <c r="AO42">
        <v>84</v>
      </c>
      <c r="AP42">
        <v>0</v>
      </c>
      <c r="AQ42">
        <v>0</v>
      </c>
      <c r="AR42">
        <v>0</v>
      </c>
      <c r="AS42">
        <v>75</v>
      </c>
      <c r="AT42">
        <v>0</v>
      </c>
      <c r="AU42">
        <v>10</v>
      </c>
      <c r="AV42">
        <v>0</v>
      </c>
      <c r="AW42" s="1">
        <v>0</v>
      </c>
      <c r="AX42" s="1">
        <v>0</v>
      </c>
      <c r="AY42" s="1">
        <v>0</v>
      </c>
      <c r="AZ42" s="1">
        <v>1983</v>
      </c>
      <c r="BA42">
        <v>30</v>
      </c>
      <c r="BB42">
        <v>61</v>
      </c>
      <c r="BC42" s="1">
        <v>0</v>
      </c>
      <c r="BD42">
        <v>201</v>
      </c>
      <c r="BE42" s="1">
        <v>0</v>
      </c>
      <c r="BF42">
        <v>2</v>
      </c>
      <c r="BG42" s="1">
        <v>0</v>
      </c>
      <c r="BH42" s="1">
        <v>0</v>
      </c>
      <c r="BI42" s="1">
        <v>0</v>
      </c>
      <c r="BJ42">
        <v>20</v>
      </c>
      <c r="BK42" s="1">
        <v>0</v>
      </c>
      <c r="BL42" s="1">
        <v>0</v>
      </c>
      <c r="BM42" s="1">
        <v>0</v>
      </c>
      <c r="BN42" s="1">
        <v>0</v>
      </c>
      <c r="BO42">
        <v>2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>
        <v>2</v>
      </c>
    </row>
    <row r="43" spans="1:83" x14ac:dyDescent="0.3">
      <c r="A43" s="5"/>
      <c r="B43" t="s">
        <v>97</v>
      </c>
      <c r="C43" s="2" t="s">
        <v>86</v>
      </c>
      <c r="D43">
        <v>376</v>
      </c>
      <c r="E43">
        <v>0</v>
      </c>
      <c r="F43">
        <v>0</v>
      </c>
      <c r="G43">
        <v>39</v>
      </c>
      <c r="H43">
        <v>2</v>
      </c>
      <c r="I43">
        <v>2</v>
      </c>
      <c r="J43">
        <v>15</v>
      </c>
      <c r="K43">
        <v>3</v>
      </c>
      <c r="L43">
        <v>1</v>
      </c>
      <c r="M43">
        <v>0</v>
      </c>
      <c r="N43">
        <v>14</v>
      </c>
      <c r="O43">
        <v>0</v>
      </c>
      <c r="P43">
        <v>107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</v>
      </c>
      <c r="AG43">
        <v>0</v>
      </c>
      <c r="AH43">
        <v>1</v>
      </c>
      <c r="AI43">
        <v>0</v>
      </c>
      <c r="AJ43">
        <v>2</v>
      </c>
      <c r="AK43">
        <v>1</v>
      </c>
      <c r="AL43">
        <v>0</v>
      </c>
      <c r="AM43">
        <v>4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22</v>
      </c>
      <c r="AT43">
        <v>0</v>
      </c>
      <c r="AU43">
        <v>2</v>
      </c>
      <c r="AV43">
        <v>1</v>
      </c>
      <c r="AW43" s="1">
        <v>0</v>
      </c>
      <c r="AX43" s="1">
        <v>0</v>
      </c>
      <c r="AY43">
        <v>0</v>
      </c>
      <c r="AZ43">
        <v>43</v>
      </c>
      <c r="BA43">
        <v>0</v>
      </c>
      <c r="BB43">
        <v>8</v>
      </c>
      <c r="BC43">
        <v>0</v>
      </c>
      <c r="BD43">
        <v>19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>
        <v>59</v>
      </c>
      <c r="BK43" s="1">
        <v>0</v>
      </c>
      <c r="BL43" s="1">
        <v>0</v>
      </c>
      <c r="BM43" s="1">
        <v>0</v>
      </c>
      <c r="BN43" s="1">
        <v>0</v>
      </c>
      <c r="BO43">
        <v>10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>
        <v>2</v>
      </c>
      <c r="CB43" s="1">
        <v>0</v>
      </c>
      <c r="CC43" s="1">
        <v>0</v>
      </c>
      <c r="CD43" s="1">
        <v>0</v>
      </c>
      <c r="CE43">
        <v>11</v>
      </c>
    </row>
    <row r="44" spans="1:83" x14ac:dyDescent="0.3">
      <c r="A44" s="5"/>
      <c r="B44" t="s">
        <v>98</v>
      </c>
      <c r="C44" s="2" t="s">
        <v>82</v>
      </c>
      <c r="D44" s="1">
        <v>3033</v>
      </c>
      <c r="E44">
        <v>0</v>
      </c>
      <c r="F44">
        <v>0</v>
      </c>
      <c r="G44">
        <v>0</v>
      </c>
      <c r="H44">
        <v>0</v>
      </c>
      <c r="I44">
        <v>27</v>
      </c>
      <c r="J44">
        <v>166</v>
      </c>
      <c r="K44">
        <v>16</v>
      </c>
      <c r="L44">
        <v>2</v>
      </c>
      <c r="M44">
        <v>0</v>
      </c>
      <c r="N44">
        <v>0</v>
      </c>
      <c r="O44">
        <v>0</v>
      </c>
      <c r="P44">
        <v>257</v>
      </c>
      <c r="Q44">
        <v>4</v>
      </c>
      <c r="R44">
        <v>0</v>
      </c>
      <c r="S44">
        <v>0</v>
      </c>
      <c r="T44">
        <v>415</v>
      </c>
      <c r="U44">
        <v>0</v>
      </c>
      <c r="V44">
        <v>6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1</v>
      </c>
      <c r="AF44">
        <v>0</v>
      </c>
      <c r="AG44">
        <v>0</v>
      </c>
      <c r="AH44">
        <v>8</v>
      </c>
      <c r="AI44">
        <v>0</v>
      </c>
      <c r="AJ44">
        <v>1</v>
      </c>
      <c r="AK44">
        <v>0</v>
      </c>
      <c r="AL44">
        <v>0</v>
      </c>
      <c r="AM44">
        <v>2</v>
      </c>
      <c r="AN44">
        <v>1</v>
      </c>
      <c r="AO44">
        <v>185</v>
      </c>
      <c r="AP44">
        <v>0</v>
      </c>
      <c r="AQ44">
        <v>0</v>
      </c>
      <c r="AR44">
        <v>0</v>
      </c>
      <c r="AS44">
        <v>12</v>
      </c>
      <c r="AT44">
        <v>40</v>
      </c>
      <c r="AU44">
        <v>16</v>
      </c>
      <c r="AV44">
        <v>0</v>
      </c>
      <c r="AW44" s="1">
        <v>0</v>
      </c>
      <c r="AX44" s="1">
        <v>0</v>
      </c>
      <c r="AY44" s="1">
        <v>0</v>
      </c>
      <c r="AZ44" s="1">
        <v>1796</v>
      </c>
      <c r="BA44">
        <v>2</v>
      </c>
      <c r="BB44" s="1">
        <v>0</v>
      </c>
      <c r="BC44">
        <v>9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>
        <v>5</v>
      </c>
      <c r="BK44">
        <v>2</v>
      </c>
      <c r="BL44" s="1">
        <v>0</v>
      </c>
      <c r="BM44" s="1">
        <v>0</v>
      </c>
      <c r="BN44" s="1">
        <v>0</v>
      </c>
      <c r="BO44">
        <v>13</v>
      </c>
      <c r="BP44">
        <v>14</v>
      </c>
      <c r="BQ44">
        <v>1</v>
      </c>
      <c r="BR44" s="1">
        <v>0</v>
      </c>
      <c r="BS44" s="1">
        <v>0</v>
      </c>
      <c r="BT44" s="1">
        <v>0</v>
      </c>
      <c r="BU44" s="1">
        <v>0</v>
      </c>
      <c r="BV44">
        <v>3</v>
      </c>
      <c r="BW44" s="1">
        <v>0</v>
      </c>
      <c r="BX44" s="1">
        <v>0</v>
      </c>
      <c r="BY44" s="1">
        <v>0</v>
      </c>
      <c r="BZ44" s="1">
        <v>0</v>
      </c>
      <c r="CA44">
        <v>3</v>
      </c>
      <c r="CB44" s="1">
        <v>0</v>
      </c>
      <c r="CC44" s="1">
        <v>0</v>
      </c>
      <c r="CD44">
        <v>2</v>
      </c>
      <c r="CE44">
        <v>19</v>
      </c>
    </row>
    <row r="45" spans="1:83" x14ac:dyDescent="0.3">
      <c r="A45" s="5"/>
      <c r="B45" t="s">
        <v>98</v>
      </c>
      <c r="C45" s="2" t="s">
        <v>85</v>
      </c>
      <c r="D45" s="1">
        <v>2815</v>
      </c>
      <c r="E45">
        <v>0</v>
      </c>
      <c r="F45">
        <v>0</v>
      </c>
      <c r="G45">
        <v>0</v>
      </c>
      <c r="H45">
        <v>0</v>
      </c>
      <c r="I45">
        <v>24</v>
      </c>
      <c r="J45">
        <v>144</v>
      </c>
      <c r="K45">
        <v>12</v>
      </c>
      <c r="L45">
        <v>2</v>
      </c>
      <c r="M45">
        <v>0</v>
      </c>
      <c r="N45">
        <v>0</v>
      </c>
      <c r="O45">
        <v>0</v>
      </c>
      <c r="P45">
        <v>220</v>
      </c>
      <c r="Q45">
        <v>3</v>
      </c>
      <c r="R45">
        <v>0</v>
      </c>
      <c r="S45">
        <v>0</v>
      </c>
      <c r="T45">
        <v>361</v>
      </c>
      <c r="U45">
        <v>0</v>
      </c>
      <c r="V45">
        <v>6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1</v>
      </c>
      <c r="AF45">
        <v>0</v>
      </c>
      <c r="AG45">
        <v>0</v>
      </c>
      <c r="AH45">
        <v>8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1</v>
      </c>
      <c r="AO45">
        <v>185</v>
      </c>
      <c r="AP45">
        <v>0</v>
      </c>
      <c r="AQ45">
        <v>0</v>
      </c>
      <c r="AR45">
        <v>0</v>
      </c>
      <c r="AS45">
        <v>8</v>
      </c>
      <c r="AT45">
        <v>40</v>
      </c>
      <c r="AU45">
        <v>16</v>
      </c>
      <c r="AV45">
        <v>0</v>
      </c>
      <c r="AW45" s="1">
        <v>0</v>
      </c>
      <c r="AX45" s="1">
        <v>0</v>
      </c>
      <c r="AY45">
        <v>0</v>
      </c>
      <c r="AZ45" s="1">
        <v>1748</v>
      </c>
      <c r="BA45">
        <v>2</v>
      </c>
      <c r="BB45" s="1">
        <v>0</v>
      </c>
      <c r="BC45">
        <v>9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>
        <v>2</v>
      </c>
      <c r="BL45" s="1">
        <v>0</v>
      </c>
      <c r="BM45" s="1">
        <v>0</v>
      </c>
      <c r="BN45" s="1">
        <v>0</v>
      </c>
      <c r="BO45">
        <v>3</v>
      </c>
      <c r="BP45">
        <v>5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>
        <v>2</v>
      </c>
      <c r="BW45" s="1">
        <v>0</v>
      </c>
      <c r="BX45" s="1">
        <v>0</v>
      </c>
      <c r="BY45" s="1">
        <v>0</v>
      </c>
      <c r="BZ45" s="1">
        <v>0</v>
      </c>
      <c r="CA45">
        <v>2</v>
      </c>
      <c r="CB45" s="1">
        <v>0</v>
      </c>
      <c r="CC45" s="1">
        <v>0</v>
      </c>
      <c r="CD45">
        <v>1</v>
      </c>
      <c r="CE45">
        <v>4</v>
      </c>
    </row>
    <row r="46" spans="1:83" x14ac:dyDescent="0.3">
      <c r="A46" s="5"/>
      <c r="B46" t="s">
        <v>98</v>
      </c>
      <c r="C46" s="2" t="s">
        <v>86</v>
      </c>
      <c r="D46">
        <v>218</v>
      </c>
      <c r="E46">
        <v>0</v>
      </c>
      <c r="F46">
        <v>0</v>
      </c>
      <c r="G46">
        <v>0</v>
      </c>
      <c r="H46">
        <v>0</v>
      </c>
      <c r="I46">
        <v>3</v>
      </c>
      <c r="J46">
        <v>22</v>
      </c>
      <c r="K46">
        <v>4</v>
      </c>
      <c r="L46">
        <v>0</v>
      </c>
      <c r="M46">
        <v>0</v>
      </c>
      <c r="N46">
        <v>0</v>
      </c>
      <c r="O46">
        <v>0</v>
      </c>
      <c r="P46">
        <v>37</v>
      </c>
      <c r="Q46">
        <v>1</v>
      </c>
      <c r="R46">
        <v>0</v>
      </c>
      <c r="S46">
        <v>0</v>
      </c>
      <c r="T46">
        <v>54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0</v>
      </c>
      <c r="AU46">
        <v>0</v>
      </c>
      <c r="AV46">
        <v>0</v>
      </c>
      <c r="AW46" s="1">
        <v>0</v>
      </c>
      <c r="AX46" s="1">
        <v>0</v>
      </c>
      <c r="AY46" s="1">
        <v>0</v>
      </c>
      <c r="AZ46">
        <v>48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>
        <v>5</v>
      </c>
      <c r="BK46" s="1">
        <v>0</v>
      </c>
      <c r="BL46" s="1">
        <v>0</v>
      </c>
      <c r="BM46" s="1">
        <v>0</v>
      </c>
      <c r="BN46" s="1">
        <v>0</v>
      </c>
      <c r="BO46">
        <v>10</v>
      </c>
      <c r="BP46">
        <v>9</v>
      </c>
      <c r="BQ46">
        <v>1</v>
      </c>
      <c r="BR46" s="1">
        <v>0</v>
      </c>
      <c r="BS46" s="1">
        <v>0</v>
      </c>
      <c r="BT46" s="1">
        <v>0</v>
      </c>
      <c r="BU46" s="1">
        <v>0</v>
      </c>
      <c r="BV46">
        <v>1</v>
      </c>
      <c r="BW46" s="1">
        <v>0</v>
      </c>
      <c r="BX46" s="1">
        <v>0</v>
      </c>
      <c r="BY46" s="1">
        <v>0</v>
      </c>
      <c r="BZ46" s="1">
        <v>0</v>
      </c>
      <c r="CA46">
        <v>1</v>
      </c>
      <c r="CB46" s="1">
        <v>0</v>
      </c>
      <c r="CC46" s="1">
        <v>0</v>
      </c>
      <c r="CD46">
        <v>1</v>
      </c>
      <c r="CE46">
        <v>15</v>
      </c>
    </row>
    <row r="47" spans="1:83" x14ac:dyDescent="0.3">
      <c r="A47" s="5"/>
      <c r="B47" t="s">
        <v>99</v>
      </c>
      <c r="C47" s="2" t="s">
        <v>82</v>
      </c>
      <c r="D47" s="1">
        <v>1437</v>
      </c>
      <c r="E47">
        <v>5</v>
      </c>
      <c r="F47">
        <v>0</v>
      </c>
      <c r="G47">
        <v>3</v>
      </c>
      <c r="H47">
        <v>2</v>
      </c>
      <c r="I47">
        <v>0</v>
      </c>
      <c r="J47">
        <v>13</v>
      </c>
      <c r="K47">
        <v>1</v>
      </c>
      <c r="L47">
        <v>2</v>
      </c>
      <c r="M47">
        <v>0</v>
      </c>
      <c r="N47">
        <v>0</v>
      </c>
      <c r="O47">
        <v>0</v>
      </c>
      <c r="P47">
        <v>11</v>
      </c>
      <c r="Q47">
        <v>136</v>
      </c>
      <c r="R47">
        <v>0</v>
      </c>
      <c r="S47">
        <v>0</v>
      </c>
      <c r="T47">
        <v>0</v>
      </c>
      <c r="U47">
        <v>0</v>
      </c>
      <c r="V47">
        <v>11</v>
      </c>
      <c r="W47">
        <v>41</v>
      </c>
      <c r="X47">
        <v>31</v>
      </c>
      <c r="Y47">
        <v>93</v>
      </c>
      <c r="Z47">
        <v>0</v>
      </c>
      <c r="AA47">
        <v>0</v>
      </c>
      <c r="AB47">
        <v>9</v>
      </c>
      <c r="AC47">
        <v>77</v>
      </c>
      <c r="AD47">
        <v>0</v>
      </c>
      <c r="AE47">
        <v>28</v>
      </c>
      <c r="AF47">
        <v>0</v>
      </c>
      <c r="AG47">
        <v>0</v>
      </c>
      <c r="AH47">
        <v>364</v>
      </c>
      <c r="AI47">
        <v>9</v>
      </c>
      <c r="AJ47">
        <v>1</v>
      </c>
      <c r="AK47">
        <v>1</v>
      </c>
      <c r="AL47">
        <v>0</v>
      </c>
      <c r="AM47">
        <v>246</v>
      </c>
      <c r="AN47">
        <v>34</v>
      </c>
      <c r="AO47">
        <v>51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 s="1">
        <v>0</v>
      </c>
      <c r="AX47" s="1">
        <v>0</v>
      </c>
      <c r="AY47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>
        <v>31</v>
      </c>
      <c r="BK47">
        <v>5</v>
      </c>
      <c r="BL47">
        <v>3</v>
      </c>
      <c r="BM47">
        <v>4</v>
      </c>
      <c r="BN47" s="1">
        <v>0</v>
      </c>
      <c r="BO47">
        <v>1</v>
      </c>
      <c r="BP47">
        <v>0</v>
      </c>
      <c r="BQ47">
        <v>24</v>
      </c>
      <c r="BR47" s="1">
        <v>0</v>
      </c>
      <c r="BS47" s="1">
        <v>0</v>
      </c>
      <c r="BT47" s="1">
        <v>0</v>
      </c>
      <c r="BU47">
        <v>1</v>
      </c>
      <c r="BV47">
        <v>32</v>
      </c>
      <c r="BW47">
        <v>19</v>
      </c>
      <c r="BX47">
        <v>17</v>
      </c>
      <c r="BY47">
        <v>4</v>
      </c>
      <c r="BZ47" s="1">
        <v>0</v>
      </c>
      <c r="CA47">
        <v>33</v>
      </c>
      <c r="CB47">
        <v>6</v>
      </c>
      <c r="CC47" s="1">
        <v>0</v>
      </c>
      <c r="CD47">
        <v>86</v>
      </c>
      <c r="CE47">
        <v>0</v>
      </c>
    </row>
    <row r="48" spans="1:83" x14ac:dyDescent="0.3">
      <c r="A48" s="5"/>
      <c r="B48" t="s">
        <v>99</v>
      </c>
      <c r="C48" s="2" t="s">
        <v>85</v>
      </c>
      <c r="D48" s="1">
        <v>1089</v>
      </c>
      <c r="E48">
        <v>1</v>
      </c>
      <c r="F48">
        <v>0</v>
      </c>
      <c r="G48">
        <v>1</v>
      </c>
      <c r="H48">
        <v>1</v>
      </c>
      <c r="I48">
        <v>0</v>
      </c>
      <c r="J48">
        <v>13</v>
      </c>
      <c r="K48">
        <v>0</v>
      </c>
      <c r="L48">
        <v>0</v>
      </c>
      <c r="M48">
        <v>0</v>
      </c>
      <c r="N48">
        <v>0</v>
      </c>
      <c r="O48">
        <v>0</v>
      </c>
      <c r="P48">
        <v>10</v>
      </c>
      <c r="Q48">
        <v>117</v>
      </c>
      <c r="R48">
        <v>0</v>
      </c>
      <c r="S48">
        <v>0</v>
      </c>
      <c r="T48">
        <v>0</v>
      </c>
      <c r="U48">
        <v>0</v>
      </c>
      <c r="V48">
        <v>4</v>
      </c>
      <c r="W48">
        <v>37</v>
      </c>
      <c r="X48">
        <v>28</v>
      </c>
      <c r="Y48">
        <v>86</v>
      </c>
      <c r="Z48">
        <v>0</v>
      </c>
      <c r="AA48">
        <v>0</v>
      </c>
      <c r="AB48">
        <v>9</v>
      </c>
      <c r="AC48">
        <v>75</v>
      </c>
      <c r="AD48">
        <v>0</v>
      </c>
      <c r="AE48">
        <v>24</v>
      </c>
      <c r="AF48">
        <v>0</v>
      </c>
      <c r="AG48">
        <v>0</v>
      </c>
      <c r="AH48">
        <v>290</v>
      </c>
      <c r="AI48">
        <v>9</v>
      </c>
      <c r="AJ48">
        <v>0</v>
      </c>
      <c r="AK48">
        <v>1</v>
      </c>
      <c r="AL48">
        <v>0</v>
      </c>
      <c r="AM48">
        <v>232</v>
      </c>
      <c r="AN48">
        <v>34</v>
      </c>
      <c r="AO48">
        <v>51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>
        <v>9</v>
      </c>
      <c r="BK48">
        <v>2</v>
      </c>
      <c r="BL48" s="1">
        <v>0</v>
      </c>
      <c r="BM48" s="1">
        <v>0</v>
      </c>
      <c r="BN48" s="1">
        <v>0</v>
      </c>
      <c r="BO48">
        <v>1</v>
      </c>
      <c r="BP48" s="1">
        <v>0</v>
      </c>
      <c r="BQ48">
        <v>1</v>
      </c>
      <c r="BR48" s="1">
        <v>0</v>
      </c>
      <c r="BS48" s="1">
        <v>0</v>
      </c>
      <c r="BT48" s="1">
        <v>0</v>
      </c>
      <c r="BU48" s="1">
        <v>0</v>
      </c>
      <c r="BV48">
        <v>9</v>
      </c>
      <c r="BW48">
        <v>6</v>
      </c>
      <c r="BX48">
        <v>1</v>
      </c>
      <c r="BY48">
        <v>2</v>
      </c>
      <c r="BZ48" s="1">
        <v>0</v>
      </c>
      <c r="CA48">
        <v>10</v>
      </c>
      <c r="CB48">
        <v>2</v>
      </c>
      <c r="CC48" s="1">
        <v>0</v>
      </c>
      <c r="CD48">
        <v>21</v>
      </c>
      <c r="CE48">
        <v>0</v>
      </c>
    </row>
    <row r="49" spans="1:83" x14ac:dyDescent="0.3">
      <c r="A49" s="5"/>
      <c r="B49" t="s">
        <v>99</v>
      </c>
      <c r="C49" s="2" t="s">
        <v>86</v>
      </c>
      <c r="D49">
        <v>348</v>
      </c>
      <c r="E49">
        <v>4</v>
      </c>
      <c r="F49">
        <v>0</v>
      </c>
      <c r="G49">
        <v>2</v>
      </c>
      <c r="H49">
        <v>1</v>
      </c>
      <c r="I49">
        <v>0</v>
      </c>
      <c r="J49">
        <v>0</v>
      </c>
      <c r="K49">
        <v>1</v>
      </c>
      <c r="L49">
        <v>2</v>
      </c>
      <c r="M49">
        <v>0</v>
      </c>
      <c r="N49">
        <v>0</v>
      </c>
      <c r="O49">
        <v>0</v>
      </c>
      <c r="P49">
        <v>1</v>
      </c>
      <c r="Q49">
        <v>19</v>
      </c>
      <c r="R49">
        <v>0</v>
      </c>
      <c r="S49">
        <v>0</v>
      </c>
      <c r="T49">
        <v>0</v>
      </c>
      <c r="U49">
        <v>0</v>
      </c>
      <c r="V49">
        <v>7</v>
      </c>
      <c r="W49">
        <v>4</v>
      </c>
      <c r="X49">
        <v>3</v>
      </c>
      <c r="Y49">
        <v>7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4</v>
      </c>
      <c r="AF49">
        <v>0</v>
      </c>
      <c r="AG49">
        <v>0</v>
      </c>
      <c r="AH49">
        <v>74</v>
      </c>
      <c r="AI49">
        <v>0</v>
      </c>
      <c r="AJ49">
        <v>1</v>
      </c>
      <c r="AK49">
        <v>0</v>
      </c>
      <c r="AL49">
        <v>0</v>
      </c>
      <c r="AM49">
        <v>14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 s="1">
        <v>0</v>
      </c>
      <c r="AX49" s="1">
        <v>0</v>
      </c>
      <c r="AY49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>
        <v>22</v>
      </c>
      <c r="BK49">
        <v>3</v>
      </c>
      <c r="BL49">
        <v>3</v>
      </c>
      <c r="BM49">
        <v>4</v>
      </c>
      <c r="BN49" s="1">
        <v>0</v>
      </c>
      <c r="BO49">
        <v>0</v>
      </c>
      <c r="BP49">
        <v>0</v>
      </c>
      <c r="BQ49">
        <v>23</v>
      </c>
      <c r="BR49" s="1">
        <v>0</v>
      </c>
      <c r="BS49" s="1">
        <v>0</v>
      </c>
      <c r="BT49" s="1">
        <v>0</v>
      </c>
      <c r="BU49">
        <v>1</v>
      </c>
      <c r="BV49">
        <v>23</v>
      </c>
      <c r="BW49">
        <v>13</v>
      </c>
      <c r="BX49">
        <v>16</v>
      </c>
      <c r="BY49">
        <v>2</v>
      </c>
      <c r="BZ49" s="1">
        <v>0</v>
      </c>
      <c r="CA49">
        <v>23</v>
      </c>
      <c r="CB49">
        <v>4</v>
      </c>
      <c r="CC49" s="1">
        <v>0</v>
      </c>
      <c r="CD49">
        <v>65</v>
      </c>
      <c r="CE49">
        <v>0</v>
      </c>
    </row>
    <row r="50" spans="1:83" x14ac:dyDescent="0.3">
      <c r="A50" s="5"/>
      <c r="B50" t="s">
        <v>100</v>
      </c>
      <c r="C50" s="2" t="s">
        <v>82</v>
      </c>
      <c r="D50" s="1">
        <v>1141</v>
      </c>
      <c r="E50">
        <v>4</v>
      </c>
      <c r="F50">
        <v>0</v>
      </c>
      <c r="G50">
        <v>0</v>
      </c>
      <c r="H50">
        <v>3</v>
      </c>
      <c r="I50">
        <v>0</v>
      </c>
      <c r="J50">
        <v>6</v>
      </c>
      <c r="K50">
        <v>0</v>
      </c>
      <c r="L50">
        <v>0</v>
      </c>
      <c r="M50">
        <v>0</v>
      </c>
      <c r="N50">
        <v>5</v>
      </c>
      <c r="O50">
        <v>0</v>
      </c>
      <c r="P50">
        <v>4</v>
      </c>
      <c r="Q50">
        <v>87</v>
      </c>
      <c r="R50">
        <v>0</v>
      </c>
      <c r="S50">
        <v>3</v>
      </c>
      <c r="T50">
        <v>0</v>
      </c>
      <c r="U50">
        <v>4</v>
      </c>
      <c r="V50">
        <v>8</v>
      </c>
      <c r="W50">
        <v>72</v>
      </c>
      <c r="X50">
        <v>3</v>
      </c>
      <c r="Y50">
        <v>248</v>
      </c>
      <c r="Z50">
        <v>1</v>
      </c>
      <c r="AA50">
        <v>0</v>
      </c>
      <c r="AB50">
        <v>37</v>
      </c>
      <c r="AC50">
        <v>11</v>
      </c>
      <c r="AD50">
        <v>0</v>
      </c>
      <c r="AE50">
        <v>8</v>
      </c>
      <c r="AF50">
        <v>39</v>
      </c>
      <c r="AG50">
        <v>0</v>
      </c>
      <c r="AH50">
        <v>18</v>
      </c>
      <c r="AI50">
        <v>0</v>
      </c>
      <c r="AJ50">
        <v>371</v>
      </c>
      <c r="AK50">
        <v>0</v>
      </c>
      <c r="AL50">
        <v>52</v>
      </c>
      <c r="AM50">
        <v>56</v>
      </c>
      <c r="AN50">
        <v>26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>
        <v>1</v>
      </c>
      <c r="BJ50">
        <v>1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>
        <v>3</v>
      </c>
      <c r="BR50" s="1">
        <v>0</v>
      </c>
      <c r="BS50" s="1">
        <v>0</v>
      </c>
      <c r="BT50">
        <v>6</v>
      </c>
      <c r="BU50" s="1">
        <v>0</v>
      </c>
      <c r="BV50">
        <v>13</v>
      </c>
      <c r="BW50">
        <v>36</v>
      </c>
      <c r="BX50">
        <v>3</v>
      </c>
      <c r="BY50">
        <v>0</v>
      </c>
      <c r="BZ50">
        <v>3</v>
      </c>
      <c r="CA50">
        <v>3</v>
      </c>
      <c r="CB50">
        <v>0</v>
      </c>
      <c r="CC50">
        <v>3</v>
      </c>
      <c r="CD50">
        <v>2</v>
      </c>
      <c r="CE50">
        <v>0</v>
      </c>
    </row>
    <row r="51" spans="1:83" x14ac:dyDescent="0.3">
      <c r="A51" s="5"/>
      <c r="B51" t="s">
        <v>100</v>
      </c>
      <c r="C51" s="2" t="s">
        <v>85</v>
      </c>
      <c r="D51">
        <v>709</v>
      </c>
      <c r="E51">
        <v>2</v>
      </c>
      <c r="F51">
        <v>0</v>
      </c>
      <c r="G51">
        <v>0</v>
      </c>
      <c r="H51">
        <v>2</v>
      </c>
      <c r="I51">
        <v>0</v>
      </c>
      <c r="J51">
        <v>2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14</v>
      </c>
      <c r="R51">
        <v>0</v>
      </c>
      <c r="S51">
        <v>0</v>
      </c>
      <c r="T51">
        <v>0</v>
      </c>
      <c r="U51">
        <v>3</v>
      </c>
      <c r="V51">
        <v>4</v>
      </c>
      <c r="W51">
        <v>58</v>
      </c>
      <c r="X51">
        <v>3</v>
      </c>
      <c r="Y51">
        <v>223</v>
      </c>
      <c r="Z51">
        <v>1</v>
      </c>
      <c r="AA51">
        <v>0</v>
      </c>
      <c r="AB51">
        <v>37</v>
      </c>
      <c r="AC51">
        <v>11</v>
      </c>
      <c r="AD51">
        <v>0</v>
      </c>
      <c r="AE51">
        <v>6</v>
      </c>
      <c r="AF51">
        <v>2</v>
      </c>
      <c r="AG51">
        <v>0</v>
      </c>
      <c r="AH51">
        <v>18</v>
      </c>
      <c r="AI51">
        <v>0</v>
      </c>
      <c r="AJ51">
        <v>235</v>
      </c>
      <c r="AK51">
        <v>0</v>
      </c>
      <c r="AL51">
        <v>33</v>
      </c>
      <c r="AM51">
        <v>25</v>
      </c>
      <c r="AN51">
        <v>9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s="1">
        <v>0</v>
      </c>
      <c r="AX51" s="1">
        <v>0</v>
      </c>
      <c r="AY5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>
        <v>1</v>
      </c>
      <c r="BU51" s="1">
        <v>0</v>
      </c>
      <c r="BV51">
        <v>5</v>
      </c>
      <c r="BW51">
        <v>8</v>
      </c>
      <c r="BX51">
        <v>0</v>
      </c>
      <c r="BY51">
        <v>0</v>
      </c>
      <c r="BZ51">
        <v>2</v>
      </c>
      <c r="CA51">
        <v>0</v>
      </c>
      <c r="CB51">
        <v>0</v>
      </c>
      <c r="CC51">
        <v>2</v>
      </c>
      <c r="CD51">
        <v>0</v>
      </c>
      <c r="CE51">
        <v>0</v>
      </c>
    </row>
    <row r="52" spans="1:83" x14ac:dyDescent="0.3">
      <c r="A52" s="5"/>
      <c r="B52" t="s">
        <v>100</v>
      </c>
      <c r="C52" s="2" t="s">
        <v>86</v>
      </c>
      <c r="D52">
        <v>432</v>
      </c>
      <c r="E52">
        <v>2</v>
      </c>
      <c r="F52">
        <v>0</v>
      </c>
      <c r="G52">
        <v>0</v>
      </c>
      <c r="H52">
        <v>1</v>
      </c>
      <c r="I52">
        <v>0</v>
      </c>
      <c r="J52">
        <v>4</v>
      </c>
      <c r="K52">
        <v>0</v>
      </c>
      <c r="L52">
        <v>0</v>
      </c>
      <c r="M52">
        <v>0</v>
      </c>
      <c r="N52">
        <v>4</v>
      </c>
      <c r="O52">
        <v>0</v>
      </c>
      <c r="P52">
        <v>4</v>
      </c>
      <c r="Q52">
        <v>73</v>
      </c>
      <c r="R52">
        <v>0</v>
      </c>
      <c r="S52">
        <v>3</v>
      </c>
      <c r="T52">
        <v>0</v>
      </c>
      <c r="U52">
        <v>1</v>
      </c>
      <c r="V52">
        <v>4</v>
      </c>
      <c r="W52">
        <v>14</v>
      </c>
      <c r="X52">
        <v>0</v>
      </c>
      <c r="Y52">
        <v>25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37</v>
      </c>
      <c r="AG52">
        <v>0</v>
      </c>
      <c r="AH52">
        <v>0</v>
      </c>
      <c r="AI52">
        <v>0</v>
      </c>
      <c r="AJ52">
        <v>136</v>
      </c>
      <c r="AK52">
        <v>0</v>
      </c>
      <c r="AL52">
        <v>19</v>
      </c>
      <c r="AM52">
        <v>31</v>
      </c>
      <c r="AN52">
        <v>17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>
        <v>1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>
        <v>3</v>
      </c>
      <c r="BR52" s="1">
        <v>0</v>
      </c>
      <c r="BS52" s="1">
        <v>0</v>
      </c>
      <c r="BT52">
        <v>5</v>
      </c>
      <c r="BU52" s="1">
        <v>0</v>
      </c>
      <c r="BV52">
        <v>8</v>
      </c>
      <c r="BW52">
        <v>28</v>
      </c>
      <c r="BX52">
        <v>3</v>
      </c>
      <c r="BY52">
        <v>0</v>
      </c>
      <c r="BZ52">
        <v>1</v>
      </c>
      <c r="CA52">
        <v>3</v>
      </c>
      <c r="CB52">
        <v>0</v>
      </c>
      <c r="CC52">
        <v>1</v>
      </c>
      <c r="CD52">
        <v>2</v>
      </c>
      <c r="CE52">
        <v>0</v>
      </c>
    </row>
    <row r="53" spans="1:83" x14ac:dyDescent="0.3">
      <c r="A53" s="5"/>
      <c r="B53" t="s">
        <v>101</v>
      </c>
      <c r="C53" s="2" t="s">
        <v>82</v>
      </c>
      <c r="D53">
        <v>933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 s="1">
        <v>0</v>
      </c>
      <c r="AX53" s="1">
        <v>0</v>
      </c>
      <c r="AY53">
        <v>0</v>
      </c>
      <c r="AZ53">
        <v>263</v>
      </c>
      <c r="BA53" s="1">
        <v>0</v>
      </c>
      <c r="BB53">
        <v>19</v>
      </c>
      <c r="BC53">
        <v>639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</row>
    <row r="54" spans="1:83" x14ac:dyDescent="0.3">
      <c r="A54" s="5"/>
      <c r="B54" t="s">
        <v>101</v>
      </c>
      <c r="C54" s="2" t="s">
        <v>85</v>
      </c>
      <c r="D54">
        <v>887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s="1">
        <v>0</v>
      </c>
      <c r="AX54" s="1">
        <v>0</v>
      </c>
      <c r="AY54" s="1">
        <v>0</v>
      </c>
      <c r="AZ54">
        <v>235</v>
      </c>
      <c r="BA54" s="1">
        <v>0</v>
      </c>
      <c r="BB54">
        <v>11</v>
      </c>
      <c r="BC54">
        <v>639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</row>
    <row r="55" spans="1:83" x14ac:dyDescent="0.3">
      <c r="A55" s="5"/>
      <c r="B55" t="s">
        <v>101</v>
      </c>
      <c r="C55" s="2" t="s">
        <v>86</v>
      </c>
      <c r="D55">
        <v>46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s="1">
        <v>0</v>
      </c>
      <c r="AX55" s="1">
        <v>0</v>
      </c>
      <c r="AY55">
        <v>0</v>
      </c>
      <c r="AZ55">
        <v>28</v>
      </c>
      <c r="BA55" s="1">
        <v>0</v>
      </c>
      <c r="BB55">
        <v>8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</row>
    <row r="56" spans="1:83" x14ac:dyDescent="0.3">
      <c r="A56" s="5"/>
      <c r="B56" t="s">
        <v>102</v>
      </c>
      <c r="C56" s="2" t="s">
        <v>82</v>
      </c>
      <c r="D56">
        <v>826</v>
      </c>
      <c r="E56">
        <v>0</v>
      </c>
      <c r="F56">
        <v>0</v>
      </c>
      <c r="G56">
        <v>2</v>
      </c>
      <c r="H56">
        <v>1</v>
      </c>
      <c r="I56">
        <v>11</v>
      </c>
      <c r="J56">
        <v>23</v>
      </c>
      <c r="K56">
        <v>8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0</v>
      </c>
      <c r="T56">
        <v>9</v>
      </c>
      <c r="U56">
        <v>0</v>
      </c>
      <c r="V56">
        <v>2</v>
      </c>
      <c r="W56">
        <v>1</v>
      </c>
      <c r="X56">
        <v>0</v>
      </c>
      <c r="Y56">
        <v>4</v>
      </c>
      <c r="Z56">
        <v>0</v>
      </c>
      <c r="AA56">
        <v>0</v>
      </c>
      <c r="AB56">
        <v>1</v>
      </c>
      <c r="AC56">
        <v>3</v>
      </c>
      <c r="AD56">
        <v>0</v>
      </c>
      <c r="AE56">
        <v>19</v>
      </c>
      <c r="AF56">
        <v>0</v>
      </c>
      <c r="AG56">
        <v>0</v>
      </c>
      <c r="AH56">
        <v>57</v>
      </c>
      <c r="AI56">
        <v>0</v>
      </c>
      <c r="AJ56">
        <v>0</v>
      </c>
      <c r="AK56">
        <v>0</v>
      </c>
      <c r="AL56">
        <v>1</v>
      </c>
      <c r="AM56">
        <v>5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0</v>
      </c>
      <c r="AW56" s="1">
        <v>0</v>
      </c>
      <c r="AX56" s="1">
        <v>0</v>
      </c>
      <c r="AY56" s="1">
        <v>0</v>
      </c>
      <c r="AZ56">
        <v>546</v>
      </c>
      <c r="BA56">
        <v>6</v>
      </c>
      <c r="BB56">
        <v>2</v>
      </c>
      <c r="BC56">
        <v>5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>
        <v>30</v>
      </c>
      <c r="BK56" s="1">
        <v>0</v>
      </c>
      <c r="BL56" s="1">
        <v>0</v>
      </c>
      <c r="BM56" s="1">
        <v>0</v>
      </c>
      <c r="BN56" s="1">
        <v>0</v>
      </c>
      <c r="BO56">
        <v>16</v>
      </c>
      <c r="BP56" s="1">
        <v>0</v>
      </c>
      <c r="BQ56">
        <v>9</v>
      </c>
      <c r="BR56">
        <v>2</v>
      </c>
      <c r="BS56" s="1">
        <v>0</v>
      </c>
      <c r="BT56" s="1">
        <v>0</v>
      </c>
      <c r="BU56" s="1">
        <v>0</v>
      </c>
      <c r="BV56" s="1">
        <v>0</v>
      </c>
      <c r="BW56">
        <v>1</v>
      </c>
      <c r="BX56">
        <v>5</v>
      </c>
      <c r="BY56">
        <v>9</v>
      </c>
      <c r="BZ56" s="1">
        <v>0</v>
      </c>
      <c r="CA56">
        <v>17</v>
      </c>
      <c r="CB56" s="1">
        <v>0</v>
      </c>
      <c r="CC56" s="1">
        <v>0</v>
      </c>
      <c r="CD56" s="1">
        <v>0</v>
      </c>
      <c r="CE56">
        <v>19</v>
      </c>
    </row>
    <row r="57" spans="1:83" x14ac:dyDescent="0.3">
      <c r="A57" s="5"/>
      <c r="B57" t="s">
        <v>102</v>
      </c>
      <c r="C57" s="2" t="s">
        <v>85</v>
      </c>
      <c r="D57">
        <v>721</v>
      </c>
      <c r="E57">
        <v>0</v>
      </c>
      <c r="F57">
        <v>0</v>
      </c>
      <c r="G57">
        <v>2</v>
      </c>
      <c r="H57">
        <v>1</v>
      </c>
      <c r="I57">
        <v>11</v>
      </c>
      <c r="J57">
        <v>23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0</v>
      </c>
      <c r="T57">
        <v>8</v>
      </c>
      <c r="U57">
        <v>0</v>
      </c>
      <c r="V57">
        <v>2</v>
      </c>
      <c r="W57">
        <v>1</v>
      </c>
      <c r="X57">
        <v>0</v>
      </c>
      <c r="Y57">
        <v>2</v>
      </c>
      <c r="Z57">
        <v>0</v>
      </c>
      <c r="AA57">
        <v>0</v>
      </c>
      <c r="AB57">
        <v>1</v>
      </c>
      <c r="AC57">
        <v>3</v>
      </c>
      <c r="AD57">
        <v>0</v>
      </c>
      <c r="AE57">
        <v>17</v>
      </c>
      <c r="AF57">
        <v>0</v>
      </c>
      <c r="AG57">
        <v>0</v>
      </c>
      <c r="AH57">
        <v>52</v>
      </c>
      <c r="AI57">
        <v>0</v>
      </c>
      <c r="AJ57">
        <v>0</v>
      </c>
      <c r="AK57">
        <v>0</v>
      </c>
      <c r="AL57">
        <v>1</v>
      </c>
      <c r="AM57">
        <v>4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0</v>
      </c>
      <c r="AU57">
        <v>0</v>
      </c>
      <c r="AV57">
        <v>0</v>
      </c>
      <c r="AW57" s="1">
        <v>0</v>
      </c>
      <c r="AX57" s="1">
        <v>0</v>
      </c>
      <c r="AY57">
        <v>0</v>
      </c>
      <c r="AZ57">
        <v>537</v>
      </c>
      <c r="BA57">
        <v>6</v>
      </c>
      <c r="BB57">
        <v>2</v>
      </c>
      <c r="BC57">
        <v>5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>
        <v>8</v>
      </c>
      <c r="BK57" s="1">
        <v>0</v>
      </c>
      <c r="BL57" s="1">
        <v>0</v>
      </c>
      <c r="BM57" s="1">
        <v>0</v>
      </c>
      <c r="BN57" s="1">
        <v>0</v>
      </c>
      <c r="BO57">
        <v>1</v>
      </c>
      <c r="BP57" s="1">
        <v>0</v>
      </c>
      <c r="BQ57">
        <v>4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>
        <v>2</v>
      </c>
      <c r="BY57">
        <v>1</v>
      </c>
      <c r="BZ57" s="1">
        <v>0</v>
      </c>
      <c r="CA57">
        <v>6</v>
      </c>
      <c r="CB57" s="1">
        <v>0</v>
      </c>
      <c r="CC57" s="1">
        <v>0</v>
      </c>
      <c r="CD57" s="1">
        <v>0</v>
      </c>
      <c r="CE57">
        <v>5</v>
      </c>
    </row>
    <row r="58" spans="1:83" x14ac:dyDescent="0.3">
      <c r="A58" s="5"/>
      <c r="B58" t="s">
        <v>102</v>
      </c>
      <c r="C58" s="2" t="s">
        <v>86</v>
      </c>
      <c r="D58">
        <v>105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</v>
      </c>
      <c r="AG58">
        <v>0</v>
      </c>
      <c r="AH58">
        <v>5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1">
        <v>0</v>
      </c>
      <c r="AX58" s="1">
        <v>0</v>
      </c>
      <c r="AY58" s="1">
        <v>0</v>
      </c>
      <c r="AZ58">
        <v>9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>
        <v>22</v>
      </c>
      <c r="BK58" s="1">
        <v>0</v>
      </c>
      <c r="BL58" s="1">
        <v>0</v>
      </c>
      <c r="BM58" s="1">
        <v>0</v>
      </c>
      <c r="BN58" s="1">
        <v>0</v>
      </c>
      <c r="BO58">
        <v>15</v>
      </c>
      <c r="BP58" s="1">
        <v>0</v>
      </c>
      <c r="BQ58">
        <v>5</v>
      </c>
      <c r="BR58">
        <v>2</v>
      </c>
      <c r="BS58" s="1">
        <v>0</v>
      </c>
      <c r="BT58" s="1">
        <v>0</v>
      </c>
      <c r="BU58" s="1">
        <v>0</v>
      </c>
      <c r="BV58" s="1">
        <v>0</v>
      </c>
      <c r="BW58">
        <v>1</v>
      </c>
      <c r="BX58">
        <v>3</v>
      </c>
      <c r="BY58">
        <v>8</v>
      </c>
      <c r="BZ58" s="1">
        <v>0</v>
      </c>
      <c r="CA58">
        <v>11</v>
      </c>
      <c r="CB58" s="1">
        <v>0</v>
      </c>
      <c r="CC58" s="1">
        <v>0</v>
      </c>
      <c r="CD58" s="1">
        <v>0</v>
      </c>
      <c r="CE58">
        <v>14</v>
      </c>
    </row>
    <row r="59" spans="1:83" x14ac:dyDescent="0.3">
      <c r="A59" s="5"/>
      <c r="B59" t="s">
        <v>103</v>
      </c>
      <c r="C59" s="2" t="s">
        <v>82</v>
      </c>
      <c r="D59">
        <v>292</v>
      </c>
      <c r="E59">
        <v>0</v>
      </c>
      <c r="F59">
        <v>0</v>
      </c>
      <c r="G59">
        <v>6</v>
      </c>
      <c r="H59">
        <v>9</v>
      </c>
      <c r="I59">
        <v>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6</v>
      </c>
      <c r="AS59">
        <v>8</v>
      </c>
      <c r="AT59">
        <v>0</v>
      </c>
      <c r="AU59">
        <v>0</v>
      </c>
      <c r="AV59">
        <v>0</v>
      </c>
      <c r="AW59" s="1">
        <v>0</v>
      </c>
      <c r="AX59" s="1">
        <v>0</v>
      </c>
      <c r="AY59">
        <v>0</v>
      </c>
      <c r="AZ59">
        <v>249</v>
      </c>
      <c r="BA59" s="1">
        <v>0</v>
      </c>
      <c r="BB59">
        <v>2</v>
      </c>
      <c r="BC59">
        <v>0</v>
      </c>
      <c r="BD59" s="1">
        <v>0</v>
      </c>
      <c r="BE59" s="1">
        <v>0</v>
      </c>
      <c r="BF59">
        <v>5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</row>
    <row r="60" spans="1:83" x14ac:dyDescent="0.3">
      <c r="A60" s="5"/>
      <c r="B60" t="s">
        <v>103</v>
      </c>
      <c r="C60" s="2" t="s">
        <v>85</v>
      </c>
      <c r="D60">
        <v>242</v>
      </c>
      <c r="E60">
        <v>0</v>
      </c>
      <c r="F60">
        <v>0</v>
      </c>
      <c r="G60">
        <v>4</v>
      </c>
      <c r="H60">
        <v>6</v>
      </c>
      <c r="I60">
        <v>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</v>
      </c>
      <c r="AS60">
        <v>8</v>
      </c>
      <c r="AT60">
        <v>0</v>
      </c>
      <c r="AU60">
        <v>0</v>
      </c>
      <c r="AV60">
        <v>0</v>
      </c>
      <c r="AW60" s="1">
        <v>0</v>
      </c>
      <c r="AX60" s="1">
        <v>0</v>
      </c>
      <c r="AY60" s="1">
        <v>0</v>
      </c>
      <c r="AZ60">
        <v>209</v>
      </c>
      <c r="BA60" s="1">
        <v>0</v>
      </c>
      <c r="BB60">
        <v>2</v>
      </c>
      <c r="BC60" s="1">
        <v>0</v>
      </c>
      <c r="BD60" s="1">
        <v>0</v>
      </c>
      <c r="BE60" s="1">
        <v>0</v>
      </c>
      <c r="BF60">
        <v>5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</row>
    <row r="61" spans="1:83" x14ac:dyDescent="0.3">
      <c r="A61" s="5"/>
      <c r="B61" t="s">
        <v>103</v>
      </c>
      <c r="C61" s="2" t="s">
        <v>86</v>
      </c>
      <c r="D61">
        <v>50</v>
      </c>
      <c r="E61">
        <v>0</v>
      </c>
      <c r="F61">
        <v>0</v>
      </c>
      <c r="G61">
        <v>2</v>
      </c>
      <c r="H61">
        <v>3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0</v>
      </c>
      <c r="AW61" s="1">
        <v>0</v>
      </c>
      <c r="AX61" s="1">
        <v>0</v>
      </c>
      <c r="AY61">
        <v>0</v>
      </c>
      <c r="AZ61">
        <v>40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</row>
    <row r="62" spans="1:83" x14ac:dyDescent="0.3">
      <c r="A62" s="5"/>
      <c r="B62" t="s">
        <v>104</v>
      </c>
      <c r="C62" s="2" t="s">
        <v>82</v>
      </c>
      <c r="D62">
        <v>216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5</v>
      </c>
      <c r="W62">
        <v>18</v>
      </c>
      <c r="X62">
        <v>1</v>
      </c>
      <c r="Y62">
        <v>23</v>
      </c>
      <c r="Z62">
        <v>0</v>
      </c>
      <c r="AA62">
        <v>0</v>
      </c>
      <c r="AB62">
        <v>0</v>
      </c>
      <c r="AC62">
        <v>18</v>
      </c>
      <c r="AD62">
        <v>0</v>
      </c>
      <c r="AE62">
        <v>0</v>
      </c>
      <c r="AF62">
        <v>2</v>
      </c>
      <c r="AG62">
        <v>0</v>
      </c>
      <c r="AH62">
        <v>10</v>
      </c>
      <c r="AI62">
        <v>0</v>
      </c>
      <c r="AJ62">
        <v>38</v>
      </c>
      <c r="AK62">
        <v>0</v>
      </c>
      <c r="AL62">
        <v>2</v>
      </c>
      <c r="AM62">
        <v>46</v>
      </c>
      <c r="AN62">
        <v>28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>
        <v>2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>
        <v>2</v>
      </c>
      <c r="BW62">
        <v>8</v>
      </c>
      <c r="BX62">
        <v>1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>
        <v>3</v>
      </c>
      <c r="CE62" s="1">
        <v>0</v>
      </c>
    </row>
    <row r="63" spans="1:83" x14ac:dyDescent="0.3">
      <c r="A63" s="5"/>
      <c r="B63" t="s">
        <v>104</v>
      </c>
      <c r="C63" s="2" t="s">
        <v>85</v>
      </c>
      <c r="D63">
        <v>110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0</v>
      </c>
      <c r="S63">
        <v>0</v>
      </c>
      <c r="T63">
        <v>0</v>
      </c>
      <c r="U63">
        <v>0</v>
      </c>
      <c r="V63">
        <v>1</v>
      </c>
      <c r="W63">
        <v>17</v>
      </c>
      <c r="X63">
        <v>1</v>
      </c>
      <c r="Y63">
        <v>16</v>
      </c>
      <c r="Z63">
        <v>0</v>
      </c>
      <c r="AA63">
        <v>0</v>
      </c>
      <c r="AB63">
        <v>0</v>
      </c>
      <c r="AC63">
        <v>18</v>
      </c>
      <c r="AD63">
        <v>0</v>
      </c>
      <c r="AE63">
        <v>0</v>
      </c>
      <c r="AF63">
        <v>0</v>
      </c>
      <c r="AG63">
        <v>0</v>
      </c>
      <c r="AH63">
        <v>5</v>
      </c>
      <c r="AI63">
        <v>0</v>
      </c>
      <c r="AJ63">
        <v>23</v>
      </c>
      <c r="AK63">
        <v>0</v>
      </c>
      <c r="AL63">
        <v>1</v>
      </c>
      <c r="AM63">
        <v>12</v>
      </c>
      <c r="AN63">
        <v>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s="1">
        <v>0</v>
      </c>
      <c r="AX63" s="1">
        <v>0</v>
      </c>
      <c r="AY63">
        <v>0</v>
      </c>
      <c r="AZ63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>
        <v>1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>
        <v>1</v>
      </c>
      <c r="BW63">
        <v>4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</row>
    <row r="64" spans="1:83" x14ac:dyDescent="0.3">
      <c r="A64" s="5"/>
      <c r="B64" t="s">
        <v>104</v>
      </c>
      <c r="C64" s="2" t="s">
        <v>86</v>
      </c>
      <c r="D64">
        <v>106</v>
      </c>
      <c r="E64">
        <v>0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4</v>
      </c>
      <c r="W64">
        <v>1</v>
      </c>
      <c r="X64">
        <v>0</v>
      </c>
      <c r="Y64">
        <v>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5</v>
      </c>
      <c r="AI64">
        <v>0</v>
      </c>
      <c r="AJ64">
        <v>15</v>
      </c>
      <c r="AK64">
        <v>0</v>
      </c>
      <c r="AL64">
        <v>1</v>
      </c>
      <c r="AM64">
        <v>34</v>
      </c>
      <c r="AN64">
        <v>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>
        <v>1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>
        <v>1</v>
      </c>
      <c r="BW64">
        <v>4</v>
      </c>
      <c r="BX64">
        <v>1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>
        <v>3</v>
      </c>
      <c r="CE64" s="1">
        <v>0</v>
      </c>
    </row>
    <row r="65" spans="1:83" x14ac:dyDescent="0.3">
      <c r="A65" s="5"/>
      <c r="B65" t="s">
        <v>105</v>
      </c>
      <c r="C65" s="2" t="s">
        <v>82</v>
      </c>
      <c r="D65">
        <v>199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4</v>
      </c>
      <c r="P65">
        <v>0</v>
      </c>
      <c r="Q65">
        <v>56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7</v>
      </c>
      <c r="Z65">
        <v>0</v>
      </c>
      <c r="AA65">
        <v>0</v>
      </c>
      <c r="AB65">
        <v>2</v>
      </c>
      <c r="AC65">
        <v>14</v>
      </c>
      <c r="AD65">
        <v>10</v>
      </c>
      <c r="AE65">
        <v>3</v>
      </c>
      <c r="AF65">
        <v>0</v>
      </c>
      <c r="AG65">
        <v>0</v>
      </c>
      <c r="AH65">
        <v>5</v>
      </c>
      <c r="AI65">
        <v>6</v>
      </c>
      <c r="AJ65">
        <v>2</v>
      </c>
      <c r="AK65">
        <v>0</v>
      </c>
      <c r="AL65">
        <v>2</v>
      </c>
      <c r="AM65">
        <v>30</v>
      </c>
      <c r="AN65">
        <v>9</v>
      </c>
      <c r="AO65">
        <v>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s="1">
        <v>0</v>
      </c>
      <c r="AX65" s="1">
        <v>0</v>
      </c>
      <c r="AY65">
        <v>0</v>
      </c>
      <c r="AZ65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>
        <v>8</v>
      </c>
      <c r="BX65">
        <v>28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>
        <v>6</v>
      </c>
      <c r="CE65" s="1">
        <v>0</v>
      </c>
    </row>
    <row r="66" spans="1:83" x14ac:dyDescent="0.3">
      <c r="A66" s="5"/>
      <c r="B66" t="s">
        <v>105</v>
      </c>
      <c r="C66" s="2" t="s">
        <v>85</v>
      </c>
      <c r="D66">
        <v>103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  <c r="P66">
        <v>0</v>
      </c>
      <c r="Q66">
        <v>22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5</v>
      </c>
      <c r="Z66">
        <v>0</v>
      </c>
      <c r="AA66">
        <v>0</v>
      </c>
      <c r="AB66">
        <v>2</v>
      </c>
      <c r="AC66">
        <v>12</v>
      </c>
      <c r="AD66">
        <v>4</v>
      </c>
      <c r="AE66">
        <v>1</v>
      </c>
      <c r="AF66">
        <v>0</v>
      </c>
      <c r="AG66">
        <v>0</v>
      </c>
      <c r="AH66">
        <v>4</v>
      </c>
      <c r="AI66">
        <v>6</v>
      </c>
      <c r="AJ66">
        <v>1</v>
      </c>
      <c r="AK66">
        <v>0</v>
      </c>
      <c r="AL66">
        <v>2</v>
      </c>
      <c r="AM66">
        <v>15</v>
      </c>
      <c r="AN66">
        <v>5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>
        <v>3</v>
      </c>
      <c r="BX66">
        <v>9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>
        <v>2</v>
      </c>
      <c r="CE66" s="1">
        <v>0</v>
      </c>
    </row>
    <row r="67" spans="1:83" x14ac:dyDescent="0.3">
      <c r="A67" s="5"/>
      <c r="B67" t="s">
        <v>105</v>
      </c>
      <c r="C67" s="2" t="s">
        <v>86</v>
      </c>
      <c r="D67">
        <v>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34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2</v>
      </c>
      <c r="AD67">
        <v>6</v>
      </c>
      <c r="AE67">
        <v>2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15</v>
      </c>
      <c r="AN67">
        <v>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s="1">
        <v>0</v>
      </c>
      <c r="AX67" s="1">
        <v>0</v>
      </c>
      <c r="AY67">
        <v>0</v>
      </c>
      <c r="AZ67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>
        <v>5</v>
      </c>
      <c r="BX67">
        <v>19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>
        <v>4</v>
      </c>
      <c r="CE67" s="1">
        <v>0</v>
      </c>
    </row>
    <row r="68" spans="1:83" x14ac:dyDescent="0.3">
      <c r="A68" s="5"/>
      <c r="B68" t="s">
        <v>106</v>
      </c>
      <c r="C68" s="2" t="s">
        <v>82</v>
      </c>
      <c r="D68">
        <v>123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120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</row>
    <row r="69" spans="1:83" x14ac:dyDescent="0.3">
      <c r="A69" s="5"/>
      <c r="B69" t="s">
        <v>106</v>
      </c>
      <c r="C69" s="2" t="s">
        <v>85</v>
      </c>
      <c r="D69">
        <v>101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s="1">
        <v>0</v>
      </c>
      <c r="AX69" s="1">
        <v>0</v>
      </c>
      <c r="AY69">
        <v>0</v>
      </c>
      <c r="AZ69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</row>
    <row r="70" spans="1:83" x14ac:dyDescent="0.3">
      <c r="A70" s="5"/>
      <c r="B70" t="s">
        <v>106</v>
      </c>
      <c r="C70" s="2" t="s">
        <v>86</v>
      </c>
      <c r="D70">
        <v>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21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</row>
    <row r="71" spans="1:83" x14ac:dyDescent="0.3">
      <c r="A71" s="5"/>
      <c r="B71" t="s">
        <v>107</v>
      </c>
      <c r="C71" s="2" t="s">
        <v>82</v>
      </c>
      <c r="D71">
        <v>76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</v>
      </c>
      <c r="V71">
        <v>0</v>
      </c>
      <c r="W71">
        <v>3</v>
      </c>
      <c r="X71">
        <v>1</v>
      </c>
      <c r="Y71">
        <v>7</v>
      </c>
      <c r="Z71">
        <v>0</v>
      </c>
      <c r="AA71">
        <v>0</v>
      </c>
      <c r="AB71">
        <v>0</v>
      </c>
      <c r="AC71">
        <v>4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8</v>
      </c>
      <c r="AK71">
        <v>0</v>
      </c>
      <c r="AL71">
        <v>0</v>
      </c>
      <c r="AM71">
        <v>21</v>
      </c>
      <c r="AN71">
        <v>1</v>
      </c>
      <c r="AO71">
        <v>0</v>
      </c>
      <c r="AP71">
        <v>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s="1">
        <v>0</v>
      </c>
      <c r="AX71" s="1">
        <v>0</v>
      </c>
      <c r="AY71">
        <v>0</v>
      </c>
      <c r="AZ7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>
        <v>2</v>
      </c>
      <c r="BW71" s="1">
        <v>0</v>
      </c>
      <c r="BX71">
        <v>2</v>
      </c>
      <c r="BY71">
        <v>1</v>
      </c>
      <c r="BZ71" s="1">
        <v>0</v>
      </c>
      <c r="CA71" s="1">
        <v>0</v>
      </c>
      <c r="CB71" s="1">
        <v>0</v>
      </c>
      <c r="CC71" s="1">
        <v>0</v>
      </c>
      <c r="CD71">
        <v>16</v>
      </c>
      <c r="CE71" s="1">
        <v>0</v>
      </c>
    </row>
    <row r="72" spans="1:83" x14ac:dyDescent="0.3">
      <c r="A72" s="5"/>
      <c r="B72" t="s">
        <v>107</v>
      </c>
      <c r="C72" s="2" t="s">
        <v>85</v>
      </c>
      <c r="D72">
        <v>43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6</v>
      </c>
      <c r="Z72">
        <v>0</v>
      </c>
      <c r="AA72">
        <v>0</v>
      </c>
      <c r="AB72">
        <v>0</v>
      </c>
      <c r="AC72">
        <v>4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4</v>
      </c>
      <c r="AK72">
        <v>0</v>
      </c>
      <c r="AL72">
        <v>0</v>
      </c>
      <c r="AM72">
        <v>13</v>
      </c>
      <c r="AN72">
        <v>0</v>
      </c>
      <c r="AO72">
        <v>0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>
        <v>1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>
        <v>7</v>
      </c>
      <c r="CE72" s="1">
        <v>0</v>
      </c>
    </row>
    <row r="73" spans="1:83" x14ac:dyDescent="0.3">
      <c r="A73" s="5"/>
      <c r="B73" t="s">
        <v>107</v>
      </c>
      <c r="C73" s="2" t="s">
        <v>86</v>
      </c>
      <c r="D73">
        <v>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4</v>
      </c>
      <c r="AK73">
        <v>0</v>
      </c>
      <c r="AL73">
        <v>0</v>
      </c>
      <c r="AM73">
        <v>8</v>
      </c>
      <c r="AN73">
        <v>1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s="1">
        <v>0</v>
      </c>
      <c r="AX73" s="1">
        <v>0</v>
      </c>
      <c r="AY73">
        <v>0</v>
      </c>
      <c r="AZ73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>
        <v>1</v>
      </c>
      <c r="BW73" s="1">
        <v>0</v>
      </c>
      <c r="BX73">
        <v>2</v>
      </c>
      <c r="BY73">
        <v>1</v>
      </c>
      <c r="BZ73" s="1">
        <v>0</v>
      </c>
      <c r="CA73" s="1">
        <v>0</v>
      </c>
      <c r="CB73" s="1">
        <v>0</v>
      </c>
      <c r="CC73" s="1">
        <v>0</v>
      </c>
      <c r="CD73">
        <v>9</v>
      </c>
      <c r="CE73" s="1">
        <v>0</v>
      </c>
    </row>
    <row r="74" spans="1:83" x14ac:dyDescent="0.3">
      <c r="A74" s="5"/>
      <c r="B74" t="s">
        <v>108</v>
      </c>
      <c r="C74" s="2" t="s">
        <v>82</v>
      </c>
      <c r="D74">
        <v>73</v>
      </c>
      <c r="E74">
        <v>0</v>
      </c>
      <c r="F74">
        <v>0</v>
      </c>
      <c r="G74">
        <v>1</v>
      </c>
      <c r="H74">
        <v>1</v>
      </c>
      <c r="I74">
        <v>0</v>
      </c>
      <c r="J74">
        <v>12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>
        <v>18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</v>
      </c>
      <c r="AG74">
        <v>0</v>
      </c>
      <c r="AH74">
        <v>1</v>
      </c>
      <c r="AI74">
        <v>0</v>
      </c>
      <c r="AJ74">
        <v>13</v>
      </c>
      <c r="AK74">
        <v>5</v>
      </c>
      <c r="AL74">
        <v>0</v>
      </c>
      <c r="AM74">
        <v>5</v>
      </c>
      <c r="AN74">
        <v>2</v>
      </c>
      <c r="AO74">
        <v>1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>
        <v>4</v>
      </c>
      <c r="CE74" s="1">
        <v>0</v>
      </c>
    </row>
    <row r="75" spans="1:83" x14ac:dyDescent="0.3">
      <c r="A75" s="5"/>
      <c r="B75" t="s">
        <v>108</v>
      </c>
      <c r="C75" s="2" t="s">
        <v>85</v>
      </c>
      <c r="D75">
        <v>39</v>
      </c>
      <c r="E75">
        <v>0</v>
      </c>
      <c r="F75">
        <v>0</v>
      </c>
      <c r="G75">
        <v>1</v>
      </c>
      <c r="H75">
        <v>0</v>
      </c>
      <c r="I75">
        <v>0</v>
      </c>
      <c r="J75">
        <v>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6</v>
      </c>
      <c r="AK75">
        <v>4</v>
      </c>
      <c r="AL75">
        <v>0</v>
      </c>
      <c r="AM75">
        <v>3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s="1">
        <v>0</v>
      </c>
      <c r="AX75" s="1">
        <v>0</v>
      </c>
      <c r="AY75">
        <v>0</v>
      </c>
      <c r="AZ75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>
        <v>2</v>
      </c>
      <c r="CE75" s="1">
        <v>0</v>
      </c>
    </row>
    <row r="76" spans="1:83" x14ac:dyDescent="0.3">
      <c r="A76" s="5"/>
      <c r="B76" t="s">
        <v>108</v>
      </c>
      <c r="C76" s="2" t="s">
        <v>86</v>
      </c>
      <c r="D76">
        <v>34</v>
      </c>
      <c r="E76">
        <v>0</v>
      </c>
      <c r="F76">
        <v>0</v>
      </c>
      <c r="G76">
        <v>0</v>
      </c>
      <c r="H76">
        <v>1</v>
      </c>
      <c r="I76">
        <v>0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>
        <v>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4</v>
      </c>
      <c r="AG76">
        <v>0</v>
      </c>
      <c r="AH76">
        <v>0</v>
      </c>
      <c r="AI76">
        <v>0</v>
      </c>
      <c r="AJ76">
        <v>7</v>
      </c>
      <c r="AK76">
        <v>1</v>
      </c>
      <c r="AL76">
        <v>0</v>
      </c>
      <c r="AM76">
        <v>2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>
        <v>2</v>
      </c>
      <c r="CE76" s="1">
        <v>0</v>
      </c>
    </row>
    <row r="77" spans="1:83" x14ac:dyDescent="0.3">
      <c r="A77" s="5"/>
      <c r="B77" t="s">
        <v>109</v>
      </c>
      <c r="C77" s="2" t="s">
        <v>82</v>
      </c>
      <c r="D77">
        <v>65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30</v>
      </c>
      <c r="AI77">
        <v>0</v>
      </c>
      <c r="AJ77">
        <v>1</v>
      </c>
      <c r="AK77">
        <v>0</v>
      </c>
      <c r="AL77">
        <v>3</v>
      </c>
      <c r="AM77">
        <v>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s="1">
        <v>0</v>
      </c>
      <c r="AX77" s="1">
        <v>0</v>
      </c>
      <c r="AY77">
        <v>0</v>
      </c>
      <c r="AZ77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>
        <v>2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>
        <v>4</v>
      </c>
      <c r="BR77" s="1">
        <v>0</v>
      </c>
      <c r="BS77" s="1">
        <v>0</v>
      </c>
      <c r="BT77" s="1">
        <v>0</v>
      </c>
      <c r="BU77">
        <v>1</v>
      </c>
      <c r="BV77">
        <v>1</v>
      </c>
      <c r="BW77" s="1">
        <v>0</v>
      </c>
      <c r="BX77" s="1">
        <v>0</v>
      </c>
      <c r="BY77">
        <v>5</v>
      </c>
      <c r="BZ77" s="1">
        <v>0</v>
      </c>
      <c r="CA77">
        <v>8</v>
      </c>
      <c r="CB77" s="1">
        <v>0</v>
      </c>
      <c r="CC77" s="1">
        <v>0</v>
      </c>
      <c r="CD77" s="1">
        <v>0</v>
      </c>
      <c r="CE77" s="1">
        <v>0</v>
      </c>
    </row>
    <row r="78" spans="1:83" x14ac:dyDescent="0.3">
      <c r="A78" s="5"/>
      <c r="B78" t="s">
        <v>109</v>
      </c>
      <c r="C78" s="2" t="s">
        <v>85</v>
      </c>
      <c r="D78">
        <v>30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2</v>
      </c>
      <c r="AF78">
        <v>0</v>
      </c>
      <c r="AG78">
        <v>0</v>
      </c>
      <c r="AH78">
        <v>15</v>
      </c>
      <c r="AI78">
        <v>0</v>
      </c>
      <c r="AJ78">
        <v>0</v>
      </c>
      <c r="AK78">
        <v>0</v>
      </c>
      <c r="AL78">
        <v>3</v>
      </c>
      <c r="AM78">
        <v>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>
        <v>1</v>
      </c>
      <c r="BZ78" s="1">
        <v>0</v>
      </c>
      <c r="CA78">
        <v>2</v>
      </c>
      <c r="CB78" s="1">
        <v>0</v>
      </c>
      <c r="CC78" s="1">
        <v>0</v>
      </c>
      <c r="CD78" s="1">
        <v>0</v>
      </c>
      <c r="CE78" s="1">
        <v>0</v>
      </c>
    </row>
    <row r="79" spans="1:83" x14ac:dyDescent="0.3">
      <c r="A79" s="5"/>
      <c r="B79" t="s">
        <v>109</v>
      </c>
      <c r="C79" s="2" t="s">
        <v>86</v>
      </c>
      <c r="D79">
        <v>35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15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s="1">
        <v>0</v>
      </c>
      <c r="AX79" s="1">
        <v>0</v>
      </c>
      <c r="AY79">
        <v>0</v>
      </c>
      <c r="AZ79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>
        <v>2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>
        <v>4</v>
      </c>
      <c r="BR79" s="1">
        <v>0</v>
      </c>
      <c r="BS79" s="1">
        <v>0</v>
      </c>
      <c r="BT79" s="1">
        <v>0</v>
      </c>
      <c r="BU79">
        <v>1</v>
      </c>
      <c r="BV79">
        <v>1</v>
      </c>
      <c r="BW79" s="1">
        <v>0</v>
      </c>
      <c r="BX79" s="1">
        <v>0</v>
      </c>
      <c r="BY79">
        <v>4</v>
      </c>
      <c r="BZ79" s="1">
        <v>0</v>
      </c>
      <c r="CA79">
        <v>6</v>
      </c>
      <c r="CB79" s="1">
        <v>0</v>
      </c>
      <c r="CC79" s="1">
        <v>0</v>
      </c>
      <c r="CD79" s="1">
        <v>0</v>
      </c>
      <c r="CE79" s="1">
        <v>0</v>
      </c>
    </row>
    <row r="80" spans="1:83" x14ac:dyDescent="0.3">
      <c r="A80" s="5"/>
      <c r="B80" t="s">
        <v>110</v>
      </c>
      <c r="C80" s="2" t="s">
        <v>82</v>
      </c>
      <c r="D80">
        <v>62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4</v>
      </c>
      <c r="Y80">
        <v>6</v>
      </c>
      <c r="Z80">
        <v>0</v>
      </c>
      <c r="AA80">
        <v>0</v>
      </c>
      <c r="AB80">
        <v>0</v>
      </c>
      <c r="AC80">
        <v>10</v>
      </c>
      <c r="AD80">
        <v>0</v>
      </c>
      <c r="AE80">
        <v>2</v>
      </c>
      <c r="AF80">
        <v>1</v>
      </c>
      <c r="AG80">
        <v>0</v>
      </c>
      <c r="AH80">
        <v>2</v>
      </c>
      <c r="AI80">
        <v>0</v>
      </c>
      <c r="AJ80">
        <v>5</v>
      </c>
      <c r="AK80">
        <v>0</v>
      </c>
      <c r="AL80">
        <v>1</v>
      </c>
      <c r="AM80">
        <v>8</v>
      </c>
      <c r="AN80">
        <v>9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>
        <v>2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>
        <v>6</v>
      </c>
      <c r="BX80">
        <v>2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>
        <v>2</v>
      </c>
      <c r="CE80" s="1">
        <v>0</v>
      </c>
    </row>
    <row r="81" spans="1:83" x14ac:dyDescent="0.3">
      <c r="A81" s="5"/>
      <c r="B81" t="s">
        <v>110</v>
      </c>
      <c r="C81" s="2" t="s">
        <v>85</v>
      </c>
      <c r="D81">
        <v>41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</v>
      </c>
      <c r="Z81">
        <v>0</v>
      </c>
      <c r="AA81">
        <v>0</v>
      </c>
      <c r="AB81">
        <v>0</v>
      </c>
      <c r="AC81">
        <v>10</v>
      </c>
      <c r="AD81">
        <v>0</v>
      </c>
      <c r="AE81">
        <v>1</v>
      </c>
      <c r="AF81">
        <v>0</v>
      </c>
      <c r="AG81">
        <v>0</v>
      </c>
      <c r="AH81">
        <v>2</v>
      </c>
      <c r="AI81">
        <v>0</v>
      </c>
      <c r="AJ81">
        <v>3</v>
      </c>
      <c r="AK81">
        <v>0</v>
      </c>
      <c r="AL81">
        <v>1</v>
      </c>
      <c r="AM81">
        <v>6</v>
      </c>
      <c r="AN81">
        <v>7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s="1">
        <v>0</v>
      </c>
      <c r="AX81" s="1">
        <v>0</v>
      </c>
      <c r="AY81">
        <v>0</v>
      </c>
      <c r="AZ8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>
        <v>2</v>
      </c>
      <c r="BX81">
        <v>1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</row>
    <row r="82" spans="1:83" x14ac:dyDescent="0.3">
      <c r="A82" s="5"/>
      <c r="B82" t="s">
        <v>110</v>
      </c>
      <c r="C82" s="2" t="s">
        <v>86</v>
      </c>
      <c r="D82">
        <v>21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2</v>
      </c>
      <c r="AK82">
        <v>0</v>
      </c>
      <c r="AL82">
        <v>0</v>
      </c>
      <c r="AM82">
        <v>2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>
        <v>2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>
        <v>4</v>
      </c>
      <c r="BX82">
        <v>1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>
        <v>2</v>
      </c>
      <c r="CE82" s="1">
        <v>0</v>
      </c>
    </row>
    <row r="83" spans="1:83" x14ac:dyDescent="0.3">
      <c r="A83" s="5"/>
      <c r="B83" t="s">
        <v>111</v>
      </c>
      <c r="C83" s="2" t="s">
        <v>82</v>
      </c>
      <c r="D83">
        <v>40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2</v>
      </c>
      <c r="R83">
        <v>1</v>
      </c>
      <c r="S83">
        <v>0</v>
      </c>
      <c r="T83">
        <v>0</v>
      </c>
      <c r="U83">
        <v>0</v>
      </c>
      <c r="V83">
        <v>0</v>
      </c>
      <c r="W83">
        <v>6</v>
      </c>
      <c r="X83">
        <v>0</v>
      </c>
      <c r="Y83">
        <v>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0</v>
      </c>
      <c r="AJ83">
        <v>7</v>
      </c>
      <c r="AK83">
        <v>0</v>
      </c>
      <c r="AL83">
        <v>0</v>
      </c>
      <c r="AM83">
        <v>6</v>
      </c>
      <c r="AN83">
        <v>6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s="1">
        <v>0</v>
      </c>
      <c r="AX83" s="1">
        <v>0</v>
      </c>
      <c r="AY83">
        <v>0</v>
      </c>
      <c r="AZ83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>
        <v>1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>
        <v>1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</row>
    <row r="84" spans="1:83" x14ac:dyDescent="0.3">
      <c r="A84" s="5"/>
      <c r="B84" t="s">
        <v>111</v>
      </c>
      <c r="C84" s="2" t="s">
        <v>85</v>
      </c>
      <c r="D84">
        <v>22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4</v>
      </c>
      <c r="X84">
        <v>0</v>
      </c>
      <c r="Y84">
        <v>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0</v>
      </c>
      <c r="AJ84">
        <v>6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</row>
    <row r="85" spans="1:83" x14ac:dyDescent="0.3">
      <c r="A85" s="5"/>
      <c r="B85" t="s">
        <v>111</v>
      </c>
      <c r="C85" s="2" t="s">
        <v>86</v>
      </c>
      <c r="D85">
        <v>18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4</v>
      </c>
      <c r="AN85">
        <v>4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s="1">
        <v>0</v>
      </c>
      <c r="AX85" s="1">
        <v>0</v>
      </c>
      <c r="AY85">
        <v>0</v>
      </c>
      <c r="AZ85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>
        <v>1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>
        <v>1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</row>
    <row r="86" spans="1:83" x14ac:dyDescent="0.3">
      <c r="A86" s="5"/>
      <c r="B86" t="s">
        <v>112</v>
      </c>
      <c r="C86" s="2" t="s">
        <v>82</v>
      </c>
      <c r="D86">
        <v>39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13</v>
      </c>
      <c r="AS86">
        <v>0</v>
      </c>
      <c r="AT86">
        <v>0</v>
      </c>
      <c r="AU86">
        <v>0</v>
      </c>
      <c r="AV86">
        <v>0</v>
      </c>
      <c r="AW86" s="1">
        <v>0</v>
      </c>
      <c r="AX86" s="1">
        <v>0</v>
      </c>
      <c r="AY86" s="1">
        <v>0</v>
      </c>
      <c r="AZ86">
        <v>17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>
        <v>3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>
        <v>4</v>
      </c>
    </row>
    <row r="87" spans="1:83" x14ac:dyDescent="0.3">
      <c r="A87" s="5"/>
      <c r="B87" t="s">
        <v>112</v>
      </c>
      <c r="C87" s="2" t="s">
        <v>85</v>
      </c>
      <c r="D87">
        <v>29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13</v>
      </c>
      <c r="AS87">
        <v>0</v>
      </c>
      <c r="AT87">
        <v>0</v>
      </c>
      <c r="AU87">
        <v>0</v>
      </c>
      <c r="AV87">
        <v>0</v>
      </c>
      <c r="AW87" s="1">
        <v>0</v>
      </c>
      <c r="AX87" s="1">
        <v>0</v>
      </c>
      <c r="AY87">
        <v>0</v>
      </c>
      <c r="AZ87">
        <v>15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</row>
    <row r="88" spans="1:83" x14ac:dyDescent="0.3">
      <c r="A88" s="5"/>
      <c r="B88" t="s">
        <v>112</v>
      </c>
      <c r="C88" s="2" t="s">
        <v>86</v>
      </c>
      <c r="D88">
        <v>10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s="1">
        <v>0</v>
      </c>
      <c r="AX88" s="1">
        <v>0</v>
      </c>
      <c r="AY88" s="1">
        <v>0</v>
      </c>
      <c r="AZ88">
        <v>2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>
        <v>3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>
        <v>4</v>
      </c>
    </row>
    <row r="89" spans="1:83" x14ac:dyDescent="0.3">
      <c r="A89" s="5"/>
      <c r="B89" t="s">
        <v>113</v>
      </c>
      <c r="C89" s="2" t="s">
        <v>82</v>
      </c>
      <c r="D89">
        <v>23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s="1">
        <v>0</v>
      </c>
      <c r="AX89" s="1">
        <v>0</v>
      </c>
      <c r="AY89">
        <v>0</v>
      </c>
      <c r="AZ89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>
        <v>2</v>
      </c>
      <c r="BX89" s="1">
        <v>0</v>
      </c>
      <c r="BY89" s="1">
        <v>0</v>
      </c>
      <c r="BZ89" s="1">
        <v>0</v>
      </c>
      <c r="CA89">
        <v>2</v>
      </c>
      <c r="CB89" s="1">
        <v>0</v>
      </c>
      <c r="CC89" s="1">
        <v>0</v>
      </c>
      <c r="CD89">
        <v>5</v>
      </c>
      <c r="CE89" s="1">
        <v>0</v>
      </c>
    </row>
    <row r="90" spans="1:83" x14ac:dyDescent="0.3">
      <c r="A90" s="5"/>
      <c r="B90" t="s">
        <v>113</v>
      </c>
      <c r="C90" s="2" t="s">
        <v>85</v>
      </c>
      <c r="D90">
        <v>14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>
        <v>1</v>
      </c>
      <c r="CB90" s="1">
        <v>0</v>
      </c>
      <c r="CC90" s="1">
        <v>0</v>
      </c>
      <c r="CD90">
        <v>1</v>
      </c>
      <c r="CE90" s="1">
        <v>0</v>
      </c>
    </row>
    <row r="91" spans="1:83" x14ac:dyDescent="0.3">
      <c r="A91" s="5"/>
      <c r="B91" t="s">
        <v>113</v>
      </c>
      <c r="C91" s="2" t="s">
        <v>86</v>
      </c>
      <c r="D91">
        <v>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s="1">
        <v>0</v>
      </c>
      <c r="AX91" s="1">
        <v>0</v>
      </c>
      <c r="AY91">
        <v>0</v>
      </c>
      <c r="AZ9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>
        <v>2</v>
      </c>
      <c r="BX91" s="1">
        <v>0</v>
      </c>
      <c r="BY91" s="1">
        <v>0</v>
      </c>
      <c r="BZ91" s="1">
        <v>0</v>
      </c>
      <c r="CA91">
        <v>1</v>
      </c>
      <c r="CB91" s="1">
        <v>0</v>
      </c>
      <c r="CC91" s="1">
        <v>0</v>
      </c>
      <c r="CD91">
        <v>4</v>
      </c>
      <c r="CE91" s="1">
        <v>0</v>
      </c>
    </row>
    <row r="92" spans="1:83" x14ac:dyDescent="0.3">
      <c r="A92" s="5"/>
      <c r="B92" t="s">
        <v>114</v>
      </c>
      <c r="C92" s="2" t="s">
        <v>82</v>
      </c>
      <c r="D92">
        <v>11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>
        <v>2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</row>
    <row r="93" spans="1:83" x14ac:dyDescent="0.3">
      <c r="A93" s="5"/>
      <c r="B93" t="s">
        <v>114</v>
      </c>
      <c r="C93" s="2" t="s">
        <v>85</v>
      </c>
      <c r="D93">
        <v>10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s="1">
        <v>0</v>
      </c>
      <c r="AX93" s="1">
        <v>0</v>
      </c>
      <c r="AY93">
        <v>0</v>
      </c>
      <c r="AZ93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>
        <v>1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</row>
    <row r="94" spans="1:83" x14ac:dyDescent="0.3">
      <c r="A94" s="5"/>
      <c r="B94" t="s">
        <v>114</v>
      </c>
      <c r="C94" s="2" t="s">
        <v>86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>
        <v>1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</row>
    <row r="95" spans="1:83" x14ac:dyDescent="0.3">
      <c r="A95" s="5"/>
      <c r="B95" t="s">
        <v>115</v>
      </c>
      <c r="C95" s="2" t="s">
        <v>82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s="1">
        <v>0</v>
      </c>
      <c r="AX95" s="1">
        <v>0</v>
      </c>
      <c r="AY95">
        <v>0</v>
      </c>
      <c r="AZ95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>
        <v>2</v>
      </c>
      <c r="CE95" s="1">
        <v>0</v>
      </c>
    </row>
    <row r="96" spans="1:83" x14ac:dyDescent="0.3">
      <c r="A96" s="5"/>
      <c r="B96" t="s">
        <v>115</v>
      </c>
      <c r="C96" s="2" t="s">
        <v>85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</row>
    <row r="97" spans="1:83" x14ac:dyDescent="0.3">
      <c r="A97" s="5"/>
      <c r="B97" t="s">
        <v>115</v>
      </c>
      <c r="C97" s="2" t="s">
        <v>86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s="1">
        <v>0</v>
      </c>
      <c r="AX97" s="1">
        <v>0</v>
      </c>
      <c r="AY97">
        <v>0</v>
      </c>
      <c r="AZ97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>
        <v>2</v>
      </c>
      <c r="CE97" s="1">
        <v>0</v>
      </c>
    </row>
    <row r="98" spans="1:83" x14ac:dyDescent="0.3">
      <c r="A98" s="5"/>
      <c r="B98" t="s">
        <v>116</v>
      </c>
      <c r="C98" s="2" t="s">
        <v>82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</row>
    <row r="99" spans="1:83" x14ac:dyDescent="0.3">
      <c r="A99" s="5"/>
      <c r="B99" t="s">
        <v>116</v>
      </c>
      <c r="C99" s="2" t="s">
        <v>85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s="1">
        <v>0</v>
      </c>
      <c r="AX99" s="1">
        <v>0</v>
      </c>
      <c r="AY99">
        <v>0</v>
      </c>
      <c r="AZ99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</row>
    <row r="100" spans="1:83" x14ac:dyDescent="0.3">
      <c r="A100" s="5"/>
      <c r="B100" t="s">
        <v>117</v>
      </c>
      <c r="C100" s="2" t="s">
        <v>82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</row>
    <row r="101" spans="1:83" x14ac:dyDescent="0.3">
      <c r="A101" s="5"/>
      <c r="B101" t="s">
        <v>117</v>
      </c>
      <c r="C101" s="2" t="s">
        <v>85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s="1">
        <v>0</v>
      </c>
      <c r="AX101" s="1">
        <v>0</v>
      </c>
      <c r="AY101">
        <v>0</v>
      </c>
      <c r="AZ10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</row>
    <row r="102" spans="1:83" x14ac:dyDescent="0.3">
      <c r="A102" s="5"/>
      <c r="B102" t="s">
        <v>117</v>
      </c>
      <c r="C102" s="2" t="s">
        <v>86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</row>
    <row r="103" spans="1:83" x14ac:dyDescent="0.3">
      <c r="A103" s="5"/>
      <c r="B103" t="s">
        <v>118</v>
      </c>
      <c r="C103" s="2" t="s">
        <v>82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s="1">
        <v>0</v>
      </c>
      <c r="AX103" s="1">
        <v>0</v>
      </c>
      <c r="AY103">
        <v>0</v>
      </c>
      <c r="AZ103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>
        <v>1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>
        <v>3</v>
      </c>
    </row>
    <row r="104" spans="1:83" x14ac:dyDescent="0.3">
      <c r="A104" s="5"/>
      <c r="B104" t="s">
        <v>118</v>
      </c>
      <c r="C104" s="2" t="s">
        <v>85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>
        <v>1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>
        <v>2</v>
      </c>
    </row>
    <row r="105" spans="1:83" x14ac:dyDescent="0.3">
      <c r="A105" s="5"/>
      <c r="B105" t="s">
        <v>118</v>
      </c>
      <c r="C105" s="2" t="s">
        <v>86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s="1">
        <v>0</v>
      </c>
      <c r="AX105" s="1">
        <v>0</v>
      </c>
      <c r="AY105">
        <v>0</v>
      </c>
      <c r="AZ105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>
        <v>1</v>
      </c>
    </row>
    <row r="106" spans="1:83" x14ac:dyDescent="0.3">
      <c r="A106" s="5"/>
      <c r="B106" t="s">
        <v>119</v>
      </c>
      <c r="C106" s="2" t="s">
        <v>82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</row>
    <row r="107" spans="1:83" x14ac:dyDescent="0.3">
      <c r="A107" s="5"/>
      <c r="B107" t="s">
        <v>119</v>
      </c>
      <c r="C107" s="2" t="s">
        <v>85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s="1">
        <v>0</v>
      </c>
      <c r="AX107" s="1">
        <v>0</v>
      </c>
      <c r="AY107">
        <v>0</v>
      </c>
      <c r="AZ107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</row>
    <row r="108" spans="1:83" x14ac:dyDescent="0.3">
      <c r="A108" s="5"/>
      <c r="B108" t="s">
        <v>119</v>
      </c>
      <c r="C108" s="2" t="s">
        <v>86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</row>
    <row r="109" spans="1:83" x14ac:dyDescent="0.3">
      <c r="A109" s="5"/>
      <c r="B109" t="s">
        <v>120</v>
      </c>
      <c r="C109" s="2" t="s">
        <v>82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s="1">
        <v>0</v>
      </c>
      <c r="AX109" s="1">
        <v>0</v>
      </c>
      <c r="AY109">
        <v>0</v>
      </c>
      <c r="AZ109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</row>
    <row r="110" spans="1:83" x14ac:dyDescent="0.3">
      <c r="A110" s="5"/>
      <c r="B110" t="s">
        <v>120</v>
      </c>
      <c r="C110" s="2" t="s">
        <v>85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</row>
    <row r="111" spans="1:83" x14ac:dyDescent="0.3">
      <c r="A111" s="5"/>
      <c r="B111" t="s">
        <v>120</v>
      </c>
      <c r="C111" s="2" t="s">
        <v>86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s="1">
        <v>0</v>
      </c>
      <c r="AX111" s="1">
        <v>0</v>
      </c>
      <c r="AY111">
        <v>0</v>
      </c>
      <c r="AZ11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</row>
    <row r="112" spans="1:83" x14ac:dyDescent="0.3">
      <c r="A112" s="5"/>
      <c r="B112" t="s">
        <v>121</v>
      </c>
      <c r="C112" s="2" t="s">
        <v>82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>
        <v>1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</row>
    <row r="113" spans="1:83" x14ac:dyDescent="0.3">
      <c r="A113" s="5"/>
      <c r="B113" t="s">
        <v>121</v>
      </c>
      <c r="C113" s="2" t="s">
        <v>85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s="1">
        <v>0</v>
      </c>
      <c r="AX113" s="1">
        <v>0</v>
      </c>
      <c r="AY113">
        <v>0</v>
      </c>
      <c r="AZ113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</row>
    <row r="114" spans="1:83" x14ac:dyDescent="0.3">
      <c r="A114" s="5"/>
      <c r="B114" t="s">
        <v>121</v>
      </c>
      <c r="C114" s="2" t="s">
        <v>86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>
        <v>1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</row>
    <row r="115" spans="1:83" x14ac:dyDescent="0.3">
      <c r="A115" s="5"/>
      <c r="B115" t="s">
        <v>122</v>
      </c>
      <c r="C115" s="2" t="s">
        <v>82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s="1">
        <v>0</v>
      </c>
      <c r="AX115" s="1">
        <v>0</v>
      </c>
      <c r="AY115">
        <v>0</v>
      </c>
      <c r="AZ115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</row>
    <row r="116" spans="1:83" x14ac:dyDescent="0.3">
      <c r="A116" s="5"/>
      <c r="B116" t="s">
        <v>122</v>
      </c>
      <c r="C116" s="2" t="s">
        <v>85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</row>
    <row r="117" spans="1:83" x14ac:dyDescent="0.3">
      <c r="A117" s="5"/>
      <c r="B117" t="s">
        <v>122</v>
      </c>
      <c r="C117" s="2" t="s">
        <v>86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s="1">
        <v>0</v>
      </c>
      <c r="AX117" s="1">
        <v>0</v>
      </c>
      <c r="AY117">
        <v>0</v>
      </c>
      <c r="AZ117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</row>
    <row r="118" spans="1:83" x14ac:dyDescent="0.3">
      <c r="A118" s="5"/>
      <c r="B118" t="s">
        <v>123</v>
      </c>
      <c r="C118" s="2" t="s">
        <v>82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</row>
    <row r="119" spans="1:83" x14ac:dyDescent="0.3">
      <c r="A119" s="5"/>
      <c r="B119" t="s">
        <v>123</v>
      </c>
      <c r="C119" s="2" t="s">
        <v>85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s="1">
        <v>0</v>
      </c>
      <c r="AX119" s="1">
        <v>0</v>
      </c>
      <c r="AY119">
        <v>0</v>
      </c>
      <c r="AZ119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</row>
    <row r="120" spans="1:83" x14ac:dyDescent="0.3">
      <c r="A120" s="5"/>
      <c r="B120" t="s">
        <v>124</v>
      </c>
      <c r="C120" s="2" t="s">
        <v>82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</row>
    <row r="121" spans="1:83" x14ac:dyDescent="0.3">
      <c r="A121" s="5"/>
      <c r="B121" t="s">
        <v>124</v>
      </c>
      <c r="C121" s="2" t="s">
        <v>86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s="1">
        <v>0</v>
      </c>
      <c r="AX121" s="1">
        <v>0</v>
      </c>
      <c r="AY121">
        <v>0</v>
      </c>
      <c r="AZ12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</row>
    <row r="122" spans="1:83" x14ac:dyDescent="0.3">
      <c r="A122" s="5"/>
      <c r="B122" t="s">
        <v>125</v>
      </c>
      <c r="C122" s="2" t="s">
        <v>82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</row>
    <row r="123" spans="1:83" x14ac:dyDescent="0.3">
      <c r="A123" s="5"/>
      <c r="B123" t="s">
        <v>125</v>
      </c>
      <c r="C123" s="2" t="s">
        <v>85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s="1">
        <v>0</v>
      </c>
      <c r="AX123" s="1">
        <v>0</v>
      </c>
      <c r="AY123">
        <v>0</v>
      </c>
      <c r="AZ123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</row>
    <row r="124" spans="1:83" x14ac:dyDescent="0.3">
      <c r="A124" s="5"/>
      <c r="B124" t="s">
        <v>125</v>
      </c>
      <c r="C124" s="2" t="s">
        <v>86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</row>
    <row r="125" spans="1:83" x14ac:dyDescent="0.3">
      <c r="A125" s="5"/>
      <c r="B125" t="s">
        <v>126</v>
      </c>
      <c r="C125" s="2" t="s">
        <v>82</v>
      </c>
      <c r="D125">
        <v>1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s="1">
        <v>0</v>
      </c>
      <c r="AX125" s="1">
        <v>0</v>
      </c>
      <c r="AY125">
        <v>0</v>
      </c>
      <c r="AZ125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</row>
    <row r="126" spans="1:83" x14ac:dyDescent="0.3">
      <c r="A126" s="5"/>
      <c r="B126" t="s">
        <v>126</v>
      </c>
      <c r="C126" s="2" t="s">
        <v>86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</row>
    <row r="127" spans="1:83" x14ac:dyDescent="0.3">
      <c r="A127" s="5"/>
      <c r="B127" t="s">
        <v>127</v>
      </c>
      <c r="C127" s="2" t="s">
        <v>82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s="1">
        <v>0</v>
      </c>
      <c r="AX127" s="1">
        <v>0</v>
      </c>
      <c r="AY127">
        <v>0</v>
      </c>
      <c r="AZ127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</row>
    <row r="128" spans="1:83" x14ac:dyDescent="0.3">
      <c r="A128" s="5"/>
      <c r="B128" t="s">
        <v>127</v>
      </c>
      <c r="C128" s="2" t="s">
        <v>85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</row>
    <row r="129" spans="1:83" x14ac:dyDescent="0.3">
      <c r="A129" s="5"/>
      <c r="B129" t="s">
        <v>128</v>
      </c>
      <c r="C129" s="2" t="s">
        <v>82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s="1">
        <v>0</v>
      </c>
      <c r="AX129" s="1">
        <v>0</v>
      </c>
      <c r="AY129">
        <v>0</v>
      </c>
      <c r="AZ129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</row>
    <row r="130" spans="1:83" x14ac:dyDescent="0.3">
      <c r="A130" s="5"/>
      <c r="B130" t="s">
        <v>128</v>
      </c>
      <c r="C130" s="2" t="s">
        <v>85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</row>
    <row r="131" spans="1:83" x14ac:dyDescent="0.3">
      <c r="A131" s="5"/>
      <c r="B131" t="s">
        <v>129</v>
      </c>
      <c r="C131" s="2" t="s">
        <v>82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s="1">
        <v>0</v>
      </c>
      <c r="AX131" s="1">
        <v>0</v>
      </c>
      <c r="AY131">
        <v>0</v>
      </c>
      <c r="AZ13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</row>
    <row r="132" spans="1:83" x14ac:dyDescent="0.3">
      <c r="A132" s="5"/>
      <c r="B132" t="s">
        <v>129</v>
      </c>
      <c r="C132" s="2" t="s">
        <v>85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</row>
    <row r="133" spans="1:83" x14ac:dyDescent="0.3">
      <c r="A133" s="5"/>
      <c r="B133" t="s">
        <v>130</v>
      </c>
      <c r="C133" s="2" t="s">
        <v>82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s="1">
        <v>0</v>
      </c>
      <c r="AX133" s="1">
        <v>0</v>
      </c>
      <c r="AY133">
        <v>0</v>
      </c>
      <c r="AZ133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</row>
    <row r="134" spans="1:83" x14ac:dyDescent="0.3">
      <c r="A134" s="5"/>
      <c r="B134" t="s">
        <v>130</v>
      </c>
      <c r="C134" s="2" t="s">
        <v>85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</row>
    <row r="135" spans="1:83" x14ac:dyDescent="0.3">
      <c r="A135" s="5"/>
      <c r="B135" t="s">
        <v>131</v>
      </c>
      <c r="C135" s="2" t="s">
        <v>82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s="1">
        <v>0</v>
      </c>
      <c r="AX135" s="1">
        <v>0</v>
      </c>
      <c r="AY135">
        <v>0</v>
      </c>
      <c r="AZ135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</row>
    <row r="136" spans="1:83" x14ac:dyDescent="0.3">
      <c r="A136" s="5"/>
      <c r="B136" t="s">
        <v>131</v>
      </c>
      <c r="C136" s="2" t="s">
        <v>85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</row>
    <row r="137" spans="1:83" x14ac:dyDescent="0.3">
      <c r="A137" s="5"/>
      <c r="B137" t="s">
        <v>132</v>
      </c>
      <c r="C137" s="2" t="s">
        <v>82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s="1">
        <v>0</v>
      </c>
      <c r="AX137" s="1">
        <v>0</v>
      </c>
      <c r="AY137">
        <v>0</v>
      </c>
      <c r="AZ137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</row>
    <row r="138" spans="1:83" x14ac:dyDescent="0.3">
      <c r="A138" s="5"/>
      <c r="B138" t="s">
        <v>132</v>
      </c>
      <c r="C138" s="2" t="s">
        <v>86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</row>
    <row r="139" spans="1:83" x14ac:dyDescent="0.3">
      <c r="A139" s="4" t="s">
        <v>232</v>
      </c>
      <c r="B139" s="4"/>
      <c r="C139" s="2" t="s">
        <v>82</v>
      </c>
      <c r="D139" s="1">
        <v>2876</v>
      </c>
      <c r="E139">
        <v>11</v>
      </c>
      <c r="F139">
        <v>0</v>
      </c>
      <c r="G139">
        <v>0</v>
      </c>
      <c r="H139">
        <v>2</v>
      </c>
      <c r="I139">
        <v>0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2</v>
      </c>
      <c r="Q139">
        <v>17</v>
      </c>
      <c r="R139">
        <v>0</v>
      </c>
      <c r="S139">
        <v>0</v>
      </c>
      <c r="T139">
        <v>0</v>
      </c>
      <c r="U139">
        <v>9</v>
      </c>
      <c r="V139">
        <v>299</v>
      </c>
      <c r="W139">
        <v>54</v>
      </c>
      <c r="X139">
        <v>24</v>
      </c>
      <c r="Y139">
        <v>40</v>
      </c>
      <c r="Z139">
        <v>0</v>
      </c>
      <c r="AA139">
        <v>0</v>
      </c>
      <c r="AB139">
        <v>2</v>
      </c>
      <c r="AC139">
        <v>17</v>
      </c>
      <c r="AD139">
        <v>7</v>
      </c>
      <c r="AE139">
        <v>52</v>
      </c>
      <c r="AF139" s="1">
        <v>1541</v>
      </c>
      <c r="AG139">
        <v>1</v>
      </c>
      <c r="AH139">
        <v>24</v>
      </c>
      <c r="AI139">
        <v>0</v>
      </c>
      <c r="AJ139">
        <v>150</v>
      </c>
      <c r="AK139">
        <v>1</v>
      </c>
      <c r="AL139">
        <v>39</v>
      </c>
      <c r="AM139">
        <v>268</v>
      </c>
      <c r="AN139">
        <v>1</v>
      </c>
      <c r="AO139">
        <v>0</v>
      </c>
      <c r="AP139">
        <v>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s="1">
        <v>0</v>
      </c>
      <c r="AX139" s="1">
        <v>0</v>
      </c>
      <c r="AY139">
        <v>0</v>
      </c>
      <c r="AZ139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>
        <v>1</v>
      </c>
      <c r="BK139" s="1">
        <v>0</v>
      </c>
      <c r="BL139" s="1">
        <v>0</v>
      </c>
      <c r="BM139" s="1">
        <v>0</v>
      </c>
      <c r="BN139">
        <v>1</v>
      </c>
      <c r="BO139" s="1">
        <v>0</v>
      </c>
      <c r="BP139" s="1">
        <v>0</v>
      </c>
      <c r="BQ139">
        <v>26</v>
      </c>
      <c r="BR139" s="1">
        <v>0</v>
      </c>
      <c r="BS139">
        <v>1</v>
      </c>
      <c r="BT139">
        <v>4</v>
      </c>
      <c r="BU139">
        <v>10</v>
      </c>
      <c r="BV139">
        <v>10</v>
      </c>
      <c r="BW139">
        <v>50</v>
      </c>
      <c r="BX139">
        <v>14</v>
      </c>
      <c r="BY139">
        <v>17</v>
      </c>
      <c r="BZ139">
        <v>15</v>
      </c>
      <c r="CA139">
        <v>1</v>
      </c>
      <c r="CB139" s="1">
        <v>0</v>
      </c>
      <c r="CC139">
        <v>21</v>
      </c>
      <c r="CD139">
        <v>129</v>
      </c>
      <c r="CE139" s="1">
        <v>0</v>
      </c>
    </row>
    <row r="140" spans="1:83" x14ac:dyDescent="0.3">
      <c r="A140" s="4"/>
      <c r="B140" s="4"/>
      <c r="C140" s="2" t="s">
        <v>85</v>
      </c>
      <c r="D140" s="1">
        <f>D143+D146</f>
        <v>1244</v>
      </c>
      <c r="E140" s="1">
        <f t="shared" ref="E140:BP140" si="8">E143+E146</f>
        <v>1</v>
      </c>
      <c r="F140" s="1">
        <f t="shared" si="8"/>
        <v>0</v>
      </c>
      <c r="G140" s="1">
        <f t="shared" si="8"/>
        <v>0</v>
      </c>
      <c r="H140" s="1">
        <f t="shared" si="8"/>
        <v>2</v>
      </c>
      <c r="I140" s="1">
        <f t="shared" si="8"/>
        <v>0</v>
      </c>
      <c r="J140" s="1">
        <f t="shared" si="8"/>
        <v>1</v>
      </c>
      <c r="K140" s="1">
        <f t="shared" si="8"/>
        <v>0</v>
      </c>
      <c r="L140" s="1">
        <f t="shared" si="8"/>
        <v>0</v>
      </c>
      <c r="M140" s="1">
        <f t="shared" si="8"/>
        <v>0</v>
      </c>
      <c r="N140" s="1">
        <f t="shared" si="8"/>
        <v>0</v>
      </c>
      <c r="O140" s="1">
        <f t="shared" si="8"/>
        <v>1</v>
      </c>
      <c r="P140" s="1">
        <f t="shared" si="8"/>
        <v>2</v>
      </c>
      <c r="Q140" s="1">
        <f t="shared" si="8"/>
        <v>11</v>
      </c>
      <c r="R140" s="1">
        <f t="shared" si="8"/>
        <v>0</v>
      </c>
      <c r="S140" s="1">
        <f t="shared" si="8"/>
        <v>0</v>
      </c>
      <c r="T140" s="1">
        <f t="shared" si="8"/>
        <v>0</v>
      </c>
      <c r="U140" s="1">
        <f t="shared" si="8"/>
        <v>8</v>
      </c>
      <c r="V140" s="1">
        <f t="shared" si="8"/>
        <v>169</v>
      </c>
      <c r="W140" s="1">
        <f t="shared" si="8"/>
        <v>46</v>
      </c>
      <c r="X140" s="1">
        <f t="shared" si="8"/>
        <v>16</v>
      </c>
      <c r="Y140" s="1">
        <f t="shared" si="8"/>
        <v>34</v>
      </c>
      <c r="Z140" s="1">
        <f t="shared" si="8"/>
        <v>0</v>
      </c>
      <c r="AA140" s="1">
        <f t="shared" si="8"/>
        <v>0</v>
      </c>
      <c r="AB140" s="1">
        <f t="shared" si="8"/>
        <v>2</v>
      </c>
      <c r="AC140" s="1">
        <f t="shared" si="8"/>
        <v>15</v>
      </c>
      <c r="AD140" s="1">
        <f t="shared" si="8"/>
        <v>6</v>
      </c>
      <c r="AE140" s="1">
        <f t="shared" si="8"/>
        <v>35</v>
      </c>
      <c r="AF140" s="1">
        <f t="shared" si="8"/>
        <v>473</v>
      </c>
      <c r="AG140" s="1">
        <f t="shared" si="8"/>
        <v>0</v>
      </c>
      <c r="AH140" s="1">
        <f t="shared" si="8"/>
        <v>21</v>
      </c>
      <c r="AI140" s="1">
        <f t="shared" si="8"/>
        <v>0</v>
      </c>
      <c r="AJ140" s="1">
        <f t="shared" si="8"/>
        <v>85</v>
      </c>
      <c r="AK140" s="1">
        <f t="shared" si="8"/>
        <v>0</v>
      </c>
      <c r="AL140" s="1">
        <f t="shared" si="8"/>
        <v>35</v>
      </c>
      <c r="AM140" s="1">
        <f t="shared" si="8"/>
        <v>146</v>
      </c>
      <c r="AN140" s="1">
        <f t="shared" si="8"/>
        <v>1</v>
      </c>
      <c r="AO140" s="1">
        <f t="shared" si="8"/>
        <v>0</v>
      </c>
      <c r="AP140" s="1">
        <f t="shared" si="8"/>
        <v>6</v>
      </c>
      <c r="AQ140" s="1">
        <f t="shared" si="8"/>
        <v>0</v>
      </c>
      <c r="AR140" s="1">
        <f t="shared" si="8"/>
        <v>0</v>
      </c>
      <c r="AS140" s="1">
        <f t="shared" si="8"/>
        <v>0</v>
      </c>
      <c r="AT140" s="1">
        <f t="shared" si="8"/>
        <v>0</v>
      </c>
      <c r="AU140" s="1">
        <f t="shared" si="8"/>
        <v>0</v>
      </c>
      <c r="AV140" s="1">
        <f t="shared" si="8"/>
        <v>0</v>
      </c>
      <c r="AW140" s="1">
        <f t="shared" si="8"/>
        <v>0</v>
      </c>
      <c r="AX140" s="1">
        <f t="shared" si="8"/>
        <v>0</v>
      </c>
      <c r="AY140" s="1">
        <f t="shared" si="8"/>
        <v>0</v>
      </c>
      <c r="AZ140" s="1">
        <f t="shared" si="8"/>
        <v>0</v>
      </c>
      <c r="BA140" s="1">
        <f t="shared" si="8"/>
        <v>0</v>
      </c>
      <c r="BB140" s="1">
        <f t="shared" si="8"/>
        <v>0</v>
      </c>
      <c r="BC140" s="1">
        <f t="shared" si="8"/>
        <v>0</v>
      </c>
      <c r="BD140" s="1">
        <f t="shared" si="8"/>
        <v>0</v>
      </c>
      <c r="BE140" s="1">
        <f t="shared" si="8"/>
        <v>0</v>
      </c>
      <c r="BF140" s="1">
        <f t="shared" si="8"/>
        <v>0</v>
      </c>
      <c r="BG140" s="1">
        <f t="shared" si="8"/>
        <v>0</v>
      </c>
      <c r="BH140" s="1">
        <f t="shared" si="8"/>
        <v>0</v>
      </c>
      <c r="BI140" s="1">
        <f t="shared" si="8"/>
        <v>0</v>
      </c>
      <c r="BJ140" s="1">
        <f t="shared" si="8"/>
        <v>0</v>
      </c>
      <c r="BK140" s="1">
        <f t="shared" si="8"/>
        <v>0</v>
      </c>
      <c r="BL140" s="1">
        <f t="shared" si="8"/>
        <v>0</v>
      </c>
      <c r="BM140" s="1">
        <f t="shared" si="8"/>
        <v>0</v>
      </c>
      <c r="BN140" s="1">
        <f t="shared" si="8"/>
        <v>1</v>
      </c>
      <c r="BO140" s="1">
        <f t="shared" si="8"/>
        <v>0</v>
      </c>
      <c r="BP140" s="1">
        <f t="shared" si="8"/>
        <v>0</v>
      </c>
      <c r="BQ140" s="1">
        <f t="shared" ref="BQ140:CE140" si="9">BQ143+BQ146</f>
        <v>11</v>
      </c>
      <c r="BR140" s="1">
        <f t="shared" si="9"/>
        <v>0</v>
      </c>
      <c r="BS140" s="1">
        <f t="shared" si="9"/>
        <v>0</v>
      </c>
      <c r="BT140" s="1">
        <f t="shared" si="9"/>
        <v>2</v>
      </c>
      <c r="BU140" s="1">
        <f t="shared" si="9"/>
        <v>1</v>
      </c>
      <c r="BV140" s="1">
        <f t="shared" si="9"/>
        <v>5</v>
      </c>
      <c r="BW140" s="1">
        <f t="shared" si="9"/>
        <v>23</v>
      </c>
      <c r="BX140" s="1">
        <f t="shared" si="9"/>
        <v>5</v>
      </c>
      <c r="BY140" s="1">
        <f t="shared" si="9"/>
        <v>6</v>
      </c>
      <c r="BZ140" s="1">
        <f t="shared" si="9"/>
        <v>9</v>
      </c>
      <c r="CA140" s="1">
        <f t="shared" si="9"/>
        <v>1</v>
      </c>
      <c r="CB140" s="1">
        <f t="shared" si="9"/>
        <v>0</v>
      </c>
      <c r="CC140" s="1">
        <f t="shared" si="9"/>
        <v>10</v>
      </c>
      <c r="CD140" s="1">
        <f t="shared" si="9"/>
        <v>54</v>
      </c>
      <c r="CE140" s="1">
        <f t="shared" si="9"/>
        <v>0</v>
      </c>
    </row>
    <row r="141" spans="1:83" x14ac:dyDescent="0.3">
      <c r="A141" s="4"/>
      <c r="B141" s="4"/>
      <c r="C141" s="2" t="s">
        <v>86</v>
      </c>
      <c r="D141" s="1">
        <f>D144+D147</f>
        <v>1632</v>
      </c>
      <c r="E141" s="1">
        <f t="shared" ref="E141:BP141" si="10">E144+E147</f>
        <v>10</v>
      </c>
      <c r="F141" s="1">
        <f t="shared" si="10"/>
        <v>0</v>
      </c>
      <c r="G141" s="1">
        <f t="shared" si="10"/>
        <v>0</v>
      </c>
      <c r="H141" s="1">
        <f t="shared" si="10"/>
        <v>0</v>
      </c>
      <c r="I141" s="1">
        <f t="shared" si="10"/>
        <v>0</v>
      </c>
      <c r="J141" s="1">
        <f t="shared" si="10"/>
        <v>6</v>
      </c>
      <c r="K141" s="1">
        <f t="shared" si="10"/>
        <v>0</v>
      </c>
      <c r="L141" s="1">
        <f t="shared" si="10"/>
        <v>0</v>
      </c>
      <c r="M141" s="1">
        <f t="shared" si="10"/>
        <v>0</v>
      </c>
      <c r="N141" s="1">
        <f t="shared" si="10"/>
        <v>0</v>
      </c>
      <c r="O141" s="1">
        <f t="shared" si="10"/>
        <v>1</v>
      </c>
      <c r="P141" s="1">
        <f t="shared" si="10"/>
        <v>0</v>
      </c>
      <c r="Q141" s="1">
        <f t="shared" si="10"/>
        <v>6</v>
      </c>
      <c r="R141" s="1">
        <f t="shared" si="10"/>
        <v>0</v>
      </c>
      <c r="S141" s="1">
        <f t="shared" si="10"/>
        <v>0</v>
      </c>
      <c r="T141" s="1">
        <f t="shared" si="10"/>
        <v>0</v>
      </c>
      <c r="U141" s="1">
        <f t="shared" si="10"/>
        <v>1</v>
      </c>
      <c r="V141" s="1">
        <f t="shared" si="10"/>
        <v>130</v>
      </c>
      <c r="W141" s="1">
        <f t="shared" si="10"/>
        <v>8</v>
      </c>
      <c r="X141" s="1">
        <f t="shared" si="10"/>
        <v>8</v>
      </c>
      <c r="Y141" s="1">
        <f t="shared" si="10"/>
        <v>6</v>
      </c>
      <c r="Z141" s="1">
        <f t="shared" si="10"/>
        <v>0</v>
      </c>
      <c r="AA141" s="1">
        <f t="shared" si="10"/>
        <v>0</v>
      </c>
      <c r="AB141" s="1">
        <f t="shared" si="10"/>
        <v>0</v>
      </c>
      <c r="AC141" s="1">
        <f t="shared" si="10"/>
        <v>2</v>
      </c>
      <c r="AD141" s="1">
        <f t="shared" si="10"/>
        <v>1</v>
      </c>
      <c r="AE141" s="1">
        <f t="shared" si="10"/>
        <v>17</v>
      </c>
      <c r="AF141" s="1">
        <f t="shared" si="10"/>
        <v>1068</v>
      </c>
      <c r="AG141" s="1">
        <f t="shared" si="10"/>
        <v>1</v>
      </c>
      <c r="AH141" s="1">
        <f t="shared" si="10"/>
        <v>3</v>
      </c>
      <c r="AI141" s="1">
        <f t="shared" si="10"/>
        <v>0</v>
      </c>
      <c r="AJ141" s="1">
        <f t="shared" si="10"/>
        <v>65</v>
      </c>
      <c r="AK141" s="1">
        <f t="shared" si="10"/>
        <v>1</v>
      </c>
      <c r="AL141" s="1">
        <f t="shared" si="10"/>
        <v>4</v>
      </c>
      <c r="AM141" s="1">
        <f t="shared" si="10"/>
        <v>122</v>
      </c>
      <c r="AN141" s="1">
        <f t="shared" si="10"/>
        <v>0</v>
      </c>
      <c r="AO141" s="1">
        <f t="shared" si="10"/>
        <v>0</v>
      </c>
      <c r="AP141" s="1">
        <f t="shared" si="10"/>
        <v>0</v>
      </c>
      <c r="AQ141" s="1">
        <f t="shared" si="10"/>
        <v>0</v>
      </c>
      <c r="AR141" s="1">
        <f t="shared" si="10"/>
        <v>0</v>
      </c>
      <c r="AS141" s="1">
        <f t="shared" si="10"/>
        <v>0</v>
      </c>
      <c r="AT141" s="1">
        <f t="shared" si="10"/>
        <v>0</v>
      </c>
      <c r="AU141" s="1">
        <f t="shared" si="10"/>
        <v>0</v>
      </c>
      <c r="AV141" s="1">
        <f t="shared" si="10"/>
        <v>0</v>
      </c>
      <c r="AW141" s="1">
        <f t="shared" si="10"/>
        <v>0</v>
      </c>
      <c r="AX141" s="1">
        <f t="shared" si="10"/>
        <v>0</v>
      </c>
      <c r="AY141" s="1">
        <f t="shared" si="10"/>
        <v>0</v>
      </c>
      <c r="AZ141" s="1">
        <f t="shared" si="10"/>
        <v>0</v>
      </c>
      <c r="BA141" s="1">
        <f t="shared" si="10"/>
        <v>0</v>
      </c>
      <c r="BB141" s="1">
        <f t="shared" si="10"/>
        <v>0</v>
      </c>
      <c r="BC141" s="1">
        <f t="shared" si="10"/>
        <v>0</v>
      </c>
      <c r="BD141" s="1">
        <f t="shared" si="10"/>
        <v>0</v>
      </c>
      <c r="BE141" s="1">
        <f t="shared" si="10"/>
        <v>0</v>
      </c>
      <c r="BF141" s="1">
        <f t="shared" si="10"/>
        <v>0</v>
      </c>
      <c r="BG141" s="1">
        <f t="shared" si="10"/>
        <v>0</v>
      </c>
      <c r="BH141" s="1">
        <f t="shared" si="10"/>
        <v>0</v>
      </c>
      <c r="BI141" s="1">
        <f t="shared" si="10"/>
        <v>0</v>
      </c>
      <c r="BJ141" s="1">
        <f t="shared" si="10"/>
        <v>1</v>
      </c>
      <c r="BK141" s="1">
        <f t="shared" si="10"/>
        <v>0</v>
      </c>
      <c r="BL141" s="1">
        <f t="shared" si="10"/>
        <v>0</v>
      </c>
      <c r="BM141" s="1">
        <f t="shared" si="10"/>
        <v>0</v>
      </c>
      <c r="BN141" s="1">
        <f t="shared" si="10"/>
        <v>0</v>
      </c>
      <c r="BO141" s="1">
        <f t="shared" si="10"/>
        <v>0</v>
      </c>
      <c r="BP141" s="1">
        <f t="shared" si="10"/>
        <v>0</v>
      </c>
      <c r="BQ141" s="1">
        <f t="shared" ref="BQ141:CE141" si="11">BQ144+BQ147</f>
        <v>15</v>
      </c>
      <c r="BR141" s="1">
        <f t="shared" si="11"/>
        <v>0</v>
      </c>
      <c r="BS141" s="1">
        <f t="shared" si="11"/>
        <v>1</v>
      </c>
      <c r="BT141" s="1">
        <f t="shared" si="11"/>
        <v>2</v>
      </c>
      <c r="BU141" s="1">
        <f t="shared" si="11"/>
        <v>9</v>
      </c>
      <c r="BV141" s="1">
        <f t="shared" si="11"/>
        <v>5</v>
      </c>
      <c r="BW141" s="1">
        <f t="shared" si="11"/>
        <v>27</v>
      </c>
      <c r="BX141" s="1">
        <f t="shared" si="11"/>
        <v>9</v>
      </c>
      <c r="BY141" s="1">
        <f t="shared" si="11"/>
        <v>11</v>
      </c>
      <c r="BZ141" s="1">
        <f t="shared" si="11"/>
        <v>6</v>
      </c>
      <c r="CA141" s="1">
        <f t="shared" si="11"/>
        <v>0</v>
      </c>
      <c r="CB141" s="1">
        <f t="shared" si="11"/>
        <v>0</v>
      </c>
      <c r="CC141" s="1">
        <f t="shared" si="11"/>
        <v>11</v>
      </c>
      <c r="CD141" s="1">
        <f t="shared" si="11"/>
        <v>75</v>
      </c>
      <c r="CE141" s="1">
        <f t="shared" si="11"/>
        <v>0</v>
      </c>
    </row>
    <row r="142" spans="1:83" x14ac:dyDescent="0.3">
      <c r="A142" s="4" t="s">
        <v>133</v>
      </c>
      <c r="B142" t="s">
        <v>134</v>
      </c>
      <c r="C142" s="2" t="s">
        <v>82</v>
      </c>
      <c r="D142" s="1">
        <v>2491</v>
      </c>
      <c r="E142">
        <v>10</v>
      </c>
      <c r="F142">
        <v>0</v>
      </c>
      <c r="G142">
        <v>0</v>
      </c>
      <c r="H142">
        <v>2</v>
      </c>
      <c r="I142">
        <v>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2</v>
      </c>
      <c r="Q142">
        <v>11</v>
      </c>
      <c r="R142">
        <v>0</v>
      </c>
      <c r="S142">
        <v>0</v>
      </c>
      <c r="T142">
        <v>0</v>
      </c>
      <c r="U142">
        <v>8</v>
      </c>
      <c r="V142">
        <v>288</v>
      </c>
      <c r="W142">
        <v>51</v>
      </c>
      <c r="X142">
        <v>23</v>
      </c>
      <c r="Y142">
        <v>37</v>
      </c>
      <c r="Z142">
        <v>0</v>
      </c>
      <c r="AA142">
        <v>0</v>
      </c>
      <c r="AB142">
        <v>1</v>
      </c>
      <c r="AC142">
        <v>14</v>
      </c>
      <c r="AD142">
        <v>5</v>
      </c>
      <c r="AE142">
        <v>44</v>
      </c>
      <c r="AF142" s="1">
        <v>1309</v>
      </c>
      <c r="AG142">
        <v>1</v>
      </c>
      <c r="AH142">
        <v>19</v>
      </c>
      <c r="AI142">
        <v>0</v>
      </c>
      <c r="AJ142">
        <v>116</v>
      </c>
      <c r="AK142">
        <v>1</v>
      </c>
      <c r="AL142">
        <v>36</v>
      </c>
      <c r="AM142">
        <v>224</v>
      </c>
      <c r="AN142">
        <v>1</v>
      </c>
      <c r="AO142">
        <v>0</v>
      </c>
      <c r="AP142">
        <v>5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>
        <v>1</v>
      </c>
      <c r="BK142" s="1">
        <v>0</v>
      </c>
      <c r="BL142" s="1">
        <v>0</v>
      </c>
      <c r="BM142" s="1">
        <v>0</v>
      </c>
      <c r="BN142">
        <v>1</v>
      </c>
      <c r="BO142" s="1">
        <v>0</v>
      </c>
      <c r="BP142" s="1">
        <v>0</v>
      </c>
      <c r="BQ142">
        <v>23</v>
      </c>
      <c r="BR142" s="1">
        <v>0</v>
      </c>
      <c r="BS142">
        <v>1</v>
      </c>
      <c r="BT142">
        <v>4</v>
      </c>
      <c r="BU142">
        <v>10</v>
      </c>
      <c r="BV142">
        <v>10</v>
      </c>
      <c r="BW142">
        <v>49</v>
      </c>
      <c r="BX142">
        <v>14</v>
      </c>
      <c r="BY142">
        <v>14</v>
      </c>
      <c r="BZ142">
        <v>13</v>
      </c>
      <c r="CA142">
        <v>1</v>
      </c>
      <c r="CB142" s="1">
        <v>0</v>
      </c>
      <c r="CC142">
        <v>20</v>
      </c>
      <c r="CD142">
        <v>116</v>
      </c>
      <c r="CE142" s="1">
        <v>0</v>
      </c>
    </row>
    <row r="143" spans="1:83" x14ac:dyDescent="0.3">
      <c r="A143" s="4"/>
      <c r="B143" t="s">
        <v>134</v>
      </c>
      <c r="C143" s="2" t="s">
        <v>85</v>
      </c>
      <c r="D143" s="1">
        <v>1065</v>
      </c>
      <c r="E143">
        <v>1</v>
      </c>
      <c r="F143">
        <v>0</v>
      </c>
      <c r="G143">
        <v>0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2</v>
      </c>
      <c r="Q143">
        <v>8</v>
      </c>
      <c r="R143">
        <v>0</v>
      </c>
      <c r="S143">
        <v>0</v>
      </c>
      <c r="T143">
        <v>0</v>
      </c>
      <c r="U143">
        <v>7</v>
      </c>
      <c r="V143">
        <v>166</v>
      </c>
      <c r="W143">
        <v>44</v>
      </c>
      <c r="X143">
        <v>16</v>
      </c>
      <c r="Y143">
        <v>32</v>
      </c>
      <c r="Z143">
        <v>0</v>
      </c>
      <c r="AA143">
        <v>0</v>
      </c>
      <c r="AB143">
        <v>1</v>
      </c>
      <c r="AC143">
        <v>13</v>
      </c>
      <c r="AD143">
        <v>4</v>
      </c>
      <c r="AE143">
        <v>27</v>
      </c>
      <c r="AF143">
        <v>381</v>
      </c>
      <c r="AG143">
        <v>0</v>
      </c>
      <c r="AH143">
        <v>16</v>
      </c>
      <c r="AI143">
        <v>0</v>
      </c>
      <c r="AJ143">
        <v>64</v>
      </c>
      <c r="AK143">
        <v>0</v>
      </c>
      <c r="AL143">
        <v>32</v>
      </c>
      <c r="AM143">
        <v>124</v>
      </c>
      <c r="AN143">
        <v>1</v>
      </c>
      <c r="AO143">
        <v>0</v>
      </c>
      <c r="AP143">
        <v>5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>
        <v>1</v>
      </c>
      <c r="BO143" s="1">
        <v>0</v>
      </c>
      <c r="BP143" s="1">
        <v>0</v>
      </c>
      <c r="BQ143">
        <v>10</v>
      </c>
      <c r="BR143" s="1">
        <v>0</v>
      </c>
      <c r="BS143" s="1">
        <v>0</v>
      </c>
      <c r="BT143">
        <v>2</v>
      </c>
      <c r="BU143">
        <v>1</v>
      </c>
      <c r="BV143">
        <v>5</v>
      </c>
      <c r="BW143">
        <v>23</v>
      </c>
      <c r="BX143">
        <v>5</v>
      </c>
      <c r="BY143">
        <v>4</v>
      </c>
      <c r="BZ143">
        <v>7</v>
      </c>
      <c r="CA143">
        <v>1</v>
      </c>
      <c r="CB143" s="1">
        <v>0</v>
      </c>
      <c r="CC143">
        <v>9</v>
      </c>
      <c r="CD143">
        <v>49</v>
      </c>
      <c r="CE143" s="1">
        <v>0</v>
      </c>
    </row>
    <row r="144" spans="1:83" x14ac:dyDescent="0.3">
      <c r="A144" s="4"/>
      <c r="B144" t="s">
        <v>134</v>
      </c>
      <c r="C144" s="2" t="s">
        <v>86</v>
      </c>
      <c r="D144" s="1">
        <v>1426</v>
      </c>
      <c r="E144" s="1">
        <v>9</v>
      </c>
      <c r="F144" s="1">
        <v>0</v>
      </c>
      <c r="G144" s="1">
        <v>0</v>
      </c>
      <c r="H144" s="1">
        <v>0</v>
      </c>
      <c r="I144" s="1">
        <v>0</v>
      </c>
      <c r="J144" s="1">
        <v>3</v>
      </c>
      <c r="K144" s="1">
        <v>0</v>
      </c>
      <c r="L144" s="1">
        <v>0</v>
      </c>
      <c r="M144" s="1">
        <v>0</v>
      </c>
      <c r="N144" s="1">
        <v>0</v>
      </c>
      <c r="O144" s="1">
        <v>1</v>
      </c>
      <c r="P144" s="1">
        <v>0</v>
      </c>
      <c r="Q144" s="1">
        <v>3</v>
      </c>
      <c r="R144" s="1">
        <v>0</v>
      </c>
      <c r="S144" s="1">
        <v>0</v>
      </c>
      <c r="T144" s="1">
        <v>0</v>
      </c>
      <c r="U144" s="1">
        <v>1</v>
      </c>
      <c r="V144" s="1">
        <v>122</v>
      </c>
      <c r="W144" s="1">
        <v>7</v>
      </c>
      <c r="X144" s="1">
        <v>7</v>
      </c>
      <c r="Y144" s="1">
        <v>5</v>
      </c>
      <c r="Z144" s="1">
        <v>0</v>
      </c>
      <c r="AA144" s="1">
        <v>0</v>
      </c>
      <c r="AB144" s="1">
        <v>0</v>
      </c>
      <c r="AC144" s="1">
        <v>1</v>
      </c>
      <c r="AD144" s="1">
        <v>1</v>
      </c>
      <c r="AE144" s="1">
        <v>17</v>
      </c>
      <c r="AF144" s="1">
        <v>928</v>
      </c>
      <c r="AG144" s="1">
        <v>1</v>
      </c>
      <c r="AH144" s="1">
        <v>3</v>
      </c>
      <c r="AI144" s="1">
        <v>0</v>
      </c>
      <c r="AJ144" s="1">
        <v>52</v>
      </c>
      <c r="AK144" s="1">
        <v>1</v>
      </c>
      <c r="AL144" s="1">
        <v>4</v>
      </c>
      <c r="AM144" s="1">
        <v>100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1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13</v>
      </c>
      <c r="BR144" s="1">
        <v>0</v>
      </c>
      <c r="BS144" s="1">
        <v>1</v>
      </c>
      <c r="BT144" s="1">
        <v>2</v>
      </c>
      <c r="BU144" s="1">
        <v>9</v>
      </c>
      <c r="BV144" s="1">
        <v>5</v>
      </c>
      <c r="BW144" s="1">
        <v>26</v>
      </c>
      <c r="BX144" s="1">
        <v>9</v>
      </c>
      <c r="BY144" s="1">
        <v>10</v>
      </c>
      <c r="BZ144" s="1">
        <v>6</v>
      </c>
      <c r="CA144" s="1">
        <v>0</v>
      </c>
      <c r="CB144" s="1">
        <v>0</v>
      </c>
      <c r="CC144" s="1">
        <v>11</v>
      </c>
      <c r="CD144" s="1">
        <v>67</v>
      </c>
      <c r="CE144" s="1">
        <v>0</v>
      </c>
    </row>
    <row r="145" spans="1:83" x14ac:dyDescent="0.3">
      <c r="A145" s="4"/>
      <c r="B145" t="s">
        <v>135</v>
      </c>
      <c r="C145" s="2" t="s">
        <v>82</v>
      </c>
      <c r="D145">
        <v>385</v>
      </c>
      <c r="E145">
        <v>1</v>
      </c>
      <c r="F145" s="1">
        <v>0</v>
      </c>
      <c r="G145" s="1">
        <v>0</v>
      </c>
      <c r="H145" s="1">
        <v>0</v>
      </c>
      <c r="I145" s="1">
        <v>0</v>
      </c>
      <c r="J145">
        <v>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>
        <v>6</v>
      </c>
      <c r="R145" s="1">
        <v>0</v>
      </c>
      <c r="S145" s="1">
        <v>0</v>
      </c>
      <c r="T145" s="1">
        <v>0</v>
      </c>
      <c r="U145">
        <v>1</v>
      </c>
      <c r="V145">
        <v>11</v>
      </c>
      <c r="W145">
        <v>3</v>
      </c>
      <c r="X145">
        <v>1</v>
      </c>
      <c r="Y145">
        <v>3</v>
      </c>
      <c r="Z145" s="1">
        <v>0</v>
      </c>
      <c r="AA145" s="1">
        <v>0</v>
      </c>
      <c r="AB145">
        <v>1</v>
      </c>
      <c r="AC145">
        <v>3</v>
      </c>
      <c r="AD145">
        <v>2</v>
      </c>
      <c r="AE145">
        <v>8</v>
      </c>
      <c r="AF145">
        <v>232</v>
      </c>
      <c r="AG145" s="1">
        <v>0</v>
      </c>
      <c r="AH145">
        <v>5</v>
      </c>
      <c r="AI145" s="1">
        <v>0</v>
      </c>
      <c r="AJ145">
        <v>34</v>
      </c>
      <c r="AK145" s="1">
        <v>0</v>
      </c>
      <c r="AL145">
        <v>3</v>
      </c>
      <c r="AM145">
        <v>44</v>
      </c>
      <c r="AN145" s="1">
        <v>0</v>
      </c>
      <c r="AO145" s="1">
        <v>0</v>
      </c>
      <c r="AP145">
        <v>1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>
        <v>3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>
        <v>1</v>
      </c>
      <c r="BX145" s="1">
        <v>0</v>
      </c>
      <c r="BY145">
        <v>3</v>
      </c>
      <c r="BZ145">
        <v>2</v>
      </c>
      <c r="CA145" s="1">
        <v>0</v>
      </c>
      <c r="CB145" s="1">
        <v>0</v>
      </c>
      <c r="CC145">
        <v>1</v>
      </c>
      <c r="CD145">
        <v>13</v>
      </c>
      <c r="CE145" s="1">
        <v>0</v>
      </c>
    </row>
    <row r="146" spans="1:83" x14ac:dyDescent="0.3">
      <c r="A146" s="4"/>
      <c r="B146" t="s">
        <v>135</v>
      </c>
      <c r="C146" s="2" t="s">
        <v>85</v>
      </c>
      <c r="D146">
        <v>179</v>
      </c>
      <c r="E146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>
        <v>3</v>
      </c>
      <c r="R146" s="1">
        <v>0</v>
      </c>
      <c r="S146" s="1">
        <v>0</v>
      </c>
      <c r="T146" s="1">
        <v>0</v>
      </c>
      <c r="U146">
        <v>1</v>
      </c>
      <c r="V146">
        <v>3</v>
      </c>
      <c r="W146">
        <v>2</v>
      </c>
      <c r="X146">
        <v>0</v>
      </c>
      <c r="Y146">
        <v>2</v>
      </c>
      <c r="Z146" s="1">
        <v>0</v>
      </c>
      <c r="AA146" s="1">
        <v>0</v>
      </c>
      <c r="AB146">
        <v>1</v>
      </c>
      <c r="AC146">
        <v>2</v>
      </c>
      <c r="AD146">
        <v>2</v>
      </c>
      <c r="AE146">
        <v>8</v>
      </c>
      <c r="AF146">
        <v>92</v>
      </c>
      <c r="AG146" s="1">
        <v>0</v>
      </c>
      <c r="AH146">
        <v>5</v>
      </c>
      <c r="AI146" s="1">
        <v>0</v>
      </c>
      <c r="AJ146">
        <v>21</v>
      </c>
      <c r="AK146" s="1">
        <v>0</v>
      </c>
      <c r="AL146">
        <v>3</v>
      </c>
      <c r="AM146">
        <v>22</v>
      </c>
      <c r="AN146" s="1">
        <v>0</v>
      </c>
      <c r="AO146" s="1">
        <v>0</v>
      </c>
      <c r="AP146">
        <v>1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>
        <v>1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>
        <v>2</v>
      </c>
      <c r="BZ146">
        <v>2</v>
      </c>
      <c r="CA146" s="1">
        <v>0</v>
      </c>
      <c r="CB146" s="1">
        <v>0</v>
      </c>
      <c r="CC146">
        <v>1</v>
      </c>
      <c r="CD146">
        <v>5</v>
      </c>
      <c r="CE146" s="1">
        <v>0</v>
      </c>
    </row>
    <row r="147" spans="1:83" x14ac:dyDescent="0.3">
      <c r="A147" s="4"/>
      <c r="B147" t="s">
        <v>135</v>
      </c>
      <c r="C147" s="2" t="s">
        <v>86</v>
      </c>
      <c r="D147">
        <v>206</v>
      </c>
      <c r="E147">
        <v>1</v>
      </c>
      <c r="F147" s="1">
        <v>0</v>
      </c>
      <c r="G147" s="1">
        <v>0</v>
      </c>
      <c r="H147" s="1">
        <v>0</v>
      </c>
      <c r="I147" s="1">
        <v>0</v>
      </c>
      <c r="J147">
        <v>3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>
        <v>3</v>
      </c>
      <c r="R147" s="1">
        <v>0</v>
      </c>
      <c r="S147" s="1">
        <v>0</v>
      </c>
      <c r="T147" s="1">
        <v>0</v>
      </c>
      <c r="U147" s="1">
        <v>0</v>
      </c>
      <c r="V147">
        <v>8</v>
      </c>
      <c r="W147">
        <v>1</v>
      </c>
      <c r="X147">
        <v>1</v>
      </c>
      <c r="Y147">
        <v>1</v>
      </c>
      <c r="Z147" s="1">
        <v>0</v>
      </c>
      <c r="AA147" s="1">
        <v>0</v>
      </c>
      <c r="AB147">
        <v>0</v>
      </c>
      <c r="AC147">
        <v>1</v>
      </c>
      <c r="AD147">
        <v>0</v>
      </c>
      <c r="AE147">
        <v>0</v>
      </c>
      <c r="AF147">
        <v>140</v>
      </c>
      <c r="AG147" s="1">
        <v>0</v>
      </c>
      <c r="AH147">
        <v>0</v>
      </c>
      <c r="AI147" s="1">
        <v>0</v>
      </c>
      <c r="AJ147">
        <v>13</v>
      </c>
      <c r="AK147" s="1">
        <v>0</v>
      </c>
      <c r="AL147">
        <v>0</v>
      </c>
      <c r="AM147">
        <v>22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>
        <v>2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>
        <v>1</v>
      </c>
      <c r="BX147" s="1">
        <v>0</v>
      </c>
      <c r="BY147">
        <v>1</v>
      </c>
      <c r="BZ147" s="1">
        <v>0</v>
      </c>
      <c r="CA147" s="1">
        <v>0</v>
      </c>
      <c r="CB147" s="1">
        <v>0</v>
      </c>
      <c r="CC147" s="1">
        <v>0</v>
      </c>
      <c r="CD147">
        <v>8</v>
      </c>
      <c r="CE147" s="1">
        <v>0</v>
      </c>
    </row>
    <row r="148" spans="1:83" x14ac:dyDescent="0.3">
      <c r="A148" s="4" t="s">
        <v>233</v>
      </c>
      <c r="B148" s="4"/>
      <c r="C148" s="2" t="s">
        <v>82</v>
      </c>
      <c r="D148">
        <v>451</v>
      </c>
      <c r="E148">
        <v>1</v>
      </c>
      <c r="F148">
        <v>17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>
        <v>2</v>
      </c>
      <c r="Q148">
        <v>22</v>
      </c>
      <c r="R148">
        <v>4</v>
      </c>
      <c r="S148" s="1">
        <v>0</v>
      </c>
      <c r="T148" s="1">
        <v>0</v>
      </c>
      <c r="U148">
        <v>0</v>
      </c>
      <c r="V148">
        <v>25</v>
      </c>
      <c r="W148">
        <v>2</v>
      </c>
      <c r="X148">
        <v>5</v>
      </c>
      <c r="Y148">
        <v>3</v>
      </c>
      <c r="Z148" s="1">
        <v>0</v>
      </c>
      <c r="AA148" s="1">
        <v>0</v>
      </c>
      <c r="AB148">
        <v>2</v>
      </c>
      <c r="AC148">
        <v>76</v>
      </c>
      <c r="AD148">
        <v>0</v>
      </c>
      <c r="AE148">
        <v>2</v>
      </c>
      <c r="AF148">
        <v>1</v>
      </c>
      <c r="AG148" s="1">
        <v>0</v>
      </c>
      <c r="AH148">
        <v>16</v>
      </c>
      <c r="AI148" s="1">
        <v>0</v>
      </c>
      <c r="AJ148">
        <v>110</v>
      </c>
      <c r="AK148">
        <v>43</v>
      </c>
      <c r="AL148">
        <v>38</v>
      </c>
      <c r="AM148">
        <v>20</v>
      </c>
      <c r="AN148">
        <v>13</v>
      </c>
      <c r="AO148">
        <v>1</v>
      </c>
      <c r="AP148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>
        <v>2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>
        <v>5</v>
      </c>
      <c r="BR148" s="1">
        <v>0</v>
      </c>
      <c r="BS148" s="1">
        <v>0</v>
      </c>
      <c r="BT148" s="1">
        <v>0</v>
      </c>
      <c r="BU148">
        <v>4</v>
      </c>
      <c r="BV148">
        <v>2</v>
      </c>
      <c r="BW148">
        <v>8</v>
      </c>
      <c r="BX148">
        <v>8</v>
      </c>
      <c r="BY148">
        <v>0</v>
      </c>
      <c r="BZ148">
        <v>2</v>
      </c>
      <c r="CA148" s="1">
        <v>0</v>
      </c>
      <c r="CB148" s="1">
        <v>0</v>
      </c>
      <c r="CC148">
        <v>14</v>
      </c>
      <c r="CD148">
        <v>2</v>
      </c>
      <c r="CE148">
        <v>1</v>
      </c>
    </row>
    <row r="149" spans="1:83" x14ac:dyDescent="0.3">
      <c r="A149" s="4"/>
      <c r="B149" s="4"/>
      <c r="C149" s="2" t="s">
        <v>85</v>
      </c>
      <c r="D149" s="1">
        <f>D152+D155+D158+D161+D164+D167+D170+D173+D176+D179+D182+D184+D187+D190+D195+D200+D203+D206+D208+D210</f>
        <v>311</v>
      </c>
      <c r="E149" s="1">
        <f t="shared" ref="E149:BP149" si="12">E152+E155+E158+E161+E164+E167+E170+E173+E176+E179+E182+E184+E187+E190+E195+E200+E203+E206+E208+E210</f>
        <v>0</v>
      </c>
      <c r="F149" s="1">
        <f t="shared" si="12"/>
        <v>13</v>
      </c>
      <c r="G149" s="1">
        <f t="shared" si="12"/>
        <v>0</v>
      </c>
      <c r="H149" s="1">
        <f t="shared" si="12"/>
        <v>0</v>
      </c>
      <c r="I149" s="1">
        <f t="shared" si="12"/>
        <v>0</v>
      </c>
      <c r="J149" s="1">
        <f t="shared" si="12"/>
        <v>0</v>
      </c>
      <c r="K149" s="1">
        <f t="shared" si="12"/>
        <v>0</v>
      </c>
      <c r="L149" s="1">
        <f t="shared" si="12"/>
        <v>0</v>
      </c>
      <c r="M149" s="1">
        <f t="shared" si="12"/>
        <v>0</v>
      </c>
      <c r="N149" s="1">
        <f t="shared" si="12"/>
        <v>0</v>
      </c>
      <c r="O149" s="1">
        <f t="shared" si="12"/>
        <v>0</v>
      </c>
      <c r="P149" s="1">
        <f t="shared" si="12"/>
        <v>0</v>
      </c>
      <c r="Q149" s="1">
        <f t="shared" si="12"/>
        <v>13</v>
      </c>
      <c r="R149" s="1">
        <f t="shared" si="12"/>
        <v>0</v>
      </c>
      <c r="S149" s="1">
        <f t="shared" si="12"/>
        <v>0</v>
      </c>
      <c r="T149" s="1">
        <f t="shared" si="12"/>
        <v>0</v>
      </c>
      <c r="U149" s="1">
        <f t="shared" si="12"/>
        <v>0</v>
      </c>
      <c r="V149" s="1">
        <f t="shared" si="12"/>
        <v>12</v>
      </c>
      <c r="W149" s="1">
        <f t="shared" si="12"/>
        <v>1</v>
      </c>
      <c r="X149" s="1">
        <f t="shared" si="12"/>
        <v>3</v>
      </c>
      <c r="Y149" s="1">
        <f t="shared" si="12"/>
        <v>3</v>
      </c>
      <c r="Z149" s="1">
        <f t="shared" si="12"/>
        <v>0</v>
      </c>
      <c r="AA149" s="1">
        <f t="shared" si="12"/>
        <v>0</v>
      </c>
      <c r="AB149" s="1">
        <f t="shared" si="12"/>
        <v>2</v>
      </c>
      <c r="AC149" s="1">
        <f t="shared" si="12"/>
        <v>71</v>
      </c>
      <c r="AD149" s="1">
        <f t="shared" si="12"/>
        <v>0</v>
      </c>
      <c r="AE149" s="1">
        <f t="shared" si="12"/>
        <v>2</v>
      </c>
      <c r="AF149" s="1">
        <f t="shared" si="12"/>
        <v>0</v>
      </c>
      <c r="AG149" s="1">
        <f t="shared" si="12"/>
        <v>0</v>
      </c>
      <c r="AH149" s="1">
        <f t="shared" si="12"/>
        <v>16</v>
      </c>
      <c r="AI149" s="1">
        <f t="shared" si="12"/>
        <v>0</v>
      </c>
      <c r="AJ149" s="1">
        <f t="shared" si="12"/>
        <v>72</v>
      </c>
      <c r="AK149" s="1">
        <f t="shared" si="12"/>
        <v>26</v>
      </c>
      <c r="AL149" s="1">
        <f t="shared" si="12"/>
        <v>37</v>
      </c>
      <c r="AM149" s="1">
        <f t="shared" si="12"/>
        <v>12</v>
      </c>
      <c r="AN149" s="1">
        <f t="shared" si="12"/>
        <v>11</v>
      </c>
      <c r="AO149" s="1">
        <f t="shared" si="12"/>
        <v>1</v>
      </c>
      <c r="AP149" s="1">
        <f t="shared" si="12"/>
        <v>0</v>
      </c>
      <c r="AQ149" s="1">
        <f t="shared" si="12"/>
        <v>0</v>
      </c>
      <c r="AR149" s="1">
        <f t="shared" si="12"/>
        <v>0</v>
      </c>
      <c r="AS149" s="1">
        <f t="shared" si="12"/>
        <v>0</v>
      </c>
      <c r="AT149" s="1">
        <f t="shared" si="12"/>
        <v>0</v>
      </c>
      <c r="AU149" s="1">
        <f t="shared" si="12"/>
        <v>0</v>
      </c>
      <c r="AV149" s="1">
        <f t="shared" si="12"/>
        <v>0</v>
      </c>
      <c r="AW149" s="1">
        <f t="shared" si="12"/>
        <v>0</v>
      </c>
      <c r="AX149" s="1">
        <f t="shared" si="12"/>
        <v>0</v>
      </c>
      <c r="AY149" s="1">
        <f t="shared" si="12"/>
        <v>0</v>
      </c>
      <c r="AZ149" s="1">
        <f t="shared" si="12"/>
        <v>0</v>
      </c>
      <c r="BA149" s="1">
        <f t="shared" si="12"/>
        <v>0</v>
      </c>
      <c r="BB149" s="1">
        <f t="shared" si="12"/>
        <v>0</v>
      </c>
      <c r="BC149" s="1">
        <f t="shared" si="12"/>
        <v>0</v>
      </c>
      <c r="BD149" s="1">
        <f t="shared" si="12"/>
        <v>0</v>
      </c>
      <c r="BE149" s="1">
        <f t="shared" si="12"/>
        <v>0</v>
      </c>
      <c r="BF149" s="1">
        <f t="shared" si="12"/>
        <v>0</v>
      </c>
      <c r="BG149" s="1">
        <f t="shared" si="12"/>
        <v>0</v>
      </c>
      <c r="BH149" s="1">
        <f t="shared" si="12"/>
        <v>0</v>
      </c>
      <c r="BI149" s="1">
        <f t="shared" si="12"/>
        <v>0</v>
      </c>
      <c r="BJ149" s="1">
        <f t="shared" si="12"/>
        <v>0</v>
      </c>
      <c r="BK149" s="1">
        <f t="shared" si="12"/>
        <v>0</v>
      </c>
      <c r="BL149" s="1">
        <f t="shared" si="12"/>
        <v>0</v>
      </c>
      <c r="BM149" s="1">
        <f t="shared" si="12"/>
        <v>0</v>
      </c>
      <c r="BN149" s="1">
        <f t="shared" si="12"/>
        <v>0</v>
      </c>
      <c r="BO149" s="1">
        <f t="shared" si="12"/>
        <v>0</v>
      </c>
      <c r="BP149" s="1">
        <f t="shared" si="12"/>
        <v>0</v>
      </c>
      <c r="BQ149" s="1">
        <f t="shared" ref="BQ149:CE149" si="13">BQ152+BQ155+BQ158+BQ161+BQ164+BQ167+BQ170+BQ173+BQ176+BQ179+BQ182+BQ184+BQ187+BQ190+BQ195+BQ200+BQ203+BQ206+BQ208+BQ210</f>
        <v>0</v>
      </c>
      <c r="BR149" s="1">
        <f t="shared" si="13"/>
        <v>0</v>
      </c>
      <c r="BS149" s="1">
        <f t="shared" si="13"/>
        <v>0</v>
      </c>
      <c r="BT149" s="1">
        <f t="shared" si="13"/>
        <v>0</v>
      </c>
      <c r="BU149" s="1">
        <f t="shared" si="13"/>
        <v>3</v>
      </c>
      <c r="BV149" s="1">
        <f t="shared" si="13"/>
        <v>1</v>
      </c>
      <c r="BW149" s="1">
        <f t="shared" si="13"/>
        <v>2</v>
      </c>
      <c r="BX149" s="1">
        <f t="shared" si="13"/>
        <v>1</v>
      </c>
      <c r="BY149" s="1">
        <f t="shared" si="13"/>
        <v>0</v>
      </c>
      <c r="BZ149" s="1">
        <f t="shared" si="13"/>
        <v>1</v>
      </c>
      <c r="CA149" s="1">
        <f t="shared" si="13"/>
        <v>0</v>
      </c>
      <c r="CB149" s="1">
        <f t="shared" si="13"/>
        <v>0</v>
      </c>
      <c r="CC149" s="1">
        <f t="shared" si="13"/>
        <v>7</v>
      </c>
      <c r="CD149" s="1">
        <f t="shared" si="13"/>
        <v>0</v>
      </c>
      <c r="CE149" s="1">
        <f t="shared" si="13"/>
        <v>1</v>
      </c>
    </row>
    <row r="150" spans="1:83" x14ac:dyDescent="0.3">
      <c r="A150" s="4"/>
      <c r="B150" s="4"/>
      <c r="C150" s="2" t="s">
        <v>86</v>
      </c>
      <c r="D150" s="1">
        <f>D153+D156+D159+D162+D165+D168+D171+D174+D177+D180+D185+D188+D191+D193+D196+D198+D201+D204</f>
        <v>140</v>
      </c>
      <c r="E150" s="1">
        <f t="shared" ref="E150:BP150" si="14">E153+E156+E159+E162+E165+E168+E171+E174+E177+E180+E185+E188+E191+E193+E196+E198+E201+E204</f>
        <v>1</v>
      </c>
      <c r="F150" s="1">
        <f t="shared" si="14"/>
        <v>4</v>
      </c>
      <c r="G150" s="1">
        <f t="shared" si="14"/>
        <v>0</v>
      </c>
      <c r="H150" s="1">
        <f t="shared" si="14"/>
        <v>0</v>
      </c>
      <c r="I150" s="1">
        <f t="shared" si="14"/>
        <v>0</v>
      </c>
      <c r="J150" s="1">
        <f t="shared" si="14"/>
        <v>0</v>
      </c>
      <c r="K150" s="1">
        <f t="shared" si="14"/>
        <v>0</v>
      </c>
      <c r="L150" s="1">
        <f t="shared" si="14"/>
        <v>0</v>
      </c>
      <c r="M150" s="1">
        <f t="shared" si="14"/>
        <v>0</v>
      </c>
      <c r="N150" s="1">
        <f t="shared" si="14"/>
        <v>0</v>
      </c>
      <c r="O150" s="1">
        <f t="shared" si="14"/>
        <v>0</v>
      </c>
      <c r="P150" s="1">
        <f t="shared" si="14"/>
        <v>2</v>
      </c>
      <c r="Q150" s="1">
        <f t="shared" si="14"/>
        <v>9</v>
      </c>
      <c r="R150" s="1">
        <f t="shared" si="14"/>
        <v>4</v>
      </c>
      <c r="S150" s="1">
        <f t="shared" si="14"/>
        <v>0</v>
      </c>
      <c r="T150" s="1">
        <f t="shared" si="14"/>
        <v>0</v>
      </c>
      <c r="U150" s="1">
        <f t="shared" si="14"/>
        <v>0</v>
      </c>
      <c r="V150" s="1">
        <f t="shared" si="14"/>
        <v>13</v>
      </c>
      <c r="W150" s="1">
        <f t="shared" si="14"/>
        <v>1</v>
      </c>
      <c r="X150" s="1">
        <f t="shared" si="14"/>
        <v>2</v>
      </c>
      <c r="Y150" s="1">
        <f t="shared" si="14"/>
        <v>0</v>
      </c>
      <c r="Z150" s="1">
        <f t="shared" si="14"/>
        <v>0</v>
      </c>
      <c r="AA150" s="1">
        <f t="shared" si="14"/>
        <v>0</v>
      </c>
      <c r="AB150" s="1">
        <f t="shared" si="14"/>
        <v>0</v>
      </c>
      <c r="AC150" s="1">
        <f t="shared" si="14"/>
        <v>5</v>
      </c>
      <c r="AD150" s="1">
        <f t="shared" si="14"/>
        <v>0</v>
      </c>
      <c r="AE150" s="1">
        <f t="shared" si="14"/>
        <v>0</v>
      </c>
      <c r="AF150" s="1">
        <f t="shared" si="14"/>
        <v>1</v>
      </c>
      <c r="AG150" s="1">
        <f t="shared" si="14"/>
        <v>0</v>
      </c>
      <c r="AH150" s="1">
        <f t="shared" si="14"/>
        <v>0</v>
      </c>
      <c r="AI150" s="1">
        <f t="shared" si="14"/>
        <v>0</v>
      </c>
      <c r="AJ150" s="1">
        <f t="shared" si="14"/>
        <v>38</v>
      </c>
      <c r="AK150" s="1">
        <f t="shared" si="14"/>
        <v>17</v>
      </c>
      <c r="AL150" s="1">
        <f t="shared" si="14"/>
        <v>1</v>
      </c>
      <c r="AM150" s="1">
        <f t="shared" si="14"/>
        <v>8</v>
      </c>
      <c r="AN150" s="1">
        <f t="shared" si="14"/>
        <v>2</v>
      </c>
      <c r="AO150" s="1">
        <f t="shared" si="14"/>
        <v>0</v>
      </c>
      <c r="AP150" s="1">
        <f t="shared" si="14"/>
        <v>0</v>
      </c>
      <c r="AQ150" s="1">
        <f t="shared" si="14"/>
        <v>0</v>
      </c>
      <c r="AR150" s="1">
        <f t="shared" si="14"/>
        <v>0</v>
      </c>
      <c r="AS150" s="1">
        <f t="shared" si="14"/>
        <v>0</v>
      </c>
      <c r="AT150" s="1">
        <f t="shared" si="14"/>
        <v>0</v>
      </c>
      <c r="AU150" s="1">
        <f t="shared" si="14"/>
        <v>0</v>
      </c>
      <c r="AV150" s="1">
        <f t="shared" si="14"/>
        <v>0</v>
      </c>
      <c r="AW150" s="1">
        <f t="shared" si="14"/>
        <v>0</v>
      </c>
      <c r="AX150" s="1">
        <f t="shared" si="14"/>
        <v>0</v>
      </c>
      <c r="AY150" s="1">
        <f t="shared" si="14"/>
        <v>0</v>
      </c>
      <c r="AZ150" s="1">
        <f t="shared" si="14"/>
        <v>0</v>
      </c>
      <c r="BA150" s="1">
        <f t="shared" si="14"/>
        <v>0</v>
      </c>
      <c r="BB150" s="1">
        <f t="shared" si="14"/>
        <v>0</v>
      </c>
      <c r="BC150" s="1">
        <f t="shared" si="14"/>
        <v>0</v>
      </c>
      <c r="BD150" s="1">
        <f t="shared" si="14"/>
        <v>0</v>
      </c>
      <c r="BE150" s="1">
        <f t="shared" si="14"/>
        <v>0</v>
      </c>
      <c r="BF150" s="1">
        <f t="shared" si="14"/>
        <v>0</v>
      </c>
      <c r="BG150" s="1">
        <f t="shared" si="14"/>
        <v>0</v>
      </c>
      <c r="BH150" s="1">
        <f t="shared" si="14"/>
        <v>0</v>
      </c>
      <c r="BI150" s="1">
        <f t="shared" si="14"/>
        <v>0</v>
      </c>
      <c r="BJ150" s="1">
        <f t="shared" si="14"/>
        <v>0</v>
      </c>
      <c r="BK150" s="1">
        <f t="shared" si="14"/>
        <v>2</v>
      </c>
      <c r="BL150" s="1">
        <f t="shared" si="14"/>
        <v>0</v>
      </c>
      <c r="BM150" s="1">
        <f t="shared" si="14"/>
        <v>0</v>
      </c>
      <c r="BN150" s="1">
        <f t="shared" si="14"/>
        <v>0</v>
      </c>
      <c r="BO150" s="1">
        <f t="shared" si="14"/>
        <v>0</v>
      </c>
      <c r="BP150" s="1">
        <f t="shared" si="14"/>
        <v>0</v>
      </c>
      <c r="BQ150" s="1">
        <f t="shared" ref="BQ150:CE150" si="15">BQ153+BQ156+BQ159+BQ162+BQ165+BQ168+BQ171+BQ174+BQ177+BQ180+BQ185+BQ188+BQ191+BQ193+BQ196+BQ198+BQ201+BQ204</f>
        <v>5</v>
      </c>
      <c r="BR150" s="1">
        <f t="shared" si="15"/>
        <v>0</v>
      </c>
      <c r="BS150" s="1">
        <f t="shared" si="15"/>
        <v>0</v>
      </c>
      <c r="BT150" s="1">
        <f t="shared" si="15"/>
        <v>0</v>
      </c>
      <c r="BU150" s="1">
        <f t="shared" si="15"/>
        <v>1</v>
      </c>
      <c r="BV150" s="1">
        <f t="shared" si="15"/>
        <v>1</v>
      </c>
      <c r="BW150" s="1">
        <f t="shared" si="15"/>
        <v>6</v>
      </c>
      <c r="BX150" s="1">
        <f t="shared" si="15"/>
        <v>7</v>
      </c>
      <c r="BY150" s="1">
        <f t="shared" si="15"/>
        <v>0</v>
      </c>
      <c r="BZ150" s="1">
        <f t="shared" si="15"/>
        <v>1</v>
      </c>
      <c r="CA150" s="1">
        <f t="shared" si="15"/>
        <v>0</v>
      </c>
      <c r="CB150" s="1">
        <f t="shared" si="15"/>
        <v>0</v>
      </c>
      <c r="CC150" s="1">
        <f t="shared" si="15"/>
        <v>7</v>
      </c>
      <c r="CD150" s="1">
        <f t="shared" si="15"/>
        <v>2</v>
      </c>
      <c r="CE150" s="1">
        <f t="shared" si="15"/>
        <v>0</v>
      </c>
    </row>
    <row r="151" spans="1:83" x14ac:dyDescent="0.3">
      <c r="A151" s="4" t="s">
        <v>136</v>
      </c>
      <c r="B151" t="s">
        <v>137</v>
      </c>
      <c r="C151" s="2" t="s">
        <v>82</v>
      </c>
      <c r="D151">
        <v>189</v>
      </c>
      <c r="E15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>
        <v>7</v>
      </c>
      <c r="R151" s="1">
        <v>0</v>
      </c>
      <c r="S151" s="1">
        <v>0</v>
      </c>
      <c r="T151" s="1">
        <v>0</v>
      </c>
      <c r="U151" s="1">
        <v>0</v>
      </c>
      <c r="V151">
        <v>13</v>
      </c>
      <c r="W151" s="1">
        <v>0</v>
      </c>
      <c r="X151">
        <v>3</v>
      </c>
      <c r="Y151">
        <v>1</v>
      </c>
      <c r="Z151" s="1">
        <v>0</v>
      </c>
      <c r="AA151" s="1">
        <v>0</v>
      </c>
      <c r="AB151">
        <v>1</v>
      </c>
      <c r="AC151">
        <v>74</v>
      </c>
      <c r="AD151">
        <v>0</v>
      </c>
      <c r="AE151">
        <v>1</v>
      </c>
      <c r="AF151">
        <v>0</v>
      </c>
      <c r="AG151" s="1">
        <v>0</v>
      </c>
      <c r="AH151">
        <v>0</v>
      </c>
      <c r="AI151" s="1">
        <v>0</v>
      </c>
      <c r="AJ151">
        <v>29</v>
      </c>
      <c r="AK151">
        <v>6</v>
      </c>
      <c r="AL151">
        <v>23</v>
      </c>
      <c r="AM151">
        <v>4</v>
      </c>
      <c r="AN151">
        <v>7</v>
      </c>
      <c r="AO151">
        <v>1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>
        <v>2</v>
      </c>
      <c r="BR151" s="1">
        <v>0</v>
      </c>
      <c r="BS151" s="1">
        <v>0</v>
      </c>
      <c r="BT151" s="1">
        <v>0</v>
      </c>
      <c r="BU151">
        <v>1</v>
      </c>
      <c r="BV151">
        <v>1</v>
      </c>
      <c r="BW151">
        <v>3</v>
      </c>
      <c r="BX151">
        <v>7</v>
      </c>
      <c r="BY151">
        <v>0</v>
      </c>
      <c r="BZ151" s="1">
        <v>0</v>
      </c>
      <c r="CA151" s="1">
        <v>0</v>
      </c>
      <c r="CB151" s="1">
        <v>0</v>
      </c>
      <c r="CC151">
        <v>3</v>
      </c>
      <c r="CD151">
        <v>1</v>
      </c>
      <c r="CE151">
        <v>1</v>
      </c>
    </row>
    <row r="152" spans="1:83" x14ac:dyDescent="0.3">
      <c r="A152" s="4"/>
      <c r="B152" t="s">
        <v>137</v>
      </c>
      <c r="C152" s="2" t="s">
        <v>85</v>
      </c>
      <c r="D152">
        <v>142</v>
      </c>
      <c r="E152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>
        <v>6</v>
      </c>
      <c r="R152" s="1">
        <v>0</v>
      </c>
      <c r="S152" s="1">
        <v>0</v>
      </c>
      <c r="T152" s="1">
        <v>0</v>
      </c>
      <c r="U152" s="1">
        <v>0</v>
      </c>
      <c r="V152">
        <v>7</v>
      </c>
      <c r="W152" s="1">
        <v>0</v>
      </c>
      <c r="X152">
        <v>2</v>
      </c>
      <c r="Y152">
        <v>1</v>
      </c>
      <c r="Z152" s="1">
        <v>0</v>
      </c>
      <c r="AA152" s="1">
        <v>0</v>
      </c>
      <c r="AB152">
        <v>1</v>
      </c>
      <c r="AC152">
        <v>69</v>
      </c>
      <c r="AD152">
        <v>0</v>
      </c>
      <c r="AE152">
        <v>1</v>
      </c>
      <c r="AF152">
        <v>0</v>
      </c>
      <c r="AG152" s="1">
        <v>0</v>
      </c>
      <c r="AH152">
        <v>0</v>
      </c>
      <c r="AI152" s="1">
        <v>0</v>
      </c>
      <c r="AJ152">
        <v>16</v>
      </c>
      <c r="AK152">
        <v>1</v>
      </c>
      <c r="AL152">
        <v>23</v>
      </c>
      <c r="AM152">
        <v>2</v>
      </c>
      <c r="AN152">
        <v>7</v>
      </c>
      <c r="AO152">
        <v>1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>
        <v>1</v>
      </c>
      <c r="BX152">
        <v>1</v>
      </c>
      <c r="BY152" s="1">
        <v>0</v>
      </c>
      <c r="BZ152" s="1">
        <v>0</v>
      </c>
      <c r="CA152" s="1">
        <v>0</v>
      </c>
      <c r="CB152" s="1">
        <v>0</v>
      </c>
      <c r="CC152">
        <v>2</v>
      </c>
      <c r="CD152" s="1">
        <v>0</v>
      </c>
      <c r="CE152">
        <v>1</v>
      </c>
    </row>
    <row r="153" spans="1:83" x14ac:dyDescent="0.3">
      <c r="A153" s="4"/>
      <c r="B153" t="s">
        <v>137</v>
      </c>
      <c r="C153" s="2" t="s">
        <v>86</v>
      </c>
      <c r="D153">
        <v>47</v>
      </c>
      <c r="E153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>
        <v>1</v>
      </c>
      <c r="R153" s="1">
        <v>0</v>
      </c>
      <c r="S153" s="1">
        <v>0</v>
      </c>
      <c r="T153" s="1">
        <v>0</v>
      </c>
      <c r="U153" s="1">
        <v>0</v>
      </c>
      <c r="V153">
        <v>6</v>
      </c>
      <c r="W153" s="1">
        <v>0</v>
      </c>
      <c r="X153">
        <v>1</v>
      </c>
      <c r="Y153" s="1">
        <v>0</v>
      </c>
      <c r="Z153" s="1">
        <v>0</v>
      </c>
      <c r="AA153" s="1">
        <v>0</v>
      </c>
      <c r="AB153" s="1">
        <v>0</v>
      </c>
      <c r="AC153">
        <v>5</v>
      </c>
      <c r="AD153" s="1">
        <v>0</v>
      </c>
      <c r="AE153" s="1">
        <v>0</v>
      </c>
      <c r="AF153" s="1">
        <v>0</v>
      </c>
      <c r="AG153" s="1">
        <v>0</v>
      </c>
      <c r="AH153">
        <v>0</v>
      </c>
      <c r="AI153" s="1">
        <v>0</v>
      </c>
      <c r="AJ153">
        <v>13</v>
      </c>
      <c r="AK153">
        <v>5</v>
      </c>
      <c r="AL153">
        <v>0</v>
      </c>
      <c r="AM153">
        <v>2</v>
      </c>
      <c r="AN153">
        <v>0</v>
      </c>
      <c r="AO153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>
        <v>2</v>
      </c>
      <c r="BR153" s="1">
        <v>0</v>
      </c>
      <c r="BS153" s="1">
        <v>0</v>
      </c>
      <c r="BT153" s="1">
        <v>0</v>
      </c>
      <c r="BU153">
        <v>1</v>
      </c>
      <c r="BV153">
        <v>1</v>
      </c>
      <c r="BW153">
        <v>2</v>
      </c>
      <c r="BX153">
        <v>6</v>
      </c>
      <c r="BY153" s="1">
        <v>0</v>
      </c>
      <c r="BZ153" s="1">
        <v>0</v>
      </c>
      <c r="CA153" s="1">
        <v>0</v>
      </c>
      <c r="CB153" s="1">
        <v>0</v>
      </c>
      <c r="CC153">
        <v>1</v>
      </c>
      <c r="CD153">
        <v>1</v>
      </c>
      <c r="CE153" s="1">
        <v>0</v>
      </c>
    </row>
    <row r="154" spans="1:83" x14ac:dyDescent="0.3">
      <c r="A154" s="4"/>
      <c r="B154" t="s">
        <v>138</v>
      </c>
      <c r="C154" s="2" t="s">
        <v>82</v>
      </c>
      <c r="D154">
        <v>54</v>
      </c>
      <c r="E154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>
        <v>1</v>
      </c>
      <c r="Q154">
        <v>3</v>
      </c>
      <c r="R154" s="1">
        <v>0</v>
      </c>
      <c r="S154" s="1">
        <v>0</v>
      </c>
      <c r="T154" s="1">
        <v>0</v>
      </c>
      <c r="U154" s="1">
        <v>0</v>
      </c>
      <c r="V154">
        <v>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>
        <v>3</v>
      </c>
      <c r="AI154" s="1">
        <v>0</v>
      </c>
      <c r="AJ154">
        <v>18</v>
      </c>
      <c r="AK154">
        <v>16</v>
      </c>
      <c r="AL154">
        <v>1</v>
      </c>
      <c r="AM154">
        <v>1</v>
      </c>
      <c r="AN154">
        <v>0</v>
      </c>
      <c r="AO154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>
        <v>1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>
        <v>1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>
        <v>1</v>
      </c>
      <c r="BY154" s="1">
        <v>0</v>
      </c>
      <c r="BZ154" s="1">
        <v>0</v>
      </c>
      <c r="CA154" s="1">
        <v>0</v>
      </c>
      <c r="CB154" s="1">
        <v>0</v>
      </c>
      <c r="CC154">
        <v>5</v>
      </c>
      <c r="CD154" s="1">
        <v>0</v>
      </c>
      <c r="CE154" s="1">
        <v>0</v>
      </c>
    </row>
    <row r="155" spans="1:83" x14ac:dyDescent="0.3">
      <c r="A155" s="4"/>
      <c r="B155" t="s">
        <v>138</v>
      </c>
      <c r="C155" s="2" t="s">
        <v>85</v>
      </c>
      <c r="D155">
        <v>35</v>
      </c>
      <c r="E155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>
        <v>1</v>
      </c>
      <c r="R155" s="1">
        <v>0</v>
      </c>
      <c r="S155" s="1">
        <v>0</v>
      </c>
      <c r="T155" s="1">
        <v>0</v>
      </c>
      <c r="U155" s="1">
        <v>0</v>
      </c>
      <c r="V155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>
        <v>3</v>
      </c>
      <c r="AI155" s="1">
        <v>0</v>
      </c>
      <c r="AJ155">
        <v>14</v>
      </c>
      <c r="AK155">
        <v>11</v>
      </c>
      <c r="AL155">
        <v>1</v>
      </c>
      <c r="AM155">
        <v>1</v>
      </c>
      <c r="AN155">
        <v>0</v>
      </c>
      <c r="AO155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>
        <v>3</v>
      </c>
      <c r="CD155" s="1">
        <v>0</v>
      </c>
      <c r="CE155" s="1">
        <v>0</v>
      </c>
    </row>
    <row r="156" spans="1:83" x14ac:dyDescent="0.3">
      <c r="A156" s="4"/>
      <c r="B156" t="s">
        <v>138</v>
      </c>
      <c r="C156" s="2" t="s">
        <v>86</v>
      </c>
      <c r="D156">
        <v>19</v>
      </c>
      <c r="E156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>
        <v>1</v>
      </c>
      <c r="Q156">
        <v>2</v>
      </c>
      <c r="R156" s="1">
        <v>0</v>
      </c>
      <c r="S156" s="1">
        <v>0</v>
      </c>
      <c r="T156" s="1">
        <v>0</v>
      </c>
      <c r="U156" s="1">
        <v>0</v>
      </c>
      <c r="V156">
        <v>1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>
        <v>0</v>
      </c>
      <c r="AI156" s="1">
        <v>0</v>
      </c>
      <c r="AJ156">
        <v>4</v>
      </c>
      <c r="AK156">
        <v>5</v>
      </c>
      <c r="AL156">
        <v>0</v>
      </c>
      <c r="AM156">
        <v>0</v>
      </c>
      <c r="AN156">
        <v>0</v>
      </c>
      <c r="AO156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>
        <v>1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>
        <v>1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>
        <v>1</v>
      </c>
      <c r="BY156" s="1">
        <v>0</v>
      </c>
      <c r="BZ156" s="1">
        <v>0</v>
      </c>
      <c r="CA156" s="1">
        <v>0</v>
      </c>
      <c r="CB156" s="1">
        <v>0</v>
      </c>
      <c r="CC156">
        <v>2</v>
      </c>
      <c r="CD156" s="1">
        <v>0</v>
      </c>
      <c r="CE156" s="1">
        <v>0</v>
      </c>
    </row>
    <row r="157" spans="1:83" x14ac:dyDescent="0.3">
      <c r="A157" s="4"/>
      <c r="B157" t="s">
        <v>139</v>
      </c>
      <c r="C157" s="2" t="s">
        <v>82</v>
      </c>
      <c r="D157">
        <v>44</v>
      </c>
      <c r="E157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>
        <v>1</v>
      </c>
      <c r="Q157">
        <v>1</v>
      </c>
      <c r="R157" s="1">
        <v>0</v>
      </c>
      <c r="S157" s="1">
        <v>0</v>
      </c>
      <c r="T157" s="1">
        <v>0</v>
      </c>
      <c r="U157" s="1">
        <v>0</v>
      </c>
      <c r="V157">
        <v>2</v>
      </c>
      <c r="W157" s="1">
        <v>0</v>
      </c>
      <c r="X157">
        <v>2</v>
      </c>
      <c r="Y157" s="1">
        <v>0</v>
      </c>
      <c r="Z157" s="1">
        <v>0</v>
      </c>
      <c r="AA157" s="1">
        <v>0</v>
      </c>
      <c r="AB157">
        <v>1</v>
      </c>
      <c r="AC157">
        <v>1</v>
      </c>
      <c r="AD157" s="1">
        <v>0</v>
      </c>
      <c r="AE157" s="1">
        <v>0</v>
      </c>
      <c r="AF157" s="1">
        <v>0</v>
      </c>
      <c r="AG157" s="1">
        <v>0</v>
      </c>
      <c r="AH157">
        <v>6</v>
      </c>
      <c r="AI157" s="1">
        <v>0</v>
      </c>
      <c r="AJ157">
        <v>10</v>
      </c>
      <c r="AK157">
        <v>4</v>
      </c>
      <c r="AL157">
        <v>0</v>
      </c>
      <c r="AM157">
        <v>7</v>
      </c>
      <c r="AN157">
        <v>5</v>
      </c>
      <c r="AO157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>
        <v>1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>
        <v>3</v>
      </c>
      <c r="CD157" s="1">
        <v>0</v>
      </c>
      <c r="CE157" s="1">
        <v>0</v>
      </c>
    </row>
    <row r="158" spans="1:83" x14ac:dyDescent="0.3">
      <c r="A158" s="4"/>
      <c r="B158" t="s">
        <v>139</v>
      </c>
      <c r="C158" s="2" t="s">
        <v>85</v>
      </c>
      <c r="D158">
        <v>30</v>
      </c>
      <c r="E158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>
        <v>1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>
        <v>1</v>
      </c>
      <c r="Y158" s="1">
        <v>0</v>
      </c>
      <c r="Z158" s="1">
        <v>0</v>
      </c>
      <c r="AA158" s="1">
        <v>0</v>
      </c>
      <c r="AB158">
        <v>1</v>
      </c>
      <c r="AC158">
        <v>1</v>
      </c>
      <c r="AD158" s="1">
        <v>0</v>
      </c>
      <c r="AE158" s="1">
        <v>0</v>
      </c>
      <c r="AF158" s="1">
        <v>0</v>
      </c>
      <c r="AG158" s="1">
        <v>0</v>
      </c>
      <c r="AH158">
        <v>6</v>
      </c>
      <c r="AI158" s="1">
        <v>0</v>
      </c>
      <c r="AJ158">
        <v>5</v>
      </c>
      <c r="AK158">
        <v>4</v>
      </c>
      <c r="AL158">
        <v>0</v>
      </c>
      <c r="AM158">
        <v>7</v>
      </c>
      <c r="AN158">
        <v>3</v>
      </c>
      <c r="AO158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>
        <v>1</v>
      </c>
      <c r="CD158" s="1">
        <v>0</v>
      </c>
      <c r="CE158" s="1">
        <v>0</v>
      </c>
    </row>
    <row r="159" spans="1:83" x14ac:dyDescent="0.3">
      <c r="A159" s="4"/>
      <c r="B159" t="s">
        <v>139</v>
      </c>
      <c r="C159" s="2" t="s">
        <v>86</v>
      </c>
      <c r="D159">
        <v>14</v>
      </c>
      <c r="E159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>
        <v>2</v>
      </c>
      <c r="W159" s="1">
        <v>0</v>
      </c>
      <c r="X159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>
        <v>0</v>
      </c>
      <c r="AI159" s="1">
        <v>0</v>
      </c>
      <c r="AJ159">
        <v>5</v>
      </c>
      <c r="AK159" s="1">
        <v>0</v>
      </c>
      <c r="AL159">
        <v>0</v>
      </c>
      <c r="AM159" s="1">
        <v>0</v>
      </c>
      <c r="AN159">
        <v>2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>
        <v>1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>
        <v>2</v>
      </c>
      <c r="CD159" s="1">
        <v>0</v>
      </c>
      <c r="CE159" s="1">
        <v>0</v>
      </c>
    </row>
    <row r="160" spans="1:83" x14ac:dyDescent="0.3">
      <c r="A160" s="4"/>
      <c r="B160" t="s">
        <v>140</v>
      </c>
      <c r="C160" s="2" t="s">
        <v>82</v>
      </c>
      <c r="D160">
        <v>35</v>
      </c>
      <c r="E160">
        <v>0</v>
      </c>
      <c r="F160">
        <v>17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>
        <v>1</v>
      </c>
      <c r="R160">
        <v>4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>
        <v>0</v>
      </c>
      <c r="AI160" s="1">
        <v>0</v>
      </c>
      <c r="AJ160">
        <v>1</v>
      </c>
      <c r="AK160">
        <v>8</v>
      </c>
      <c r="AL160">
        <v>2</v>
      </c>
      <c r="AM160">
        <v>0</v>
      </c>
      <c r="AN160">
        <v>0</v>
      </c>
      <c r="AO160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>
        <v>2</v>
      </c>
      <c r="CD160" s="1">
        <v>0</v>
      </c>
      <c r="CE160" s="1">
        <v>0</v>
      </c>
    </row>
    <row r="161" spans="1:83" x14ac:dyDescent="0.3">
      <c r="A161" s="4"/>
      <c r="B161" t="s">
        <v>140</v>
      </c>
      <c r="C161" s="2" t="s">
        <v>85</v>
      </c>
      <c r="D161">
        <v>22</v>
      </c>
      <c r="E161">
        <v>0</v>
      </c>
      <c r="F161">
        <v>13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>
        <v>0</v>
      </c>
      <c r="AI161" s="1">
        <v>0</v>
      </c>
      <c r="AJ161" s="1">
        <v>0</v>
      </c>
      <c r="AK161">
        <v>7</v>
      </c>
      <c r="AL161">
        <v>1</v>
      </c>
      <c r="AM161">
        <v>0</v>
      </c>
      <c r="AN161">
        <v>0</v>
      </c>
      <c r="AO16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>
        <v>1</v>
      </c>
      <c r="CD161" s="1">
        <v>0</v>
      </c>
      <c r="CE161" s="1">
        <v>0</v>
      </c>
    </row>
    <row r="162" spans="1:83" x14ac:dyDescent="0.3">
      <c r="A162" s="4"/>
      <c r="B162" t="s">
        <v>140</v>
      </c>
      <c r="C162" s="2" t="s">
        <v>86</v>
      </c>
      <c r="D162">
        <v>13</v>
      </c>
      <c r="E162">
        <v>0</v>
      </c>
      <c r="F162">
        <v>4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>
        <v>1</v>
      </c>
      <c r="R162">
        <v>4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>
        <v>0</v>
      </c>
      <c r="AI162" s="1">
        <v>0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>
        <v>1</v>
      </c>
      <c r="CD162" s="1">
        <v>0</v>
      </c>
      <c r="CE162" s="1">
        <v>0</v>
      </c>
    </row>
    <row r="163" spans="1:83" x14ac:dyDescent="0.3">
      <c r="A163" s="4"/>
      <c r="B163" t="s">
        <v>141</v>
      </c>
      <c r="C163" s="2" t="s">
        <v>82</v>
      </c>
      <c r="D163">
        <v>33</v>
      </c>
      <c r="E163">
        <v>0</v>
      </c>
      <c r="F163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>
        <v>1</v>
      </c>
      <c r="AF163" s="1">
        <v>0</v>
      </c>
      <c r="AG163" s="1">
        <v>0</v>
      </c>
      <c r="AH163">
        <v>2</v>
      </c>
      <c r="AI163" s="1">
        <v>0</v>
      </c>
      <c r="AJ163">
        <v>27</v>
      </c>
      <c r="AK163">
        <v>2</v>
      </c>
      <c r="AL163">
        <v>0</v>
      </c>
      <c r="AM163">
        <v>0</v>
      </c>
      <c r="AN163">
        <v>0</v>
      </c>
      <c r="AO163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>
        <v>1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</row>
    <row r="164" spans="1:83" x14ac:dyDescent="0.3">
      <c r="A164" s="4"/>
      <c r="B164" t="s">
        <v>141</v>
      </c>
      <c r="C164" s="2" t="s">
        <v>85</v>
      </c>
      <c r="D164">
        <v>21</v>
      </c>
      <c r="E164">
        <v>0</v>
      </c>
      <c r="F164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>
        <v>1</v>
      </c>
      <c r="AF164" s="1">
        <v>0</v>
      </c>
      <c r="AG164" s="1">
        <v>0</v>
      </c>
      <c r="AH164">
        <v>2</v>
      </c>
      <c r="AI164" s="1">
        <v>0</v>
      </c>
      <c r="AJ164">
        <v>17</v>
      </c>
      <c r="AK164">
        <v>1</v>
      </c>
      <c r="AL164">
        <v>0</v>
      </c>
      <c r="AM164">
        <v>0</v>
      </c>
      <c r="AN164">
        <v>0</v>
      </c>
      <c r="AO164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</row>
    <row r="165" spans="1:83" x14ac:dyDescent="0.3">
      <c r="A165" s="4"/>
      <c r="B165" t="s">
        <v>141</v>
      </c>
      <c r="C165" s="2" t="s">
        <v>86</v>
      </c>
      <c r="D165">
        <v>12</v>
      </c>
      <c r="E165">
        <v>0</v>
      </c>
      <c r="F165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>
        <v>0</v>
      </c>
      <c r="AI165" s="1">
        <v>0</v>
      </c>
      <c r="AJ165">
        <v>10</v>
      </c>
      <c r="AK165">
        <v>1</v>
      </c>
      <c r="AL165">
        <v>0</v>
      </c>
      <c r="AM165">
        <v>0</v>
      </c>
      <c r="AN165">
        <v>0</v>
      </c>
      <c r="AO165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>
        <v>1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</row>
    <row r="166" spans="1:83" x14ac:dyDescent="0.3">
      <c r="A166" s="4"/>
      <c r="B166" t="s">
        <v>142</v>
      </c>
      <c r="C166" s="2" t="s">
        <v>82</v>
      </c>
      <c r="D166">
        <v>28</v>
      </c>
      <c r="E166">
        <v>0</v>
      </c>
      <c r="F166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>
        <v>4</v>
      </c>
      <c r="R166" s="1">
        <v>0</v>
      </c>
      <c r="S166" s="1">
        <v>0</v>
      </c>
      <c r="T166" s="1">
        <v>0</v>
      </c>
      <c r="U166" s="1">
        <v>0</v>
      </c>
      <c r="V166">
        <v>4</v>
      </c>
      <c r="W166">
        <v>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>
        <v>0</v>
      </c>
      <c r="AI166" s="1">
        <v>0</v>
      </c>
      <c r="AJ166">
        <v>14</v>
      </c>
      <c r="AK166" s="1">
        <v>0</v>
      </c>
      <c r="AL166">
        <v>0</v>
      </c>
      <c r="AM166">
        <v>1</v>
      </c>
      <c r="AN166">
        <v>0</v>
      </c>
      <c r="AO166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>
        <v>3</v>
      </c>
      <c r="BV166">
        <v>1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</row>
    <row r="167" spans="1:83" x14ac:dyDescent="0.3">
      <c r="A167" s="4"/>
      <c r="B167" t="s">
        <v>142</v>
      </c>
      <c r="C167" s="2" t="s">
        <v>85</v>
      </c>
      <c r="D167">
        <v>21</v>
      </c>
      <c r="E167">
        <v>0</v>
      </c>
      <c r="F167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>
        <v>3</v>
      </c>
      <c r="R167" s="1">
        <v>0</v>
      </c>
      <c r="S167" s="1">
        <v>0</v>
      </c>
      <c r="T167" s="1">
        <v>0</v>
      </c>
      <c r="U167" s="1">
        <v>0</v>
      </c>
      <c r="V167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>
        <v>0</v>
      </c>
      <c r="AI167" s="1">
        <v>0</v>
      </c>
      <c r="AJ167">
        <v>13</v>
      </c>
      <c r="AK167" s="1">
        <v>0</v>
      </c>
      <c r="AL167">
        <v>0</v>
      </c>
      <c r="AM167" s="1">
        <v>0</v>
      </c>
      <c r="AN167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>
        <v>3</v>
      </c>
      <c r="BV167">
        <v>1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</row>
    <row r="168" spans="1:83" x14ac:dyDescent="0.3">
      <c r="A168" s="4"/>
      <c r="B168" t="s">
        <v>142</v>
      </c>
      <c r="C168" s="2" t="s">
        <v>86</v>
      </c>
      <c r="D168">
        <v>7</v>
      </c>
      <c r="E168">
        <v>0</v>
      </c>
      <c r="F168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>
        <v>1</v>
      </c>
      <c r="R168" s="1">
        <v>0</v>
      </c>
      <c r="S168" s="1">
        <v>0</v>
      </c>
      <c r="T168" s="1">
        <v>0</v>
      </c>
      <c r="U168" s="1">
        <v>0</v>
      </c>
      <c r="V168">
        <v>3</v>
      </c>
      <c r="W168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>
        <v>0</v>
      </c>
      <c r="AI168" s="1">
        <v>0</v>
      </c>
      <c r="AJ168">
        <v>1</v>
      </c>
      <c r="AK168" s="1">
        <v>0</v>
      </c>
      <c r="AL168">
        <v>0</v>
      </c>
      <c r="AM168">
        <v>1</v>
      </c>
      <c r="AN168">
        <v>0</v>
      </c>
      <c r="AO168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</row>
    <row r="169" spans="1:83" x14ac:dyDescent="0.3">
      <c r="A169" s="4"/>
      <c r="B169" t="s">
        <v>143</v>
      </c>
      <c r="C169" s="2" t="s">
        <v>82</v>
      </c>
      <c r="D169">
        <v>13</v>
      </c>
      <c r="E169">
        <v>0</v>
      </c>
      <c r="F169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>
        <v>1</v>
      </c>
      <c r="R169" s="1">
        <v>0</v>
      </c>
      <c r="S169" s="1">
        <v>0</v>
      </c>
      <c r="T169" s="1">
        <v>0</v>
      </c>
      <c r="U169" s="1">
        <v>0</v>
      </c>
      <c r="V169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>
        <v>3</v>
      </c>
      <c r="AI169" s="1">
        <v>0</v>
      </c>
      <c r="AJ169">
        <v>2</v>
      </c>
      <c r="AK169">
        <v>2</v>
      </c>
      <c r="AL169">
        <v>0</v>
      </c>
      <c r="AM169">
        <v>3</v>
      </c>
      <c r="AN169">
        <v>0</v>
      </c>
      <c r="AO169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>
        <v>1</v>
      </c>
      <c r="CE169" s="1">
        <v>0</v>
      </c>
    </row>
    <row r="170" spans="1:83" x14ac:dyDescent="0.3">
      <c r="A170" s="4"/>
      <c r="B170" t="s">
        <v>143</v>
      </c>
      <c r="C170" s="2" t="s">
        <v>85</v>
      </c>
      <c r="D170">
        <v>6</v>
      </c>
      <c r="E170">
        <v>0</v>
      </c>
      <c r="F170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>
        <v>3</v>
      </c>
      <c r="AI170" s="1">
        <v>0</v>
      </c>
      <c r="AJ170">
        <v>1</v>
      </c>
      <c r="AK170" s="1">
        <v>0</v>
      </c>
      <c r="AL170">
        <v>0</v>
      </c>
      <c r="AM170">
        <v>1</v>
      </c>
      <c r="AN170">
        <v>0</v>
      </c>
      <c r="AO170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</row>
    <row r="171" spans="1:83" x14ac:dyDescent="0.3">
      <c r="A171" s="4"/>
      <c r="B171" t="s">
        <v>143</v>
      </c>
      <c r="C171" s="2" t="s">
        <v>86</v>
      </c>
      <c r="D171">
        <v>7</v>
      </c>
      <c r="E171">
        <v>0</v>
      </c>
      <c r="F17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>
        <v>1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>
        <v>0</v>
      </c>
      <c r="AI171" s="1">
        <v>0</v>
      </c>
      <c r="AJ171">
        <v>1</v>
      </c>
      <c r="AK171">
        <v>2</v>
      </c>
      <c r="AL171">
        <v>0</v>
      </c>
      <c r="AM171">
        <v>2</v>
      </c>
      <c r="AN171">
        <v>0</v>
      </c>
      <c r="AO17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>
        <v>1</v>
      </c>
      <c r="CE171" s="1">
        <v>0</v>
      </c>
    </row>
    <row r="172" spans="1:83" x14ac:dyDescent="0.3">
      <c r="A172" s="4"/>
      <c r="B172" t="s">
        <v>144</v>
      </c>
      <c r="C172" s="2" t="s">
        <v>82</v>
      </c>
      <c r="D172">
        <v>13</v>
      </c>
      <c r="E172">
        <v>0</v>
      </c>
      <c r="F172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>
        <v>0</v>
      </c>
      <c r="AI172" s="1">
        <v>0</v>
      </c>
      <c r="AJ172">
        <v>2</v>
      </c>
      <c r="AK172">
        <v>4</v>
      </c>
      <c r="AL172">
        <v>3</v>
      </c>
      <c r="AM172">
        <v>1</v>
      </c>
      <c r="AN172">
        <v>1</v>
      </c>
      <c r="AO172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>
        <v>1</v>
      </c>
      <c r="CD172" s="1">
        <v>0</v>
      </c>
      <c r="CE172" s="1">
        <v>0</v>
      </c>
    </row>
    <row r="173" spans="1:83" x14ac:dyDescent="0.3">
      <c r="A173" s="4"/>
      <c r="B173" t="s">
        <v>144</v>
      </c>
      <c r="C173" s="2" t="s">
        <v>85</v>
      </c>
      <c r="D173">
        <v>10</v>
      </c>
      <c r="E173">
        <v>0</v>
      </c>
      <c r="F173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>
        <v>1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>
        <v>0</v>
      </c>
      <c r="AI173" s="1">
        <v>0</v>
      </c>
      <c r="AJ173">
        <v>2</v>
      </c>
      <c r="AK173">
        <v>2</v>
      </c>
      <c r="AL173">
        <v>3</v>
      </c>
      <c r="AM173">
        <v>1</v>
      </c>
      <c r="AN173">
        <v>1</v>
      </c>
      <c r="AO173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</row>
    <row r="174" spans="1:83" x14ac:dyDescent="0.3">
      <c r="A174" s="4"/>
      <c r="B174" t="s">
        <v>144</v>
      </c>
      <c r="C174" s="2" t="s">
        <v>86</v>
      </c>
      <c r="D174">
        <v>3</v>
      </c>
      <c r="E174">
        <v>0</v>
      </c>
      <c r="F174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>
        <v>0</v>
      </c>
      <c r="AI174" s="1">
        <v>0</v>
      </c>
      <c r="AJ174" s="1">
        <v>0</v>
      </c>
      <c r="AK174">
        <v>2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>
        <v>1</v>
      </c>
      <c r="CD174" s="1">
        <v>0</v>
      </c>
      <c r="CE174" s="1">
        <v>0</v>
      </c>
    </row>
    <row r="175" spans="1:83" x14ac:dyDescent="0.3">
      <c r="A175" s="4"/>
      <c r="B175" t="s">
        <v>145</v>
      </c>
      <c r="C175" s="2" t="s">
        <v>82</v>
      </c>
      <c r="D175">
        <v>9</v>
      </c>
      <c r="E175">
        <v>0</v>
      </c>
      <c r="F175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>
        <v>1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>
        <v>1</v>
      </c>
      <c r="AG175" s="1">
        <v>0</v>
      </c>
      <c r="AH175">
        <v>1</v>
      </c>
      <c r="AI175" s="1">
        <v>0</v>
      </c>
      <c r="AJ175">
        <v>2</v>
      </c>
      <c r="AK175" s="1">
        <v>0</v>
      </c>
      <c r="AL175">
        <v>0</v>
      </c>
      <c r="AM175">
        <v>1</v>
      </c>
      <c r="AN175">
        <v>0</v>
      </c>
      <c r="AO175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>
        <v>1</v>
      </c>
      <c r="BX175" s="1">
        <v>0</v>
      </c>
      <c r="BY175" s="1">
        <v>0</v>
      </c>
      <c r="BZ175">
        <v>2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</row>
    <row r="176" spans="1:83" x14ac:dyDescent="0.3">
      <c r="A176" s="4"/>
      <c r="B176" t="s">
        <v>145</v>
      </c>
      <c r="C176" s="2" t="s">
        <v>85</v>
      </c>
      <c r="D176">
        <v>5</v>
      </c>
      <c r="E176">
        <v>0</v>
      </c>
      <c r="F176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>
        <v>1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>
        <v>1</v>
      </c>
      <c r="AI176" s="1">
        <v>0</v>
      </c>
      <c r="AJ176">
        <v>2</v>
      </c>
      <c r="AK176" s="1">
        <v>0</v>
      </c>
      <c r="AL176">
        <v>0</v>
      </c>
      <c r="AM176" s="1">
        <v>0</v>
      </c>
      <c r="AN176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>
        <v>1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</row>
    <row r="177" spans="1:83" x14ac:dyDescent="0.3">
      <c r="A177" s="4"/>
      <c r="B177" t="s">
        <v>145</v>
      </c>
      <c r="C177" s="2" t="s">
        <v>86</v>
      </c>
      <c r="D177">
        <v>4</v>
      </c>
      <c r="E177">
        <v>0</v>
      </c>
      <c r="F177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>
        <v>1</v>
      </c>
      <c r="AG177" s="1">
        <v>0</v>
      </c>
      <c r="AH177">
        <v>0</v>
      </c>
      <c r="AI177" s="1">
        <v>0</v>
      </c>
      <c r="AJ177">
        <v>0</v>
      </c>
      <c r="AK177" s="1">
        <v>0</v>
      </c>
      <c r="AL177">
        <v>0</v>
      </c>
      <c r="AM177">
        <v>1</v>
      </c>
      <c r="AN177">
        <v>0</v>
      </c>
      <c r="AO177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>
        <v>1</v>
      </c>
      <c r="BX177" s="1">
        <v>0</v>
      </c>
      <c r="BY177" s="1">
        <v>0</v>
      </c>
      <c r="BZ177">
        <v>1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</row>
    <row r="178" spans="1:83" x14ac:dyDescent="0.3">
      <c r="A178" s="4"/>
      <c r="B178" t="s">
        <v>146</v>
      </c>
      <c r="C178" s="2" t="s">
        <v>82</v>
      </c>
      <c r="D178">
        <v>5</v>
      </c>
      <c r="E178">
        <v>0</v>
      </c>
      <c r="F178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>
        <v>4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</row>
    <row r="179" spans="1:83" x14ac:dyDescent="0.3">
      <c r="A179" s="4"/>
      <c r="B179" t="s">
        <v>146</v>
      </c>
      <c r="C179" s="2" t="s">
        <v>85</v>
      </c>
      <c r="D179">
        <v>2</v>
      </c>
      <c r="E179">
        <v>0</v>
      </c>
      <c r="F179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>
        <v>1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>
        <v>1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</row>
    <row r="180" spans="1:83" x14ac:dyDescent="0.3">
      <c r="A180" s="4"/>
      <c r="B180" t="s">
        <v>146</v>
      </c>
      <c r="C180" s="2" t="s">
        <v>86</v>
      </c>
      <c r="D180">
        <v>3</v>
      </c>
      <c r="E180">
        <v>0</v>
      </c>
      <c r="F180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>
        <v>3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</row>
    <row r="181" spans="1:83" x14ac:dyDescent="0.3">
      <c r="A181" s="4"/>
      <c r="B181" t="s">
        <v>147</v>
      </c>
      <c r="C181" s="2" t="s">
        <v>82</v>
      </c>
      <c r="D181">
        <v>5</v>
      </c>
      <c r="E181">
        <v>0</v>
      </c>
      <c r="F18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>
        <v>0</v>
      </c>
      <c r="AI181" s="1">
        <v>0</v>
      </c>
      <c r="AJ181" s="1">
        <v>0</v>
      </c>
      <c r="AK181" s="1">
        <v>0</v>
      </c>
      <c r="AL181">
        <v>5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</row>
    <row r="182" spans="1:83" x14ac:dyDescent="0.3">
      <c r="A182" s="4"/>
      <c r="B182" t="s">
        <v>147</v>
      </c>
      <c r="C182" s="2" t="s">
        <v>85</v>
      </c>
      <c r="D182">
        <v>5</v>
      </c>
      <c r="E182">
        <v>0</v>
      </c>
      <c r="F182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>
        <v>0</v>
      </c>
      <c r="AI182" s="1">
        <v>0</v>
      </c>
      <c r="AJ182" s="1">
        <v>0</v>
      </c>
      <c r="AK182" s="1">
        <v>0</v>
      </c>
      <c r="AL182">
        <v>5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</row>
    <row r="183" spans="1:83" x14ac:dyDescent="0.3">
      <c r="A183" s="4"/>
      <c r="B183" t="s">
        <v>148</v>
      </c>
      <c r="C183" s="2" t="s">
        <v>82</v>
      </c>
      <c r="D183">
        <v>4</v>
      </c>
      <c r="E183">
        <v>0</v>
      </c>
      <c r="F183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>
        <v>1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>
        <v>0</v>
      </c>
      <c r="AI183" s="1">
        <v>0</v>
      </c>
      <c r="AJ183" s="1">
        <v>0</v>
      </c>
      <c r="AK183" s="1">
        <v>0</v>
      </c>
      <c r="AL183">
        <v>3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</row>
    <row r="184" spans="1:83" x14ac:dyDescent="0.3">
      <c r="A184" s="4"/>
      <c r="B184" t="s">
        <v>148</v>
      </c>
      <c r="C184" s="2" t="s">
        <v>85</v>
      </c>
      <c r="D184">
        <v>3</v>
      </c>
      <c r="E184">
        <v>0</v>
      </c>
      <c r="F184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>
        <v>0</v>
      </c>
      <c r="AI184" s="1">
        <v>0</v>
      </c>
      <c r="AJ184" s="1">
        <v>0</v>
      </c>
      <c r="AK184" s="1">
        <v>0</v>
      </c>
      <c r="AL184">
        <v>3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</row>
    <row r="185" spans="1:83" x14ac:dyDescent="0.3">
      <c r="A185" s="4"/>
      <c r="B185" t="s">
        <v>148</v>
      </c>
      <c r="C185" s="2" t="s">
        <v>86</v>
      </c>
      <c r="D185">
        <v>1</v>
      </c>
      <c r="E185">
        <v>0</v>
      </c>
      <c r="F185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>
        <v>1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</row>
    <row r="186" spans="1:83" x14ac:dyDescent="0.3">
      <c r="A186" s="4"/>
      <c r="B186" t="s">
        <v>149</v>
      </c>
      <c r="C186" s="2" t="s">
        <v>82</v>
      </c>
      <c r="D186">
        <v>4</v>
      </c>
      <c r="E186">
        <v>0</v>
      </c>
      <c r="F186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>
        <v>2</v>
      </c>
      <c r="R186" s="1">
        <v>0</v>
      </c>
      <c r="S186" s="1">
        <v>0</v>
      </c>
      <c r="T186" s="1">
        <v>0</v>
      </c>
      <c r="U186" s="1">
        <v>0</v>
      </c>
      <c r="V186">
        <v>2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</row>
    <row r="187" spans="1:83" x14ac:dyDescent="0.3">
      <c r="A187" s="4"/>
      <c r="B187" t="s">
        <v>149</v>
      </c>
      <c r="C187" s="2" t="s">
        <v>85</v>
      </c>
      <c r="D187">
        <v>2</v>
      </c>
      <c r="E187">
        <v>0</v>
      </c>
      <c r="F187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>
        <v>2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</row>
    <row r="188" spans="1:83" x14ac:dyDescent="0.3">
      <c r="A188" s="4"/>
      <c r="B188" t="s">
        <v>149</v>
      </c>
      <c r="C188" s="2" t="s">
        <v>86</v>
      </c>
      <c r="D188">
        <v>2</v>
      </c>
      <c r="E188">
        <v>0</v>
      </c>
      <c r="F188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>
        <v>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</row>
    <row r="189" spans="1:83" x14ac:dyDescent="0.3">
      <c r="A189" s="4"/>
      <c r="B189" t="s">
        <v>150</v>
      </c>
      <c r="C189" s="2" t="s">
        <v>82</v>
      </c>
      <c r="D189">
        <v>2</v>
      </c>
      <c r="E189">
        <v>0</v>
      </c>
      <c r="F189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>
        <v>1</v>
      </c>
      <c r="AD189" s="1">
        <v>0</v>
      </c>
      <c r="AE189" s="1">
        <v>0</v>
      </c>
      <c r="AF189" s="1">
        <v>0</v>
      </c>
      <c r="AG189" s="1">
        <v>0</v>
      </c>
      <c r="AH189">
        <v>0</v>
      </c>
      <c r="AI189" s="1">
        <v>0</v>
      </c>
      <c r="AJ189" s="1">
        <v>0</v>
      </c>
      <c r="AK189">
        <v>1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</row>
    <row r="190" spans="1:83" x14ac:dyDescent="0.3">
      <c r="A190" s="4"/>
      <c r="B190" t="s">
        <v>150</v>
      </c>
      <c r="C190" s="2" t="s">
        <v>85</v>
      </c>
      <c r="D190">
        <v>1</v>
      </c>
      <c r="E190">
        <v>0</v>
      </c>
      <c r="F190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>
        <v>1</v>
      </c>
      <c r="AD190" s="1">
        <v>0</v>
      </c>
      <c r="AE190" s="1">
        <v>0</v>
      </c>
      <c r="AF190" s="1">
        <v>0</v>
      </c>
      <c r="AG190" s="1">
        <v>0</v>
      </c>
      <c r="AH190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</row>
    <row r="191" spans="1:83" x14ac:dyDescent="0.3">
      <c r="A191" s="4"/>
      <c r="B191" t="s">
        <v>150</v>
      </c>
      <c r="C191" s="2" t="s">
        <v>86</v>
      </c>
      <c r="D191">
        <v>1</v>
      </c>
      <c r="E191">
        <v>0</v>
      </c>
      <c r="F19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>
        <v>0</v>
      </c>
      <c r="AI191" s="1">
        <v>0</v>
      </c>
      <c r="AJ191" s="1">
        <v>0</v>
      </c>
      <c r="AK191">
        <v>1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</row>
    <row r="192" spans="1:83" x14ac:dyDescent="0.3">
      <c r="A192" s="4"/>
      <c r="B192" t="s">
        <v>151</v>
      </c>
      <c r="C192" s="2" t="s">
        <v>82</v>
      </c>
      <c r="D192">
        <v>2</v>
      </c>
      <c r="E192">
        <v>0</v>
      </c>
      <c r="F192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>
        <v>0</v>
      </c>
      <c r="AI192" s="1">
        <v>0</v>
      </c>
      <c r="AJ192">
        <v>1</v>
      </c>
      <c r="AK192" s="1">
        <v>0</v>
      </c>
      <c r="AL192" s="1">
        <v>0</v>
      </c>
      <c r="AM192">
        <v>1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</row>
    <row r="193" spans="1:83" x14ac:dyDescent="0.3">
      <c r="A193" s="4"/>
      <c r="B193" t="s">
        <v>151</v>
      </c>
      <c r="C193" s="2" t="s">
        <v>86</v>
      </c>
      <c r="D193">
        <v>2</v>
      </c>
      <c r="E193">
        <v>0</v>
      </c>
      <c r="F193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>
        <v>0</v>
      </c>
      <c r="AI193" s="1">
        <v>0</v>
      </c>
      <c r="AJ193">
        <v>1</v>
      </c>
      <c r="AK193" s="1">
        <v>0</v>
      </c>
      <c r="AL193" s="1">
        <v>0</v>
      </c>
      <c r="AM193">
        <v>1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</row>
    <row r="194" spans="1:83" x14ac:dyDescent="0.3">
      <c r="A194" s="4"/>
      <c r="B194" t="s">
        <v>152</v>
      </c>
      <c r="C194" s="2" t="s">
        <v>82</v>
      </c>
      <c r="D194">
        <v>2</v>
      </c>
      <c r="E194">
        <v>0</v>
      </c>
      <c r="F194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>
        <v>1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>
        <v>0</v>
      </c>
      <c r="AI194" s="1">
        <v>0</v>
      </c>
      <c r="AJ194">
        <v>1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</row>
    <row r="195" spans="1:83" x14ac:dyDescent="0.3">
      <c r="A195" s="4"/>
      <c r="B195" t="s">
        <v>152</v>
      </c>
      <c r="C195" s="2" t="s">
        <v>85</v>
      </c>
      <c r="D195">
        <v>1</v>
      </c>
      <c r="E195">
        <v>0</v>
      </c>
      <c r="F195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>
        <v>1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</row>
    <row r="196" spans="1:83" x14ac:dyDescent="0.3">
      <c r="A196" s="4"/>
      <c r="B196" t="s">
        <v>152</v>
      </c>
      <c r="C196" s="2" t="s">
        <v>86</v>
      </c>
      <c r="D196">
        <v>1</v>
      </c>
      <c r="E196">
        <v>0</v>
      </c>
      <c r="F196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>
        <v>0</v>
      </c>
      <c r="AI196" s="1">
        <v>0</v>
      </c>
      <c r="AJ196">
        <v>1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</row>
    <row r="197" spans="1:83" x14ac:dyDescent="0.3">
      <c r="A197" s="4"/>
      <c r="B197" t="s">
        <v>153</v>
      </c>
      <c r="C197" s="2" t="s">
        <v>82</v>
      </c>
      <c r="D197">
        <v>2</v>
      </c>
      <c r="E197">
        <v>0</v>
      </c>
      <c r="F197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>
        <v>0</v>
      </c>
      <c r="AI197" s="1">
        <v>0</v>
      </c>
      <c r="AJ197" s="1">
        <v>0</v>
      </c>
      <c r="AK197" s="1">
        <v>0</v>
      </c>
      <c r="AL197" s="1">
        <v>0</v>
      </c>
      <c r="AM197">
        <v>1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>
        <v>1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</row>
    <row r="198" spans="1:83" x14ac:dyDescent="0.3">
      <c r="A198" s="4"/>
      <c r="B198" t="s">
        <v>153</v>
      </c>
      <c r="C198" s="2" t="s">
        <v>86</v>
      </c>
      <c r="D198">
        <v>2</v>
      </c>
      <c r="E198">
        <v>0</v>
      </c>
      <c r="F198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>
        <v>0</v>
      </c>
      <c r="AI198" s="1">
        <v>0</v>
      </c>
      <c r="AJ198" s="1">
        <v>0</v>
      </c>
      <c r="AK198" s="1">
        <v>0</v>
      </c>
      <c r="AL198" s="1">
        <v>0</v>
      </c>
      <c r="AM198">
        <v>1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>
        <v>1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</row>
    <row r="199" spans="1:83" x14ac:dyDescent="0.3">
      <c r="A199" s="4"/>
      <c r="B199" t="s">
        <v>154</v>
      </c>
      <c r="C199" s="2" t="s">
        <v>82</v>
      </c>
      <c r="D199">
        <v>2</v>
      </c>
      <c r="E199">
        <v>0</v>
      </c>
      <c r="F199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>
        <v>1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>
        <v>0</v>
      </c>
      <c r="AI199" s="1">
        <v>0</v>
      </c>
      <c r="AJ199" s="1">
        <v>0</v>
      </c>
      <c r="AK199" s="1">
        <v>0</v>
      </c>
      <c r="AL199">
        <v>1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</row>
    <row r="200" spans="1:83" x14ac:dyDescent="0.3">
      <c r="A200" s="4"/>
      <c r="B200" t="s">
        <v>154</v>
      </c>
      <c r="C200" s="2" t="s">
        <v>85</v>
      </c>
      <c r="D200">
        <v>1</v>
      </c>
      <c r="E200">
        <v>0</v>
      </c>
      <c r="F200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>
        <v>0</v>
      </c>
      <c r="AI200" s="1">
        <v>0</v>
      </c>
      <c r="AJ200" s="1">
        <v>0</v>
      </c>
      <c r="AK200" s="1">
        <v>0</v>
      </c>
      <c r="AL200">
        <v>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</row>
    <row r="201" spans="1:83" x14ac:dyDescent="0.3">
      <c r="A201" s="4"/>
      <c r="B201" t="s">
        <v>154</v>
      </c>
      <c r="C201" s="2" t="s">
        <v>86</v>
      </c>
      <c r="D201">
        <v>1</v>
      </c>
      <c r="E201">
        <v>0</v>
      </c>
      <c r="F20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</row>
    <row r="202" spans="1:83" x14ac:dyDescent="0.3">
      <c r="A202" s="4"/>
      <c r="B202" t="s">
        <v>155</v>
      </c>
      <c r="C202" s="2" t="s">
        <v>82</v>
      </c>
      <c r="D202">
        <v>2</v>
      </c>
      <c r="E202">
        <v>0</v>
      </c>
      <c r="F202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>
        <v>0</v>
      </c>
      <c r="AI202" s="1">
        <v>0</v>
      </c>
      <c r="AJ202">
        <v>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</row>
    <row r="203" spans="1:83" x14ac:dyDescent="0.3">
      <c r="A203" s="4"/>
      <c r="B203" t="s">
        <v>155</v>
      </c>
      <c r="C203" s="2" t="s">
        <v>85</v>
      </c>
      <c r="D203">
        <v>1</v>
      </c>
      <c r="E203">
        <v>0</v>
      </c>
      <c r="F203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>
        <v>0</v>
      </c>
      <c r="AI203" s="1">
        <v>0</v>
      </c>
      <c r="AJ203">
        <v>1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</row>
    <row r="204" spans="1:83" x14ac:dyDescent="0.3">
      <c r="A204" s="4"/>
      <c r="B204" t="s">
        <v>155</v>
      </c>
      <c r="C204" s="2" t="s">
        <v>86</v>
      </c>
      <c r="D204">
        <v>1</v>
      </c>
      <c r="E204">
        <v>0</v>
      </c>
      <c r="F204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>
        <v>0</v>
      </c>
      <c r="AI204" s="1">
        <v>0</v>
      </c>
      <c r="AJ204">
        <v>1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</row>
    <row r="205" spans="1:83" x14ac:dyDescent="0.3">
      <c r="A205" s="4"/>
      <c r="B205" t="s">
        <v>156</v>
      </c>
      <c r="C205" s="2" t="s">
        <v>82</v>
      </c>
      <c r="D205">
        <v>1</v>
      </c>
      <c r="E205">
        <v>0</v>
      </c>
      <c r="F205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>
        <v>0</v>
      </c>
      <c r="AI205" s="1">
        <v>0</v>
      </c>
      <c r="AJ205">
        <v>1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</row>
    <row r="206" spans="1:83" x14ac:dyDescent="0.3">
      <c r="A206" s="4"/>
      <c r="B206" t="s">
        <v>156</v>
      </c>
      <c r="C206" s="2" t="s">
        <v>85</v>
      </c>
      <c r="D206">
        <v>1</v>
      </c>
      <c r="E206">
        <v>0</v>
      </c>
      <c r="F206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>
        <v>0</v>
      </c>
      <c r="AI206" s="1">
        <v>0</v>
      </c>
      <c r="AJ206">
        <v>1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</row>
    <row r="207" spans="1:83" x14ac:dyDescent="0.3">
      <c r="A207" s="4"/>
      <c r="B207" t="s">
        <v>157</v>
      </c>
      <c r="C207" s="2" t="s">
        <v>82</v>
      </c>
      <c r="D207">
        <v>1</v>
      </c>
      <c r="E207">
        <v>0</v>
      </c>
      <c r="F207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</row>
    <row r="208" spans="1:83" x14ac:dyDescent="0.3">
      <c r="A208" s="4"/>
      <c r="B208" t="s">
        <v>157</v>
      </c>
      <c r="C208" s="2" t="s">
        <v>85</v>
      </c>
      <c r="D208">
        <v>1</v>
      </c>
      <c r="E208">
        <v>0</v>
      </c>
      <c r="F208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>
        <v>1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</row>
    <row r="209" spans="1:83" x14ac:dyDescent="0.3">
      <c r="A209" s="4"/>
      <c r="B209" t="s">
        <v>158</v>
      </c>
      <c r="C209" s="2" t="s">
        <v>82</v>
      </c>
      <c r="D209">
        <v>1</v>
      </c>
      <c r="E209">
        <v>0</v>
      </c>
      <c r="F209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>
        <v>1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</row>
    <row r="210" spans="1:83" x14ac:dyDescent="0.3">
      <c r="A210" s="4"/>
      <c r="B210" t="s">
        <v>158</v>
      </c>
      <c r="C210" s="2" t="s">
        <v>85</v>
      </c>
      <c r="D210">
        <v>1</v>
      </c>
      <c r="E210">
        <v>0</v>
      </c>
      <c r="F210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>
        <v>1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</row>
    <row r="211" spans="1:83" x14ac:dyDescent="0.3">
      <c r="A211" s="4" t="s">
        <v>234</v>
      </c>
      <c r="B211" s="4"/>
      <c r="C211" s="2" t="s">
        <v>82</v>
      </c>
      <c r="D211" s="1">
        <v>2213</v>
      </c>
      <c r="E211">
        <v>7</v>
      </c>
      <c r="F211">
        <v>0</v>
      </c>
      <c r="G211" s="1">
        <v>0</v>
      </c>
      <c r="H211">
        <v>17</v>
      </c>
      <c r="I211" s="1">
        <v>0</v>
      </c>
      <c r="J211">
        <v>4</v>
      </c>
      <c r="K211" s="1">
        <v>0</v>
      </c>
      <c r="L211">
        <v>1</v>
      </c>
      <c r="M211">
        <v>1</v>
      </c>
      <c r="N211">
        <v>28</v>
      </c>
      <c r="O211" s="1">
        <v>0</v>
      </c>
      <c r="P211">
        <v>4</v>
      </c>
      <c r="Q211">
        <v>166</v>
      </c>
      <c r="R211" s="1">
        <v>0</v>
      </c>
      <c r="S211" s="1">
        <v>0</v>
      </c>
      <c r="T211" s="1">
        <v>0</v>
      </c>
      <c r="U211">
        <v>2</v>
      </c>
      <c r="V211">
        <v>14</v>
      </c>
      <c r="W211">
        <v>39</v>
      </c>
      <c r="X211">
        <v>10</v>
      </c>
      <c r="Y211">
        <v>153</v>
      </c>
      <c r="Z211" s="1">
        <v>0</v>
      </c>
      <c r="AA211" s="1">
        <v>0</v>
      </c>
      <c r="AB211">
        <v>42</v>
      </c>
      <c r="AC211">
        <v>138</v>
      </c>
      <c r="AD211" s="1">
        <v>0</v>
      </c>
      <c r="AE211">
        <v>39</v>
      </c>
      <c r="AF211">
        <v>454</v>
      </c>
      <c r="AG211">
        <v>1</v>
      </c>
      <c r="AH211">
        <v>80</v>
      </c>
      <c r="AI211">
        <v>1</v>
      </c>
      <c r="AJ211">
        <v>307</v>
      </c>
      <c r="AK211">
        <v>131</v>
      </c>
      <c r="AL211">
        <v>17</v>
      </c>
      <c r="AM211">
        <v>220</v>
      </c>
      <c r="AN211">
        <v>6</v>
      </c>
      <c r="AO211">
        <v>1</v>
      </c>
      <c r="AP211">
        <v>28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>
        <v>1</v>
      </c>
      <c r="BK211">
        <v>1</v>
      </c>
      <c r="BL211">
        <v>1</v>
      </c>
      <c r="BM211">
        <v>1</v>
      </c>
      <c r="BN211" s="1">
        <v>0</v>
      </c>
      <c r="BO211" s="1">
        <v>0</v>
      </c>
      <c r="BP211" s="1">
        <v>0</v>
      </c>
      <c r="BQ211">
        <v>33</v>
      </c>
      <c r="BR211" s="1">
        <v>0</v>
      </c>
      <c r="BS211" s="1">
        <v>0</v>
      </c>
      <c r="BT211" s="1">
        <v>0</v>
      </c>
      <c r="BU211" s="1">
        <v>0</v>
      </c>
      <c r="BV211">
        <v>23</v>
      </c>
      <c r="BW211">
        <v>83</v>
      </c>
      <c r="BX211">
        <v>37</v>
      </c>
      <c r="BY211">
        <v>10</v>
      </c>
      <c r="BZ211">
        <v>3</v>
      </c>
      <c r="CA211">
        <v>4</v>
      </c>
      <c r="CB211" s="1">
        <v>0</v>
      </c>
      <c r="CC211">
        <v>18</v>
      </c>
      <c r="CD211">
        <v>84</v>
      </c>
      <c r="CE211">
        <v>3</v>
      </c>
    </row>
    <row r="212" spans="1:83" x14ac:dyDescent="0.3">
      <c r="A212" s="4"/>
      <c r="B212" s="4"/>
      <c r="C212" s="2" t="s">
        <v>85</v>
      </c>
      <c r="D212" s="1">
        <f>D215+D218+D221+D224+D227+D230+D233+D236+D239+D242+D245+D248+D251+D254+D257+D260+D263+D266+D269+D272+D275+D278+D281+D284+D287+D290+D293+D296+D299+D302+D305+D308+D313+D315+D319</f>
        <v>1183</v>
      </c>
      <c r="E212" s="1">
        <f t="shared" ref="E212:BP212" si="16">E215+E218+E221+E224+E227+E230+E233+E236+E239+E242+E245+E248+E251+E254+E257+E260+E263+E266+E269+E272+E275+E278+E281+E284+E287+E290+E293+E296+E299+E302+E305+E308+E313+E315+E319</f>
        <v>7</v>
      </c>
      <c r="F212" s="1">
        <f t="shared" si="16"/>
        <v>0</v>
      </c>
      <c r="G212" s="1">
        <f t="shared" si="16"/>
        <v>0</v>
      </c>
      <c r="H212" s="1">
        <f t="shared" si="16"/>
        <v>3</v>
      </c>
      <c r="I212" s="1">
        <f t="shared" si="16"/>
        <v>0</v>
      </c>
      <c r="J212" s="1">
        <f t="shared" si="16"/>
        <v>1</v>
      </c>
      <c r="K212" s="1">
        <f t="shared" si="16"/>
        <v>0</v>
      </c>
      <c r="L212" s="1">
        <f t="shared" si="16"/>
        <v>1</v>
      </c>
      <c r="M212" s="1">
        <f t="shared" si="16"/>
        <v>1</v>
      </c>
      <c r="N212" s="1">
        <f t="shared" si="16"/>
        <v>9</v>
      </c>
      <c r="O212" s="1">
        <f t="shared" si="16"/>
        <v>0</v>
      </c>
      <c r="P212" s="1">
        <f t="shared" si="16"/>
        <v>1</v>
      </c>
      <c r="Q212" s="1">
        <f t="shared" si="16"/>
        <v>68</v>
      </c>
      <c r="R212" s="1">
        <f t="shared" si="16"/>
        <v>0</v>
      </c>
      <c r="S212" s="1">
        <f t="shared" si="16"/>
        <v>0</v>
      </c>
      <c r="T212" s="1">
        <f t="shared" si="16"/>
        <v>0</v>
      </c>
      <c r="U212" s="1">
        <f t="shared" si="16"/>
        <v>0</v>
      </c>
      <c r="V212" s="1">
        <f t="shared" si="16"/>
        <v>10</v>
      </c>
      <c r="W212" s="1">
        <f t="shared" si="16"/>
        <v>34</v>
      </c>
      <c r="X212" s="1">
        <f t="shared" si="16"/>
        <v>5</v>
      </c>
      <c r="Y212" s="1">
        <f t="shared" si="16"/>
        <v>126</v>
      </c>
      <c r="Z212" s="1">
        <f t="shared" si="16"/>
        <v>0</v>
      </c>
      <c r="AA212" s="1">
        <f t="shared" si="16"/>
        <v>0</v>
      </c>
      <c r="AB212" s="1">
        <f t="shared" si="16"/>
        <v>41</v>
      </c>
      <c r="AC212" s="1">
        <f t="shared" si="16"/>
        <v>135</v>
      </c>
      <c r="AD212" s="1">
        <f t="shared" si="16"/>
        <v>0</v>
      </c>
      <c r="AE212" s="1">
        <f t="shared" si="16"/>
        <v>31</v>
      </c>
      <c r="AF212" s="1">
        <f t="shared" si="16"/>
        <v>194</v>
      </c>
      <c r="AG212" s="1">
        <f t="shared" si="16"/>
        <v>1</v>
      </c>
      <c r="AH212" s="1">
        <f t="shared" si="16"/>
        <v>60</v>
      </c>
      <c r="AI212" s="1">
        <f t="shared" si="16"/>
        <v>1</v>
      </c>
      <c r="AJ212" s="1">
        <f t="shared" si="16"/>
        <v>124</v>
      </c>
      <c r="AK212" s="1">
        <f t="shared" si="16"/>
        <v>55</v>
      </c>
      <c r="AL212" s="1">
        <f t="shared" si="16"/>
        <v>14</v>
      </c>
      <c r="AM212" s="1">
        <f t="shared" si="16"/>
        <v>126</v>
      </c>
      <c r="AN212" s="1">
        <f t="shared" si="16"/>
        <v>4</v>
      </c>
      <c r="AO212" s="1">
        <f t="shared" si="16"/>
        <v>1</v>
      </c>
      <c r="AP212" s="1">
        <f t="shared" si="16"/>
        <v>26</v>
      </c>
      <c r="AQ212" s="1">
        <f t="shared" si="16"/>
        <v>0</v>
      </c>
      <c r="AR212" s="1">
        <f t="shared" si="16"/>
        <v>0</v>
      </c>
      <c r="AS212" s="1">
        <f t="shared" si="16"/>
        <v>0</v>
      </c>
      <c r="AT212" s="1">
        <f t="shared" si="16"/>
        <v>0</v>
      </c>
      <c r="AU212" s="1">
        <f t="shared" si="16"/>
        <v>0</v>
      </c>
      <c r="AV212" s="1">
        <f t="shared" si="16"/>
        <v>0</v>
      </c>
      <c r="AW212" s="1">
        <f t="shared" si="16"/>
        <v>0</v>
      </c>
      <c r="AX212" s="1">
        <f t="shared" si="16"/>
        <v>0</v>
      </c>
      <c r="AY212" s="1">
        <f t="shared" si="16"/>
        <v>0</v>
      </c>
      <c r="AZ212" s="1">
        <f t="shared" si="16"/>
        <v>0</v>
      </c>
      <c r="BA212" s="1">
        <f t="shared" si="16"/>
        <v>0</v>
      </c>
      <c r="BB212" s="1">
        <f t="shared" si="16"/>
        <v>0</v>
      </c>
      <c r="BC212" s="1">
        <f t="shared" si="16"/>
        <v>0</v>
      </c>
      <c r="BD212" s="1">
        <f t="shared" si="16"/>
        <v>0</v>
      </c>
      <c r="BE212" s="1">
        <f t="shared" si="16"/>
        <v>0</v>
      </c>
      <c r="BF212" s="1">
        <f t="shared" si="16"/>
        <v>0</v>
      </c>
      <c r="BG212" s="1">
        <f t="shared" si="16"/>
        <v>0</v>
      </c>
      <c r="BH212" s="1">
        <f t="shared" si="16"/>
        <v>0</v>
      </c>
      <c r="BI212" s="1">
        <f t="shared" si="16"/>
        <v>0</v>
      </c>
      <c r="BJ212" s="1">
        <f t="shared" si="16"/>
        <v>0</v>
      </c>
      <c r="BK212" s="1">
        <f t="shared" si="16"/>
        <v>0</v>
      </c>
      <c r="BL212" s="1">
        <f t="shared" si="16"/>
        <v>0</v>
      </c>
      <c r="BM212" s="1">
        <f t="shared" si="16"/>
        <v>0</v>
      </c>
      <c r="BN212" s="1">
        <f t="shared" si="16"/>
        <v>0</v>
      </c>
      <c r="BO212" s="1">
        <f t="shared" si="16"/>
        <v>0</v>
      </c>
      <c r="BP212" s="1">
        <f t="shared" si="16"/>
        <v>0</v>
      </c>
      <c r="BQ212" s="1">
        <f t="shared" ref="BQ212:CE212" si="17">BQ215+BQ218+BQ221+BQ224+BQ227+BQ230+BQ233+BQ236+BQ239+BQ242+BQ245+BQ248+BQ251+BQ254+BQ257+BQ260+BQ263+BQ266+BQ269+BQ272+BQ275+BQ278+BQ281+BQ284+BQ287+BQ290+BQ293+BQ296+BQ299+BQ302+BQ305+BQ308+BQ313+BQ315+BQ319</f>
        <v>14</v>
      </c>
      <c r="BR212" s="1">
        <f t="shared" si="17"/>
        <v>0</v>
      </c>
      <c r="BS212" s="1">
        <f t="shared" si="17"/>
        <v>0</v>
      </c>
      <c r="BT212" s="1">
        <f t="shared" si="17"/>
        <v>0</v>
      </c>
      <c r="BU212" s="1">
        <f t="shared" si="17"/>
        <v>0</v>
      </c>
      <c r="BV212" s="1">
        <f t="shared" si="17"/>
        <v>6</v>
      </c>
      <c r="BW212" s="1">
        <f t="shared" si="17"/>
        <v>33</v>
      </c>
      <c r="BX212" s="1">
        <f t="shared" si="17"/>
        <v>11</v>
      </c>
      <c r="BY212" s="1">
        <f t="shared" si="17"/>
        <v>5</v>
      </c>
      <c r="BZ212" s="1">
        <f t="shared" si="17"/>
        <v>1</v>
      </c>
      <c r="CA212" s="1">
        <f t="shared" si="17"/>
        <v>2</v>
      </c>
      <c r="CB212" s="1">
        <f t="shared" si="17"/>
        <v>0</v>
      </c>
      <c r="CC212" s="1">
        <f t="shared" si="17"/>
        <v>6</v>
      </c>
      <c r="CD212" s="1">
        <f t="shared" si="17"/>
        <v>26</v>
      </c>
      <c r="CE212" s="1">
        <f t="shared" si="17"/>
        <v>0</v>
      </c>
    </row>
    <row r="213" spans="1:83" x14ac:dyDescent="0.3">
      <c r="A213" s="4"/>
      <c r="B213" s="4"/>
      <c r="C213" s="2" t="s">
        <v>86</v>
      </c>
      <c r="D213" s="1">
        <f>D216+D219+D222+D225+D228+D231+D234+D237+D240+D243+D246+D249+D252+D255+D258+D261+D264+D267+D270+D273+D276+D279+D282+D285+D288+D291+D294+D297+D300+D303+D306+D309+D311+D317</f>
        <v>1030</v>
      </c>
      <c r="E213" s="1">
        <f t="shared" ref="E213:BP213" si="18">E216+E219+E222+E225+E228+E231+E234+E237+E240+E243+E246+E249+E252+E255+E258+E261+E264+E267+E270+E273+E276+E279+E282+E285+E288+E291+E294+E297+E300+E303+E306+E309+E311+E317</f>
        <v>0</v>
      </c>
      <c r="F213" s="1">
        <f t="shared" si="18"/>
        <v>0</v>
      </c>
      <c r="G213" s="1">
        <f t="shared" si="18"/>
        <v>0</v>
      </c>
      <c r="H213" s="1">
        <f t="shared" si="18"/>
        <v>14</v>
      </c>
      <c r="I213" s="1">
        <f t="shared" si="18"/>
        <v>0</v>
      </c>
      <c r="J213" s="1">
        <f t="shared" si="18"/>
        <v>3</v>
      </c>
      <c r="K213" s="1">
        <f t="shared" si="18"/>
        <v>0</v>
      </c>
      <c r="L213" s="1">
        <f t="shared" si="18"/>
        <v>0</v>
      </c>
      <c r="M213" s="1">
        <f t="shared" si="18"/>
        <v>0</v>
      </c>
      <c r="N213" s="1">
        <f t="shared" si="18"/>
        <v>19</v>
      </c>
      <c r="O213" s="1">
        <f t="shared" si="18"/>
        <v>0</v>
      </c>
      <c r="P213" s="1">
        <f t="shared" si="18"/>
        <v>3</v>
      </c>
      <c r="Q213" s="1">
        <f t="shared" si="18"/>
        <v>98</v>
      </c>
      <c r="R213" s="1">
        <f t="shared" si="18"/>
        <v>0</v>
      </c>
      <c r="S213" s="1">
        <f t="shared" si="18"/>
        <v>0</v>
      </c>
      <c r="T213" s="1">
        <f t="shared" si="18"/>
        <v>0</v>
      </c>
      <c r="U213" s="1">
        <f t="shared" si="18"/>
        <v>2</v>
      </c>
      <c r="V213" s="1">
        <f t="shared" si="18"/>
        <v>4</v>
      </c>
      <c r="W213" s="1">
        <f t="shared" si="18"/>
        <v>5</v>
      </c>
      <c r="X213" s="1">
        <f t="shared" si="18"/>
        <v>5</v>
      </c>
      <c r="Y213" s="1">
        <f t="shared" si="18"/>
        <v>27</v>
      </c>
      <c r="Z213" s="1">
        <f t="shared" si="18"/>
        <v>0</v>
      </c>
      <c r="AA213" s="1">
        <f t="shared" si="18"/>
        <v>0</v>
      </c>
      <c r="AB213" s="1">
        <f t="shared" si="18"/>
        <v>1</v>
      </c>
      <c r="AC213" s="1">
        <f t="shared" si="18"/>
        <v>3</v>
      </c>
      <c r="AD213" s="1">
        <f t="shared" si="18"/>
        <v>0</v>
      </c>
      <c r="AE213" s="1">
        <f t="shared" si="18"/>
        <v>8</v>
      </c>
      <c r="AF213" s="1">
        <f t="shared" si="18"/>
        <v>260</v>
      </c>
      <c r="AG213" s="1">
        <f t="shared" si="18"/>
        <v>0</v>
      </c>
      <c r="AH213" s="1">
        <f t="shared" si="18"/>
        <v>20</v>
      </c>
      <c r="AI213" s="1">
        <f t="shared" si="18"/>
        <v>0</v>
      </c>
      <c r="AJ213" s="1">
        <f t="shared" si="18"/>
        <v>183</v>
      </c>
      <c r="AK213" s="1">
        <f t="shared" si="18"/>
        <v>76</v>
      </c>
      <c r="AL213" s="1">
        <f t="shared" si="18"/>
        <v>3</v>
      </c>
      <c r="AM213" s="1">
        <f t="shared" si="18"/>
        <v>94</v>
      </c>
      <c r="AN213" s="1">
        <f t="shared" si="18"/>
        <v>2</v>
      </c>
      <c r="AO213" s="1">
        <f t="shared" si="18"/>
        <v>0</v>
      </c>
      <c r="AP213" s="1">
        <f t="shared" si="18"/>
        <v>2</v>
      </c>
      <c r="AQ213" s="1">
        <f t="shared" si="18"/>
        <v>0</v>
      </c>
      <c r="AR213" s="1">
        <f t="shared" si="18"/>
        <v>0</v>
      </c>
      <c r="AS213" s="1">
        <f t="shared" si="18"/>
        <v>0</v>
      </c>
      <c r="AT213" s="1">
        <f t="shared" si="18"/>
        <v>0</v>
      </c>
      <c r="AU213" s="1">
        <f t="shared" si="18"/>
        <v>0</v>
      </c>
      <c r="AV213" s="1">
        <f t="shared" si="18"/>
        <v>0</v>
      </c>
      <c r="AW213" s="1">
        <f t="shared" si="18"/>
        <v>0</v>
      </c>
      <c r="AX213" s="1">
        <f t="shared" si="18"/>
        <v>0</v>
      </c>
      <c r="AY213" s="1">
        <f t="shared" si="18"/>
        <v>0</v>
      </c>
      <c r="AZ213" s="1">
        <f t="shared" si="18"/>
        <v>0</v>
      </c>
      <c r="BA213" s="1">
        <f t="shared" si="18"/>
        <v>0</v>
      </c>
      <c r="BB213" s="1">
        <f t="shared" si="18"/>
        <v>0</v>
      </c>
      <c r="BC213" s="1">
        <f t="shared" si="18"/>
        <v>0</v>
      </c>
      <c r="BD213" s="1">
        <f t="shared" si="18"/>
        <v>0</v>
      </c>
      <c r="BE213" s="1">
        <f t="shared" si="18"/>
        <v>0</v>
      </c>
      <c r="BF213" s="1">
        <f t="shared" si="18"/>
        <v>0</v>
      </c>
      <c r="BG213" s="1">
        <f t="shared" si="18"/>
        <v>0</v>
      </c>
      <c r="BH213" s="1">
        <f t="shared" si="18"/>
        <v>0</v>
      </c>
      <c r="BI213" s="1">
        <f t="shared" si="18"/>
        <v>0</v>
      </c>
      <c r="BJ213" s="1">
        <f t="shared" si="18"/>
        <v>1</v>
      </c>
      <c r="BK213" s="1">
        <f t="shared" si="18"/>
        <v>1</v>
      </c>
      <c r="BL213" s="1">
        <f t="shared" si="18"/>
        <v>1</v>
      </c>
      <c r="BM213" s="1">
        <f t="shared" si="18"/>
        <v>1</v>
      </c>
      <c r="BN213" s="1">
        <f t="shared" si="18"/>
        <v>0</v>
      </c>
      <c r="BO213" s="1">
        <f t="shared" si="18"/>
        <v>0</v>
      </c>
      <c r="BP213" s="1">
        <f t="shared" si="18"/>
        <v>0</v>
      </c>
      <c r="BQ213" s="1">
        <f t="shared" ref="BQ213:CE213" si="19">BQ216+BQ219+BQ222+BQ225+BQ228+BQ231+BQ234+BQ237+BQ240+BQ243+BQ246+BQ249+BQ252+BQ255+BQ258+BQ261+BQ264+BQ267+BQ270+BQ273+BQ276+BQ279+BQ282+BQ285+BQ288+BQ291+BQ294+BQ297+BQ300+BQ303+BQ306+BQ309+BQ311+BQ317</f>
        <v>19</v>
      </c>
      <c r="BR213" s="1">
        <f t="shared" si="19"/>
        <v>0</v>
      </c>
      <c r="BS213" s="1">
        <f t="shared" si="19"/>
        <v>0</v>
      </c>
      <c r="BT213" s="1">
        <f t="shared" si="19"/>
        <v>0</v>
      </c>
      <c r="BU213" s="1">
        <f t="shared" si="19"/>
        <v>0</v>
      </c>
      <c r="BV213" s="1">
        <f t="shared" si="19"/>
        <v>17</v>
      </c>
      <c r="BW213" s="1">
        <f t="shared" si="19"/>
        <v>50</v>
      </c>
      <c r="BX213" s="1">
        <f t="shared" si="19"/>
        <v>26</v>
      </c>
      <c r="BY213" s="1">
        <f t="shared" si="19"/>
        <v>5</v>
      </c>
      <c r="BZ213" s="1">
        <f t="shared" si="19"/>
        <v>2</v>
      </c>
      <c r="CA213" s="1">
        <f t="shared" si="19"/>
        <v>2</v>
      </c>
      <c r="CB213" s="1">
        <f t="shared" si="19"/>
        <v>0</v>
      </c>
      <c r="CC213" s="1">
        <f t="shared" si="19"/>
        <v>12</v>
      </c>
      <c r="CD213" s="1">
        <f t="shared" si="19"/>
        <v>58</v>
      </c>
      <c r="CE213" s="1">
        <f t="shared" si="19"/>
        <v>3</v>
      </c>
    </row>
    <row r="214" spans="1:83" x14ac:dyDescent="0.3">
      <c r="A214" s="5" t="s">
        <v>159</v>
      </c>
      <c r="B214" t="s">
        <v>160</v>
      </c>
      <c r="C214" s="2" t="s">
        <v>82</v>
      </c>
      <c r="D214">
        <v>636</v>
      </c>
      <c r="E214">
        <v>1</v>
      </c>
      <c r="F214">
        <v>0</v>
      </c>
      <c r="G214" s="1">
        <v>0</v>
      </c>
      <c r="H214">
        <v>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>
        <v>2</v>
      </c>
      <c r="R214" s="1">
        <v>0</v>
      </c>
      <c r="S214" s="1">
        <v>0</v>
      </c>
      <c r="T214" s="1">
        <v>0</v>
      </c>
      <c r="U214">
        <v>2</v>
      </c>
      <c r="V214">
        <v>3</v>
      </c>
      <c r="W214">
        <v>6</v>
      </c>
      <c r="X214" s="1">
        <v>0</v>
      </c>
      <c r="Y214">
        <v>21</v>
      </c>
      <c r="Z214" s="1">
        <v>0</v>
      </c>
      <c r="AA214" s="1">
        <v>0</v>
      </c>
      <c r="AB214" s="1">
        <v>0</v>
      </c>
      <c r="AC214">
        <v>14</v>
      </c>
      <c r="AD214" s="1">
        <v>0</v>
      </c>
      <c r="AE214">
        <v>6</v>
      </c>
      <c r="AF214">
        <v>393</v>
      </c>
      <c r="AG214">
        <v>1</v>
      </c>
      <c r="AH214">
        <v>11</v>
      </c>
      <c r="AI214" s="1">
        <v>0</v>
      </c>
      <c r="AJ214">
        <v>34</v>
      </c>
      <c r="AK214">
        <v>1</v>
      </c>
      <c r="AL214">
        <v>1</v>
      </c>
      <c r="AM214">
        <v>68</v>
      </c>
      <c r="AN214" s="1">
        <v>0</v>
      </c>
      <c r="AO214" s="1">
        <v>0</v>
      </c>
      <c r="AP214">
        <v>7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>
        <v>7</v>
      </c>
      <c r="BR214" s="1">
        <v>0</v>
      </c>
      <c r="BS214" s="1">
        <v>0</v>
      </c>
      <c r="BT214" s="1">
        <v>0</v>
      </c>
      <c r="BU214" s="1">
        <v>0</v>
      </c>
      <c r="BV214">
        <v>4</v>
      </c>
      <c r="BW214">
        <v>16</v>
      </c>
      <c r="BX214">
        <v>1</v>
      </c>
      <c r="BY214">
        <v>4</v>
      </c>
      <c r="BZ214">
        <v>1</v>
      </c>
      <c r="CA214" s="1">
        <v>0</v>
      </c>
      <c r="CB214" s="1">
        <v>0</v>
      </c>
      <c r="CC214">
        <v>2</v>
      </c>
      <c r="CD214">
        <v>26</v>
      </c>
      <c r="CE214" s="1">
        <v>0</v>
      </c>
    </row>
    <row r="215" spans="1:83" x14ac:dyDescent="0.3">
      <c r="A215" s="5"/>
      <c r="B215" t="s">
        <v>160</v>
      </c>
      <c r="C215" s="2" t="s">
        <v>85</v>
      </c>
      <c r="D215">
        <v>322</v>
      </c>
      <c r="E215">
        <v>1</v>
      </c>
      <c r="F215">
        <v>0</v>
      </c>
      <c r="G215" s="1">
        <v>0</v>
      </c>
      <c r="H215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>
        <v>1</v>
      </c>
      <c r="R215" s="1">
        <v>0</v>
      </c>
      <c r="S215" s="1">
        <v>0</v>
      </c>
      <c r="T215" s="1">
        <v>0</v>
      </c>
      <c r="U215" s="1">
        <v>0</v>
      </c>
      <c r="V215">
        <v>3</v>
      </c>
      <c r="W215">
        <v>6</v>
      </c>
      <c r="X215" s="1">
        <v>0</v>
      </c>
      <c r="Y215">
        <v>18</v>
      </c>
      <c r="Z215" s="1">
        <v>0</v>
      </c>
      <c r="AA215" s="1">
        <v>0</v>
      </c>
      <c r="AB215" s="1">
        <v>0</v>
      </c>
      <c r="AC215">
        <v>14</v>
      </c>
      <c r="AD215" s="1">
        <v>0</v>
      </c>
      <c r="AE215">
        <v>5</v>
      </c>
      <c r="AF215">
        <v>173</v>
      </c>
      <c r="AG215">
        <v>1</v>
      </c>
      <c r="AH215">
        <v>8</v>
      </c>
      <c r="AI215" s="1">
        <v>0</v>
      </c>
      <c r="AJ215">
        <v>21</v>
      </c>
      <c r="AK215">
        <v>1</v>
      </c>
      <c r="AL215">
        <v>1</v>
      </c>
      <c r="AM215">
        <v>39</v>
      </c>
      <c r="AN215" s="1">
        <v>0</v>
      </c>
      <c r="AO215" s="1">
        <v>0</v>
      </c>
      <c r="AP215">
        <v>7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>
        <v>3</v>
      </c>
      <c r="BR215" s="1">
        <v>0</v>
      </c>
      <c r="BS215" s="1">
        <v>0</v>
      </c>
      <c r="BT215" s="1">
        <v>0</v>
      </c>
      <c r="BU215" s="1">
        <v>0</v>
      </c>
      <c r="BV215">
        <v>1</v>
      </c>
      <c r="BW215">
        <v>7</v>
      </c>
      <c r="BX215" s="1">
        <v>0</v>
      </c>
      <c r="BY215">
        <v>2</v>
      </c>
      <c r="BZ215">
        <v>1</v>
      </c>
      <c r="CA215" s="1">
        <v>0</v>
      </c>
      <c r="CB215" s="1">
        <v>0</v>
      </c>
      <c r="CC215">
        <v>1</v>
      </c>
      <c r="CD215">
        <v>7</v>
      </c>
      <c r="CE215" s="1">
        <v>0</v>
      </c>
    </row>
    <row r="216" spans="1:83" x14ac:dyDescent="0.3">
      <c r="A216" s="5"/>
      <c r="B216" t="s">
        <v>160</v>
      </c>
      <c r="C216" s="2" t="s">
        <v>86</v>
      </c>
      <c r="D216">
        <v>314</v>
      </c>
      <c r="E216">
        <v>0</v>
      </c>
      <c r="F216">
        <v>0</v>
      </c>
      <c r="G216" s="1">
        <v>0</v>
      </c>
      <c r="H216">
        <v>3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>
        <v>1</v>
      </c>
      <c r="R216" s="1">
        <v>0</v>
      </c>
      <c r="S216" s="1">
        <v>0</v>
      </c>
      <c r="T216" s="1">
        <v>0</v>
      </c>
      <c r="U216">
        <v>2</v>
      </c>
      <c r="V216" s="1">
        <v>0</v>
      </c>
      <c r="W216" s="1">
        <v>0</v>
      </c>
      <c r="X216" s="1">
        <v>0</v>
      </c>
      <c r="Y216">
        <v>3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>
        <v>1</v>
      </c>
      <c r="AF216">
        <v>220</v>
      </c>
      <c r="AG216" s="1">
        <v>0</v>
      </c>
      <c r="AH216">
        <v>3</v>
      </c>
      <c r="AI216" s="1">
        <v>0</v>
      </c>
      <c r="AJ216">
        <v>13</v>
      </c>
      <c r="AK216" s="1">
        <v>0</v>
      </c>
      <c r="AL216">
        <v>0</v>
      </c>
      <c r="AM216">
        <v>29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>
        <v>4</v>
      </c>
      <c r="BR216" s="1">
        <v>0</v>
      </c>
      <c r="BS216" s="1">
        <v>0</v>
      </c>
      <c r="BT216" s="1">
        <v>0</v>
      </c>
      <c r="BU216" s="1">
        <v>0</v>
      </c>
      <c r="BV216">
        <v>3</v>
      </c>
      <c r="BW216">
        <v>9</v>
      </c>
      <c r="BX216">
        <v>1</v>
      </c>
      <c r="BY216">
        <v>2</v>
      </c>
      <c r="BZ216">
        <v>0</v>
      </c>
      <c r="CA216" s="1">
        <v>0</v>
      </c>
      <c r="CB216" s="1">
        <v>0</v>
      </c>
      <c r="CC216">
        <v>1</v>
      </c>
      <c r="CD216">
        <v>19</v>
      </c>
      <c r="CE216" s="1">
        <v>0</v>
      </c>
    </row>
    <row r="217" spans="1:83" x14ac:dyDescent="0.3">
      <c r="A217" s="5"/>
      <c r="B217" t="s">
        <v>161</v>
      </c>
      <c r="C217" s="2" t="s">
        <v>82</v>
      </c>
      <c r="D217">
        <v>334</v>
      </c>
      <c r="E217">
        <v>1</v>
      </c>
      <c r="F217">
        <v>0</v>
      </c>
      <c r="G217" s="1">
        <v>0</v>
      </c>
      <c r="H217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>
        <v>14</v>
      </c>
      <c r="O217" s="1">
        <v>0</v>
      </c>
      <c r="P217">
        <v>1</v>
      </c>
      <c r="Q217">
        <v>66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>
        <v>3</v>
      </c>
      <c r="X217">
        <v>3</v>
      </c>
      <c r="Y217">
        <v>33</v>
      </c>
      <c r="Z217" s="1">
        <v>0</v>
      </c>
      <c r="AA217" s="1">
        <v>0</v>
      </c>
      <c r="AB217">
        <v>3</v>
      </c>
      <c r="AC217">
        <v>16</v>
      </c>
      <c r="AD217" s="1">
        <v>0</v>
      </c>
      <c r="AE217">
        <v>8</v>
      </c>
      <c r="AF217">
        <v>5</v>
      </c>
      <c r="AG217" s="1">
        <v>0</v>
      </c>
      <c r="AH217">
        <v>12</v>
      </c>
      <c r="AI217">
        <v>1</v>
      </c>
      <c r="AJ217">
        <v>53</v>
      </c>
      <c r="AK217">
        <v>2</v>
      </c>
      <c r="AL217">
        <v>2</v>
      </c>
      <c r="AM217">
        <v>39</v>
      </c>
      <c r="AN217">
        <v>1</v>
      </c>
      <c r="AO217">
        <v>1</v>
      </c>
      <c r="AP217">
        <v>8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>
        <v>1</v>
      </c>
      <c r="BL217">
        <v>1</v>
      </c>
      <c r="BM217">
        <v>1</v>
      </c>
      <c r="BN217" s="1">
        <v>0</v>
      </c>
      <c r="BO217" s="1">
        <v>0</v>
      </c>
      <c r="BP217" s="1">
        <v>0</v>
      </c>
      <c r="BQ217">
        <v>6</v>
      </c>
      <c r="BR217" s="1">
        <v>0</v>
      </c>
      <c r="BS217" s="1">
        <v>0</v>
      </c>
      <c r="BT217" s="1">
        <v>0</v>
      </c>
      <c r="BU217" s="1">
        <v>0</v>
      </c>
      <c r="BV217">
        <v>1</v>
      </c>
      <c r="BW217">
        <v>32</v>
      </c>
      <c r="BX217">
        <v>8</v>
      </c>
      <c r="BY217">
        <v>0</v>
      </c>
      <c r="BZ217">
        <v>0</v>
      </c>
      <c r="CA217" s="1">
        <v>0</v>
      </c>
      <c r="CB217" s="1">
        <v>0</v>
      </c>
      <c r="CC217">
        <v>0</v>
      </c>
      <c r="CD217">
        <v>9</v>
      </c>
      <c r="CE217">
        <v>2</v>
      </c>
    </row>
    <row r="218" spans="1:83" x14ac:dyDescent="0.3">
      <c r="A218" s="5"/>
      <c r="B218" t="s">
        <v>161</v>
      </c>
      <c r="C218" s="2" t="s">
        <v>85</v>
      </c>
      <c r="D218">
        <v>186</v>
      </c>
      <c r="E218">
        <v>1</v>
      </c>
      <c r="F218">
        <v>0</v>
      </c>
      <c r="G218" s="1">
        <v>0</v>
      </c>
      <c r="H218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>
        <v>5</v>
      </c>
      <c r="O218" s="1">
        <v>0</v>
      </c>
      <c r="P218" s="1">
        <v>0</v>
      </c>
      <c r="Q218">
        <v>32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>
        <v>3</v>
      </c>
      <c r="X218">
        <v>1</v>
      </c>
      <c r="Y218">
        <v>25</v>
      </c>
      <c r="Z218" s="1">
        <v>0</v>
      </c>
      <c r="AA218" s="1">
        <v>0</v>
      </c>
      <c r="AB218">
        <v>3</v>
      </c>
      <c r="AC218">
        <v>15</v>
      </c>
      <c r="AD218" s="1">
        <v>0</v>
      </c>
      <c r="AE218">
        <v>7</v>
      </c>
      <c r="AF218">
        <v>0</v>
      </c>
      <c r="AG218" s="1">
        <v>0</v>
      </c>
      <c r="AH218">
        <v>9</v>
      </c>
      <c r="AI218">
        <v>1</v>
      </c>
      <c r="AJ218">
        <v>27</v>
      </c>
      <c r="AK218">
        <v>1</v>
      </c>
      <c r="AL218">
        <v>2</v>
      </c>
      <c r="AM218">
        <v>19</v>
      </c>
      <c r="AN218">
        <v>1</v>
      </c>
      <c r="AO218">
        <v>1</v>
      </c>
      <c r="AP218">
        <v>8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>
        <v>2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>
        <v>13</v>
      </c>
      <c r="BX218">
        <v>5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>
        <v>5</v>
      </c>
      <c r="CE218" s="1">
        <v>0</v>
      </c>
    </row>
    <row r="219" spans="1:83" x14ac:dyDescent="0.3">
      <c r="A219" s="5"/>
      <c r="B219" t="s">
        <v>161</v>
      </c>
      <c r="C219" s="2" t="s">
        <v>86</v>
      </c>
      <c r="D219">
        <v>148</v>
      </c>
      <c r="E219">
        <v>0</v>
      </c>
      <c r="F219">
        <v>0</v>
      </c>
      <c r="G219" s="1">
        <v>0</v>
      </c>
      <c r="H219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>
        <v>9</v>
      </c>
      <c r="O219" s="1">
        <v>0</v>
      </c>
      <c r="P219">
        <v>1</v>
      </c>
      <c r="Q219">
        <v>34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>
        <v>2</v>
      </c>
      <c r="Y219">
        <v>8</v>
      </c>
      <c r="Z219" s="1">
        <v>0</v>
      </c>
      <c r="AA219" s="1">
        <v>0</v>
      </c>
      <c r="AB219" s="1">
        <v>0</v>
      </c>
      <c r="AC219">
        <v>1</v>
      </c>
      <c r="AD219" s="1">
        <v>0</v>
      </c>
      <c r="AE219">
        <v>1</v>
      </c>
      <c r="AF219">
        <v>5</v>
      </c>
      <c r="AG219" s="1">
        <v>0</v>
      </c>
      <c r="AH219">
        <v>3</v>
      </c>
      <c r="AI219" s="1">
        <v>0</v>
      </c>
      <c r="AJ219">
        <v>26</v>
      </c>
      <c r="AK219">
        <v>1</v>
      </c>
      <c r="AL219">
        <v>0</v>
      </c>
      <c r="AM219">
        <v>20</v>
      </c>
      <c r="AN219" s="1">
        <v>0</v>
      </c>
      <c r="AO219" s="1">
        <v>0</v>
      </c>
      <c r="AP219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>
        <v>1</v>
      </c>
      <c r="BL219">
        <v>1</v>
      </c>
      <c r="BM219">
        <v>1</v>
      </c>
      <c r="BN219" s="1">
        <v>0</v>
      </c>
      <c r="BO219" s="1">
        <v>0</v>
      </c>
      <c r="BP219" s="1">
        <v>0</v>
      </c>
      <c r="BQ219">
        <v>4</v>
      </c>
      <c r="BR219" s="1">
        <v>0</v>
      </c>
      <c r="BS219" s="1">
        <v>0</v>
      </c>
      <c r="BT219" s="1">
        <v>0</v>
      </c>
      <c r="BU219" s="1">
        <v>0</v>
      </c>
      <c r="BV219">
        <v>1</v>
      </c>
      <c r="BW219">
        <v>19</v>
      </c>
      <c r="BX219">
        <v>3</v>
      </c>
      <c r="BY219">
        <v>0</v>
      </c>
      <c r="BZ219">
        <v>0</v>
      </c>
      <c r="CA219" s="1">
        <v>0</v>
      </c>
      <c r="CB219" s="1">
        <v>0</v>
      </c>
      <c r="CC219">
        <v>0</v>
      </c>
      <c r="CD219">
        <v>4</v>
      </c>
      <c r="CE219">
        <v>2</v>
      </c>
    </row>
    <row r="220" spans="1:83" x14ac:dyDescent="0.3">
      <c r="A220" s="5"/>
      <c r="B220" t="s">
        <v>162</v>
      </c>
      <c r="C220" s="2" t="s">
        <v>82</v>
      </c>
      <c r="D220">
        <v>219</v>
      </c>
      <c r="E220">
        <v>0</v>
      </c>
      <c r="F220">
        <v>0</v>
      </c>
      <c r="G220" s="1">
        <v>0</v>
      </c>
      <c r="H220">
        <v>0</v>
      </c>
      <c r="I220" s="1">
        <v>0</v>
      </c>
      <c r="J220">
        <v>3</v>
      </c>
      <c r="K220" s="1">
        <v>0</v>
      </c>
      <c r="L220" s="1">
        <v>0</v>
      </c>
      <c r="M220" s="1">
        <v>0</v>
      </c>
      <c r="N220">
        <v>2</v>
      </c>
      <c r="O220" s="1">
        <v>0</v>
      </c>
      <c r="P220">
        <v>3</v>
      </c>
      <c r="Q220">
        <v>9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>
        <v>2</v>
      </c>
      <c r="X220" s="1">
        <v>0</v>
      </c>
      <c r="Y220">
        <v>4</v>
      </c>
      <c r="Z220" s="1">
        <v>0</v>
      </c>
      <c r="AA220" s="1">
        <v>0</v>
      </c>
      <c r="AB220" s="1">
        <v>0</v>
      </c>
      <c r="AC220">
        <v>18</v>
      </c>
      <c r="AD220" s="1">
        <v>0</v>
      </c>
      <c r="AE220">
        <v>3</v>
      </c>
      <c r="AF220" s="1">
        <v>0</v>
      </c>
      <c r="AG220" s="1">
        <v>0</v>
      </c>
      <c r="AH220">
        <v>5</v>
      </c>
      <c r="AI220" s="1">
        <v>0</v>
      </c>
      <c r="AJ220">
        <v>87</v>
      </c>
      <c r="AK220">
        <v>45</v>
      </c>
      <c r="AL220">
        <v>0</v>
      </c>
      <c r="AM220">
        <v>19</v>
      </c>
      <c r="AN220" s="1">
        <v>0</v>
      </c>
      <c r="AO220" s="1">
        <v>0</v>
      </c>
      <c r="AP220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>
        <v>1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>
        <v>6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>
        <v>2</v>
      </c>
      <c r="BX220">
        <v>2</v>
      </c>
      <c r="BY220" s="1">
        <v>0</v>
      </c>
      <c r="BZ220" s="1">
        <v>0</v>
      </c>
      <c r="CA220" s="1">
        <v>0</v>
      </c>
      <c r="CB220" s="1">
        <v>0</v>
      </c>
      <c r="CC220">
        <v>5</v>
      </c>
      <c r="CD220">
        <v>2</v>
      </c>
      <c r="CE220">
        <v>1</v>
      </c>
    </row>
    <row r="221" spans="1:83" x14ac:dyDescent="0.3">
      <c r="A221" s="5"/>
      <c r="B221" t="s">
        <v>162</v>
      </c>
      <c r="C221" s="2" t="s">
        <v>85</v>
      </c>
      <c r="D221">
        <v>101</v>
      </c>
      <c r="E221">
        <v>0</v>
      </c>
      <c r="F221">
        <v>0</v>
      </c>
      <c r="G221" s="1">
        <v>0</v>
      </c>
      <c r="H22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>
        <v>1</v>
      </c>
      <c r="O221" s="1">
        <v>0</v>
      </c>
      <c r="P221">
        <v>1</v>
      </c>
      <c r="Q221">
        <v>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>
        <v>2</v>
      </c>
      <c r="X221" s="1">
        <v>0</v>
      </c>
      <c r="Y221">
        <v>3</v>
      </c>
      <c r="Z221" s="1">
        <v>0</v>
      </c>
      <c r="AA221" s="1">
        <v>0</v>
      </c>
      <c r="AB221" s="1">
        <v>0</v>
      </c>
      <c r="AC221">
        <v>18</v>
      </c>
      <c r="AD221" s="1">
        <v>0</v>
      </c>
      <c r="AE221">
        <v>2</v>
      </c>
      <c r="AF221" s="1">
        <v>0</v>
      </c>
      <c r="AG221" s="1">
        <v>0</v>
      </c>
      <c r="AH221">
        <v>5</v>
      </c>
      <c r="AI221" s="1">
        <v>0</v>
      </c>
      <c r="AJ221">
        <v>25</v>
      </c>
      <c r="AK221">
        <v>28</v>
      </c>
      <c r="AL221">
        <v>0</v>
      </c>
      <c r="AM221">
        <v>10</v>
      </c>
      <c r="AN221" s="1">
        <v>0</v>
      </c>
      <c r="AO221" s="1">
        <v>0</v>
      </c>
      <c r="AP22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>
        <v>1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>
        <v>1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>
        <v>1</v>
      </c>
      <c r="CD221" s="1">
        <v>0</v>
      </c>
      <c r="CE221" s="1">
        <v>0</v>
      </c>
    </row>
    <row r="222" spans="1:83" x14ac:dyDescent="0.3">
      <c r="A222" s="5"/>
      <c r="B222" t="s">
        <v>162</v>
      </c>
      <c r="C222" s="2" t="s">
        <v>86</v>
      </c>
      <c r="D222">
        <v>118</v>
      </c>
      <c r="E222">
        <v>0</v>
      </c>
      <c r="F222">
        <v>0</v>
      </c>
      <c r="G222" s="1">
        <v>0</v>
      </c>
      <c r="H222">
        <v>0</v>
      </c>
      <c r="I222" s="1">
        <v>0</v>
      </c>
      <c r="J222">
        <v>3</v>
      </c>
      <c r="K222" s="1">
        <v>0</v>
      </c>
      <c r="L222" s="1">
        <v>0</v>
      </c>
      <c r="M222" s="1">
        <v>0</v>
      </c>
      <c r="N222">
        <v>1</v>
      </c>
      <c r="O222" s="1">
        <v>0</v>
      </c>
      <c r="P222">
        <v>2</v>
      </c>
      <c r="Q222">
        <v>6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>
        <v>1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>
        <v>1</v>
      </c>
      <c r="AF222" s="1">
        <v>0</v>
      </c>
      <c r="AG222" s="1">
        <v>0</v>
      </c>
      <c r="AH222">
        <v>0</v>
      </c>
      <c r="AI222" s="1">
        <v>0</v>
      </c>
      <c r="AJ222">
        <v>62</v>
      </c>
      <c r="AK222">
        <v>17</v>
      </c>
      <c r="AL222">
        <v>0</v>
      </c>
      <c r="AM222">
        <v>9</v>
      </c>
      <c r="AN222" s="1">
        <v>0</v>
      </c>
      <c r="AO222" s="1">
        <v>0</v>
      </c>
      <c r="AP222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>
        <v>1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>
        <v>5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>
        <v>1</v>
      </c>
      <c r="BX222">
        <v>2</v>
      </c>
      <c r="BY222" s="1">
        <v>0</v>
      </c>
      <c r="BZ222" s="1">
        <v>0</v>
      </c>
      <c r="CA222" s="1">
        <v>0</v>
      </c>
      <c r="CB222" s="1">
        <v>0</v>
      </c>
      <c r="CC222">
        <v>4</v>
      </c>
      <c r="CD222">
        <v>2</v>
      </c>
      <c r="CE222">
        <v>1</v>
      </c>
    </row>
    <row r="223" spans="1:83" x14ac:dyDescent="0.3">
      <c r="A223" s="5"/>
      <c r="B223" t="s">
        <v>163</v>
      </c>
      <c r="C223" s="2" t="s">
        <v>82</v>
      </c>
      <c r="D223">
        <v>146</v>
      </c>
      <c r="E223">
        <v>1</v>
      </c>
      <c r="F223">
        <v>0</v>
      </c>
      <c r="G223" s="1">
        <v>0</v>
      </c>
      <c r="H223">
        <v>1</v>
      </c>
      <c r="I223" s="1">
        <v>0</v>
      </c>
      <c r="J223" s="1">
        <v>0</v>
      </c>
      <c r="K223" s="1">
        <v>0</v>
      </c>
      <c r="L223">
        <v>1</v>
      </c>
      <c r="M223" s="1">
        <v>0</v>
      </c>
      <c r="N223" s="1">
        <v>0</v>
      </c>
      <c r="O223" s="1">
        <v>0</v>
      </c>
      <c r="P223" s="1">
        <v>0</v>
      </c>
      <c r="Q223">
        <v>25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>
        <v>17</v>
      </c>
      <c r="X223" s="1">
        <v>0</v>
      </c>
      <c r="Y223">
        <v>5</v>
      </c>
      <c r="Z223" s="1">
        <v>0</v>
      </c>
      <c r="AA223" s="1">
        <v>0</v>
      </c>
      <c r="AB223">
        <v>6</v>
      </c>
      <c r="AC223">
        <v>14</v>
      </c>
      <c r="AD223" s="1">
        <v>0</v>
      </c>
      <c r="AE223" s="1">
        <v>0</v>
      </c>
      <c r="AF223" s="1">
        <v>0</v>
      </c>
      <c r="AG223" s="1">
        <v>0</v>
      </c>
      <c r="AH223">
        <v>9</v>
      </c>
      <c r="AI223" s="1">
        <v>0</v>
      </c>
      <c r="AJ223">
        <v>18</v>
      </c>
      <c r="AK223" s="1">
        <v>0</v>
      </c>
      <c r="AL223">
        <v>2</v>
      </c>
      <c r="AM223">
        <v>13</v>
      </c>
      <c r="AN223">
        <v>4</v>
      </c>
      <c r="AO223" s="1">
        <v>0</v>
      </c>
      <c r="AP223">
        <v>1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>
        <v>1</v>
      </c>
      <c r="BR223" s="1">
        <v>0</v>
      </c>
      <c r="BS223" s="1">
        <v>0</v>
      </c>
      <c r="BT223" s="1">
        <v>0</v>
      </c>
      <c r="BU223" s="1">
        <v>0</v>
      </c>
      <c r="BV223">
        <v>11</v>
      </c>
      <c r="BW223" s="1">
        <v>0</v>
      </c>
      <c r="BX223">
        <v>2</v>
      </c>
      <c r="BY223" s="1">
        <v>0</v>
      </c>
      <c r="BZ223">
        <v>2</v>
      </c>
      <c r="CA223" s="1">
        <v>0</v>
      </c>
      <c r="CB223" s="1">
        <v>0</v>
      </c>
      <c r="CC223" s="1">
        <v>0</v>
      </c>
      <c r="CD223">
        <v>13</v>
      </c>
      <c r="CE223" s="1">
        <v>0</v>
      </c>
    </row>
    <row r="224" spans="1:83" x14ac:dyDescent="0.3">
      <c r="A224" s="5"/>
      <c r="B224" t="s">
        <v>163</v>
      </c>
      <c r="C224" s="2" t="s">
        <v>85</v>
      </c>
      <c r="D224">
        <v>82</v>
      </c>
      <c r="E224">
        <v>1</v>
      </c>
      <c r="F224">
        <v>0</v>
      </c>
      <c r="G224" s="1">
        <v>0</v>
      </c>
      <c r="H224">
        <v>0</v>
      </c>
      <c r="I224" s="1">
        <v>0</v>
      </c>
      <c r="J224">
        <v>0</v>
      </c>
      <c r="K224" s="1">
        <v>0</v>
      </c>
      <c r="L224">
        <v>1</v>
      </c>
      <c r="M224" s="1">
        <v>0</v>
      </c>
      <c r="N224">
        <v>0</v>
      </c>
      <c r="O224" s="1">
        <v>0</v>
      </c>
      <c r="P224">
        <v>0</v>
      </c>
      <c r="Q224">
        <v>8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>
        <v>14</v>
      </c>
      <c r="X224" s="1">
        <v>0</v>
      </c>
      <c r="Y224">
        <v>4</v>
      </c>
      <c r="Z224" s="1">
        <v>0</v>
      </c>
      <c r="AA224" s="1">
        <v>0</v>
      </c>
      <c r="AB224">
        <v>6</v>
      </c>
      <c r="AC224">
        <v>13</v>
      </c>
      <c r="AD224" s="1">
        <v>0</v>
      </c>
      <c r="AE224" s="1">
        <v>0</v>
      </c>
      <c r="AF224" s="1">
        <v>0</v>
      </c>
      <c r="AG224" s="1">
        <v>0</v>
      </c>
      <c r="AH224">
        <v>8</v>
      </c>
      <c r="AI224" s="1">
        <v>0</v>
      </c>
      <c r="AJ224">
        <v>4</v>
      </c>
      <c r="AK224" s="1">
        <v>0</v>
      </c>
      <c r="AL224">
        <v>1</v>
      </c>
      <c r="AM224">
        <v>11</v>
      </c>
      <c r="AN224">
        <v>3</v>
      </c>
      <c r="AO224" s="1">
        <v>0</v>
      </c>
      <c r="AP224">
        <v>1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>
        <v>2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>
        <v>5</v>
      </c>
      <c r="CE224" s="1">
        <v>0</v>
      </c>
    </row>
    <row r="225" spans="1:83" x14ac:dyDescent="0.3">
      <c r="A225" s="5"/>
      <c r="B225" t="s">
        <v>163</v>
      </c>
      <c r="C225" s="2" t="s">
        <v>86</v>
      </c>
      <c r="D225">
        <v>64</v>
      </c>
      <c r="E225">
        <v>0</v>
      </c>
      <c r="F225">
        <v>0</v>
      </c>
      <c r="G225" s="1">
        <v>0</v>
      </c>
      <c r="H225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>
        <v>17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>
        <v>3</v>
      </c>
      <c r="X225" s="1">
        <v>0</v>
      </c>
      <c r="Y225">
        <v>1</v>
      </c>
      <c r="Z225" s="1">
        <v>0</v>
      </c>
      <c r="AA225" s="1">
        <v>0</v>
      </c>
      <c r="AB225" s="1">
        <v>0</v>
      </c>
      <c r="AC225">
        <v>1</v>
      </c>
      <c r="AD225" s="1">
        <v>0</v>
      </c>
      <c r="AE225" s="1">
        <v>0</v>
      </c>
      <c r="AF225" s="1">
        <v>0</v>
      </c>
      <c r="AG225" s="1">
        <v>0</v>
      </c>
      <c r="AH225">
        <v>1</v>
      </c>
      <c r="AI225" s="1">
        <v>0</v>
      </c>
      <c r="AJ225">
        <v>14</v>
      </c>
      <c r="AK225" s="1">
        <v>0</v>
      </c>
      <c r="AL225">
        <v>1</v>
      </c>
      <c r="AM225">
        <v>2</v>
      </c>
      <c r="AN225">
        <v>1</v>
      </c>
      <c r="AO225" s="1">
        <v>0</v>
      </c>
      <c r="AP225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>
        <v>1</v>
      </c>
      <c r="BR225" s="1">
        <v>0</v>
      </c>
      <c r="BS225" s="1">
        <v>0</v>
      </c>
      <c r="BT225" s="1">
        <v>0</v>
      </c>
      <c r="BU225" s="1">
        <v>0</v>
      </c>
      <c r="BV225">
        <v>9</v>
      </c>
      <c r="BW225" s="1">
        <v>0</v>
      </c>
      <c r="BX225">
        <v>2</v>
      </c>
      <c r="BY225" s="1">
        <v>0</v>
      </c>
      <c r="BZ225">
        <v>2</v>
      </c>
      <c r="CA225" s="1">
        <v>0</v>
      </c>
      <c r="CB225" s="1">
        <v>0</v>
      </c>
      <c r="CC225" s="1">
        <v>0</v>
      </c>
      <c r="CD225">
        <v>8</v>
      </c>
      <c r="CE225" s="1">
        <v>0</v>
      </c>
    </row>
    <row r="226" spans="1:83" x14ac:dyDescent="0.3">
      <c r="A226" s="5"/>
      <c r="B226" t="s">
        <v>164</v>
      </c>
      <c r="C226" s="2" t="s">
        <v>82</v>
      </c>
      <c r="D226">
        <v>140</v>
      </c>
      <c r="E226">
        <v>2</v>
      </c>
      <c r="F226">
        <v>0</v>
      </c>
      <c r="G226" s="1">
        <v>0</v>
      </c>
      <c r="H226">
        <v>1</v>
      </c>
      <c r="I226" s="1">
        <v>0</v>
      </c>
      <c r="J226">
        <v>0</v>
      </c>
      <c r="K226" s="1">
        <v>0</v>
      </c>
      <c r="L226" s="1">
        <v>0</v>
      </c>
      <c r="M226" s="1">
        <v>0</v>
      </c>
      <c r="N226">
        <v>8</v>
      </c>
      <c r="O226" s="1">
        <v>0</v>
      </c>
      <c r="P226" s="1">
        <v>0</v>
      </c>
      <c r="Q226">
        <v>11</v>
      </c>
      <c r="R226" s="1">
        <v>0</v>
      </c>
      <c r="S226" s="1">
        <v>0</v>
      </c>
      <c r="T226" s="1">
        <v>0</v>
      </c>
      <c r="U226" s="1">
        <v>0</v>
      </c>
      <c r="V226">
        <v>1</v>
      </c>
      <c r="W226">
        <v>1</v>
      </c>
      <c r="X226">
        <v>2</v>
      </c>
      <c r="Y226">
        <v>35</v>
      </c>
      <c r="Z226" s="1">
        <v>0</v>
      </c>
      <c r="AA226" s="1">
        <v>0</v>
      </c>
      <c r="AB226">
        <v>1</v>
      </c>
      <c r="AC226">
        <v>0</v>
      </c>
      <c r="AD226" s="1">
        <v>0</v>
      </c>
      <c r="AE226">
        <v>9</v>
      </c>
      <c r="AF226">
        <v>4</v>
      </c>
      <c r="AG226" s="1">
        <v>0</v>
      </c>
      <c r="AH226">
        <v>10</v>
      </c>
      <c r="AI226" s="1">
        <v>0</v>
      </c>
      <c r="AJ226">
        <v>9</v>
      </c>
      <c r="AK226" s="1">
        <v>0</v>
      </c>
      <c r="AL226">
        <v>1</v>
      </c>
      <c r="AM226">
        <v>25</v>
      </c>
      <c r="AN226">
        <v>0</v>
      </c>
      <c r="AO226" s="1">
        <v>0</v>
      </c>
      <c r="AP226">
        <v>5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>
        <v>1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>
        <v>5</v>
      </c>
      <c r="BX226" s="1">
        <v>0</v>
      </c>
      <c r="BY226">
        <v>2</v>
      </c>
      <c r="BZ226" s="1">
        <v>0</v>
      </c>
      <c r="CA226" s="1">
        <v>0</v>
      </c>
      <c r="CB226" s="1">
        <v>0</v>
      </c>
      <c r="CC226" s="1">
        <v>0</v>
      </c>
      <c r="CD226">
        <v>7</v>
      </c>
      <c r="CE226" s="1">
        <v>0</v>
      </c>
    </row>
    <row r="227" spans="1:83" x14ac:dyDescent="0.3">
      <c r="A227" s="5"/>
      <c r="B227" t="s">
        <v>164</v>
      </c>
      <c r="C227" s="2" t="s">
        <v>85</v>
      </c>
      <c r="D227">
        <v>92</v>
      </c>
      <c r="E227">
        <v>2</v>
      </c>
      <c r="F227">
        <v>0</v>
      </c>
      <c r="G227" s="1">
        <v>0</v>
      </c>
      <c r="H227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>
        <v>3</v>
      </c>
      <c r="O227" s="1">
        <v>0</v>
      </c>
      <c r="P227" s="1">
        <v>0</v>
      </c>
      <c r="Q227">
        <v>6</v>
      </c>
      <c r="R227" s="1">
        <v>0</v>
      </c>
      <c r="S227" s="1">
        <v>0</v>
      </c>
      <c r="T227" s="1">
        <v>0</v>
      </c>
      <c r="U227" s="1">
        <v>0</v>
      </c>
      <c r="V227">
        <v>1</v>
      </c>
      <c r="W227">
        <v>1</v>
      </c>
      <c r="X227" s="1">
        <v>0</v>
      </c>
      <c r="Y227">
        <v>30</v>
      </c>
      <c r="Z227" s="1">
        <v>0</v>
      </c>
      <c r="AA227" s="1">
        <v>0</v>
      </c>
      <c r="AB227">
        <v>1</v>
      </c>
      <c r="AC227" s="1">
        <v>0</v>
      </c>
      <c r="AD227" s="1">
        <v>0</v>
      </c>
      <c r="AE227">
        <v>8</v>
      </c>
      <c r="AF227" s="1">
        <v>0</v>
      </c>
      <c r="AG227" s="1">
        <v>0</v>
      </c>
      <c r="AH227">
        <v>8</v>
      </c>
      <c r="AI227" s="1">
        <v>0</v>
      </c>
      <c r="AJ227">
        <v>5</v>
      </c>
      <c r="AK227" s="1">
        <v>0</v>
      </c>
      <c r="AL227">
        <v>1</v>
      </c>
      <c r="AM227">
        <v>17</v>
      </c>
      <c r="AN227">
        <v>0</v>
      </c>
      <c r="AO227" s="1">
        <v>0</v>
      </c>
      <c r="AP227">
        <v>5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>
        <v>1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>
        <v>2</v>
      </c>
      <c r="BX227" s="1">
        <v>0</v>
      </c>
      <c r="BY227">
        <v>1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</row>
    <row r="228" spans="1:83" x14ac:dyDescent="0.3">
      <c r="A228" s="5"/>
      <c r="B228" t="s">
        <v>164</v>
      </c>
      <c r="C228" s="2" t="s">
        <v>86</v>
      </c>
      <c r="D228">
        <v>48</v>
      </c>
      <c r="E228">
        <v>0</v>
      </c>
      <c r="F228">
        <v>0</v>
      </c>
      <c r="G228" s="1">
        <v>0</v>
      </c>
      <c r="H228">
        <v>1</v>
      </c>
      <c r="I228" s="1">
        <v>0</v>
      </c>
      <c r="J228">
        <v>0</v>
      </c>
      <c r="K228" s="1">
        <v>0</v>
      </c>
      <c r="L228" s="1">
        <v>0</v>
      </c>
      <c r="M228" s="1">
        <v>0</v>
      </c>
      <c r="N228">
        <v>5</v>
      </c>
      <c r="O228" s="1">
        <v>0</v>
      </c>
      <c r="P228" s="1">
        <v>0</v>
      </c>
      <c r="Q228">
        <v>5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>
        <v>2</v>
      </c>
      <c r="Y228">
        <v>5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>
        <v>1</v>
      </c>
      <c r="AF228">
        <v>4</v>
      </c>
      <c r="AG228" s="1">
        <v>0</v>
      </c>
      <c r="AH228">
        <v>2</v>
      </c>
      <c r="AI228" s="1">
        <v>0</v>
      </c>
      <c r="AJ228">
        <v>4</v>
      </c>
      <c r="AK228" s="1">
        <v>0</v>
      </c>
      <c r="AL228">
        <v>0</v>
      </c>
      <c r="AM228">
        <v>8</v>
      </c>
      <c r="AN228">
        <v>0</v>
      </c>
      <c r="AO228" s="1">
        <v>0</v>
      </c>
      <c r="AP228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>
        <v>3</v>
      </c>
      <c r="BX228" s="1">
        <v>0</v>
      </c>
      <c r="BY228">
        <v>1</v>
      </c>
      <c r="BZ228" s="1">
        <v>0</v>
      </c>
      <c r="CA228" s="1">
        <v>0</v>
      </c>
      <c r="CB228" s="1">
        <v>0</v>
      </c>
      <c r="CC228" s="1">
        <v>0</v>
      </c>
      <c r="CD228">
        <v>7</v>
      </c>
      <c r="CE228" s="1">
        <v>0</v>
      </c>
    </row>
    <row r="229" spans="1:83" x14ac:dyDescent="0.3">
      <c r="A229" s="5"/>
      <c r="B229" t="s">
        <v>165</v>
      </c>
      <c r="C229" s="2" t="s">
        <v>82</v>
      </c>
      <c r="D229">
        <v>107</v>
      </c>
      <c r="E229">
        <v>0</v>
      </c>
      <c r="F229">
        <v>0</v>
      </c>
      <c r="G229" s="1">
        <v>0</v>
      </c>
      <c r="H229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>
        <v>4</v>
      </c>
      <c r="AC229">
        <v>11</v>
      </c>
      <c r="AD229" s="1">
        <v>0</v>
      </c>
      <c r="AE229" s="1">
        <v>0</v>
      </c>
      <c r="AF229" s="1">
        <v>0</v>
      </c>
      <c r="AG229" s="1">
        <v>0</v>
      </c>
      <c r="AH229">
        <v>1</v>
      </c>
      <c r="AI229" s="1">
        <v>0</v>
      </c>
      <c r="AJ229">
        <v>23</v>
      </c>
      <c r="AK229">
        <v>54</v>
      </c>
      <c r="AL229">
        <v>2</v>
      </c>
      <c r="AM229">
        <v>4</v>
      </c>
      <c r="AN229">
        <v>0</v>
      </c>
      <c r="AO229" s="1">
        <v>0</v>
      </c>
      <c r="AP229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>
        <v>1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>
        <v>3</v>
      </c>
      <c r="BY229" s="1">
        <v>0</v>
      </c>
      <c r="BZ229" s="1">
        <v>0</v>
      </c>
      <c r="CA229" s="1">
        <v>0</v>
      </c>
      <c r="CB229" s="1">
        <v>0</v>
      </c>
      <c r="CC229">
        <v>1</v>
      </c>
      <c r="CD229">
        <v>2</v>
      </c>
      <c r="CE229" s="1">
        <v>0</v>
      </c>
    </row>
    <row r="230" spans="1:83" x14ac:dyDescent="0.3">
      <c r="A230" s="5"/>
      <c r="B230" t="s">
        <v>165</v>
      </c>
      <c r="C230" s="2" t="s">
        <v>85</v>
      </c>
      <c r="D230">
        <v>39</v>
      </c>
      <c r="E230">
        <v>0</v>
      </c>
      <c r="F230">
        <v>0</v>
      </c>
      <c r="G230" s="1">
        <v>0</v>
      </c>
      <c r="H230">
        <v>0</v>
      </c>
      <c r="I230" s="1">
        <v>0</v>
      </c>
      <c r="J230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>
        <v>4</v>
      </c>
      <c r="AC230">
        <v>11</v>
      </c>
      <c r="AD230" s="1">
        <v>0</v>
      </c>
      <c r="AE230" s="1">
        <v>0</v>
      </c>
      <c r="AF230" s="1">
        <v>0</v>
      </c>
      <c r="AG230" s="1">
        <v>0</v>
      </c>
      <c r="AH230">
        <v>1</v>
      </c>
      <c r="AI230" s="1">
        <v>0</v>
      </c>
      <c r="AJ230">
        <v>7</v>
      </c>
      <c r="AK230">
        <v>10</v>
      </c>
      <c r="AL230">
        <v>1</v>
      </c>
      <c r="AM230">
        <v>3</v>
      </c>
      <c r="AN230">
        <v>0</v>
      </c>
      <c r="AO230" s="1">
        <v>0</v>
      </c>
      <c r="AP230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>
        <v>1</v>
      </c>
      <c r="BY230" s="1">
        <v>0</v>
      </c>
      <c r="BZ230" s="1">
        <v>0</v>
      </c>
      <c r="CA230" s="1">
        <v>0</v>
      </c>
      <c r="CB230" s="1">
        <v>0</v>
      </c>
      <c r="CC230">
        <v>1</v>
      </c>
      <c r="CD230" s="1">
        <v>0</v>
      </c>
      <c r="CE230" s="1">
        <v>0</v>
      </c>
    </row>
    <row r="231" spans="1:83" x14ac:dyDescent="0.3">
      <c r="A231" s="5"/>
      <c r="B231" t="s">
        <v>165</v>
      </c>
      <c r="C231" s="2" t="s">
        <v>86</v>
      </c>
      <c r="D231">
        <v>68</v>
      </c>
      <c r="E231">
        <v>0</v>
      </c>
      <c r="F231">
        <v>0</v>
      </c>
      <c r="G231" s="1">
        <v>0</v>
      </c>
      <c r="H23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>
        <v>0</v>
      </c>
      <c r="AI231" s="1">
        <v>0</v>
      </c>
      <c r="AJ231">
        <v>16</v>
      </c>
      <c r="AK231">
        <v>44</v>
      </c>
      <c r="AL231">
        <v>1</v>
      </c>
      <c r="AM231">
        <v>1</v>
      </c>
      <c r="AN231">
        <v>0</v>
      </c>
      <c r="AO231" s="1">
        <v>0</v>
      </c>
      <c r="AP23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>
        <v>1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>
        <v>2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>
        <v>2</v>
      </c>
      <c r="CE231" s="1">
        <v>0</v>
      </c>
    </row>
    <row r="232" spans="1:83" x14ac:dyDescent="0.3">
      <c r="A232" s="5"/>
      <c r="B232" t="s">
        <v>166</v>
      </c>
      <c r="C232" s="2" t="s">
        <v>82</v>
      </c>
      <c r="D232">
        <v>87</v>
      </c>
      <c r="E232">
        <v>0</v>
      </c>
      <c r="F232">
        <v>0</v>
      </c>
      <c r="G232" s="1">
        <v>0</v>
      </c>
      <c r="H232">
        <v>2</v>
      </c>
      <c r="I232" s="1">
        <v>0</v>
      </c>
      <c r="J232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>
        <v>12</v>
      </c>
      <c r="R232" s="1">
        <v>0</v>
      </c>
      <c r="S232" s="1">
        <v>0</v>
      </c>
      <c r="T232" s="1">
        <v>0</v>
      </c>
      <c r="U232" s="1">
        <v>0</v>
      </c>
      <c r="V232">
        <v>3</v>
      </c>
      <c r="W232">
        <v>1</v>
      </c>
      <c r="X232" s="1">
        <v>0</v>
      </c>
      <c r="Y232">
        <v>3</v>
      </c>
      <c r="Z232" s="1">
        <v>0</v>
      </c>
      <c r="AA232" s="1">
        <v>0</v>
      </c>
      <c r="AB232">
        <v>2</v>
      </c>
      <c r="AC232">
        <v>4</v>
      </c>
      <c r="AD232" s="1">
        <v>0</v>
      </c>
      <c r="AE232">
        <v>1</v>
      </c>
      <c r="AF232">
        <v>3</v>
      </c>
      <c r="AG232" s="1">
        <v>0</v>
      </c>
      <c r="AH232">
        <v>10</v>
      </c>
      <c r="AI232" s="1">
        <v>0</v>
      </c>
      <c r="AJ232">
        <v>17</v>
      </c>
      <c r="AK232" s="1">
        <v>0</v>
      </c>
      <c r="AL232">
        <v>2</v>
      </c>
      <c r="AM232">
        <v>9</v>
      </c>
      <c r="AN232">
        <v>0</v>
      </c>
      <c r="AO232" s="1">
        <v>0</v>
      </c>
      <c r="AP232">
        <v>1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>
        <v>1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>
        <v>1</v>
      </c>
      <c r="BX232">
        <v>9</v>
      </c>
      <c r="BY232" s="1">
        <v>0</v>
      </c>
      <c r="BZ232" s="1">
        <v>0</v>
      </c>
      <c r="CA232" s="1">
        <v>0</v>
      </c>
      <c r="CB232" s="1">
        <v>0</v>
      </c>
      <c r="CC232">
        <v>1</v>
      </c>
      <c r="CD232">
        <v>5</v>
      </c>
      <c r="CE232" s="1">
        <v>0</v>
      </c>
    </row>
    <row r="233" spans="1:83" x14ac:dyDescent="0.3">
      <c r="A233" s="5"/>
      <c r="B233" t="s">
        <v>166</v>
      </c>
      <c r="C233" s="2" t="s">
        <v>85</v>
      </c>
      <c r="D233">
        <v>39</v>
      </c>
      <c r="E233">
        <v>0</v>
      </c>
      <c r="F233">
        <v>0</v>
      </c>
      <c r="G233" s="1">
        <v>0</v>
      </c>
      <c r="H233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>
        <v>2</v>
      </c>
      <c r="R233" s="1">
        <v>0</v>
      </c>
      <c r="S233" s="1">
        <v>0</v>
      </c>
      <c r="T233" s="1">
        <v>0</v>
      </c>
      <c r="U233" s="1">
        <v>0</v>
      </c>
      <c r="V233">
        <v>3</v>
      </c>
      <c r="W233">
        <v>1</v>
      </c>
      <c r="X233" s="1">
        <v>0</v>
      </c>
      <c r="Y233">
        <v>3</v>
      </c>
      <c r="Z233" s="1">
        <v>0</v>
      </c>
      <c r="AA233" s="1">
        <v>0</v>
      </c>
      <c r="AB233">
        <v>2</v>
      </c>
      <c r="AC233">
        <v>4</v>
      </c>
      <c r="AD233" s="1">
        <v>0</v>
      </c>
      <c r="AE233">
        <v>1</v>
      </c>
      <c r="AF233">
        <v>1</v>
      </c>
      <c r="AG233" s="1">
        <v>0</v>
      </c>
      <c r="AH233">
        <v>5</v>
      </c>
      <c r="AI233" s="1">
        <v>0</v>
      </c>
      <c r="AJ233">
        <v>6</v>
      </c>
      <c r="AK233" s="1">
        <v>0</v>
      </c>
      <c r="AL233">
        <v>2</v>
      </c>
      <c r="AM233">
        <v>3</v>
      </c>
      <c r="AN233">
        <v>0</v>
      </c>
      <c r="AO233" s="1">
        <v>0</v>
      </c>
      <c r="AP233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>
        <v>1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>
        <v>2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>
        <v>2</v>
      </c>
      <c r="CE233" s="1">
        <v>0</v>
      </c>
    </row>
    <row r="234" spans="1:83" x14ac:dyDescent="0.3">
      <c r="A234" s="5"/>
      <c r="B234" t="s">
        <v>166</v>
      </c>
      <c r="C234" s="2" t="s">
        <v>86</v>
      </c>
      <c r="D234">
        <v>48</v>
      </c>
      <c r="E234">
        <v>0</v>
      </c>
      <c r="F234">
        <v>0</v>
      </c>
      <c r="G234" s="1">
        <v>0</v>
      </c>
      <c r="H234">
        <v>1</v>
      </c>
      <c r="I234" s="1">
        <v>0</v>
      </c>
      <c r="J234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>
        <v>10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>
        <v>2</v>
      </c>
      <c r="AG234" s="1">
        <v>0</v>
      </c>
      <c r="AH234">
        <v>5</v>
      </c>
      <c r="AI234" s="1">
        <v>0</v>
      </c>
      <c r="AJ234">
        <v>11</v>
      </c>
      <c r="AK234" s="1">
        <v>0</v>
      </c>
      <c r="AL234">
        <v>0</v>
      </c>
      <c r="AM234">
        <v>6</v>
      </c>
      <c r="AN234">
        <v>0</v>
      </c>
      <c r="AO234" s="1">
        <v>0</v>
      </c>
      <c r="AP234">
        <v>1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>
        <v>1</v>
      </c>
      <c r="BX234">
        <v>7</v>
      </c>
      <c r="BY234" s="1">
        <v>0</v>
      </c>
      <c r="BZ234" s="1">
        <v>0</v>
      </c>
      <c r="CA234" s="1">
        <v>0</v>
      </c>
      <c r="CB234" s="1">
        <v>0</v>
      </c>
      <c r="CC234">
        <v>1</v>
      </c>
      <c r="CD234">
        <v>3</v>
      </c>
      <c r="CE234" s="1">
        <v>0</v>
      </c>
    </row>
    <row r="235" spans="1:83" x14ac:dyDescent="0.3">
      <c r="A235" s="5"/>
      <c r="B235" t="s">
        <v>167</v>
      </c>
      <c r="C235" s="2" t="s">
        <v>82</v>
      </c>
      <c r="D235">
        <v>61</v>
      </c>
      <c r="E235">
        <v>1</v>
      </c>
      <c r="F235">
        <v>0</v>
      </c>
      <c r="G235" s="1">
        <v>0</v>
      </c>
      <c r="H235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>
        <v>1</v>
      </c>
      <c r="W235" s="1">
        <v>0</v>
      </c>
      <c r="X235" s="1">
        <v>0</v>
      </c>
      <c r="Y235">
        <v>1</v>
      </c>
      <c r="Z235" s="1">
        <v>0</v>
      </c>
      <c r="AA235" s="1">
        <v>0</v>
      </c>
      <c r="AB235" s="1">
        <v>0</v>
      </c>
      <c r="AC235">
        <v>2</v>
      </c>
      <c r="AD235" s="1">
        <v>0</v>
      </c>
      <c r="AE235" s="1">
        <v>0</v>
      </c>
      <c r="AF235">
        <v>47</v>
      </c>
      <c r="AG235" s="1">
        <v>0</v>
      </c>
      <c r="AH235">
        <v>0</v>
      </c>
      <c r="AI235" s="1">
        <v>0</v>
      </c>
      <c r="AJ235">
        <v>5</v>
      </c>
      <c r="AK235" s="1">
        <v>0</v>
      </c>
      <c r="AL235">
        <v>0</v>
      </c>
      <c r="AM235">
        <v>3</v>
      </c>
      <c r="AN235">
        <v>0</v>
      </c>
      <c r="AO235" s="1">
        <v>0</v>
      </c>
      <c r="AP235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>
        <v>1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</row>
    <row r="236" spans="1:83" x14ac:dyDescent="0.3">
      <c r="A236" s="5"/>
      <c r="B236" t="s">
        <v>167</v>
      </c>
      <c r="C236" s="2" t="s">
        <v>85</v>
      </c>
      <c r="D236">
        <v>29</v>
      </c>
      <c r="E236">
        <v>1</v>
      </c>
      <c r="F236">
        <v>0</v>
      </c>
      <c r="G236" s="1">
        <v>0</v>
      </c>
      <c r="H236">
        <v>0</v>
      </c>
      <c r="I236" s="1">
        <v>0</v>
      </c>
      <c r="J236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>
        <v>2</v>
      </c>
      <c r="AD236" s="1">
        <v>0</v>
      </c>
      <c r="AE236" s="1">
        <v>0</v>
      </c>
      <c r="AF236">
        <v>20</v>
      </c>
      <c r="AG236" s="1">
        <v>0</v>
      </c>
      <c r="AH236">
        <v>0</v>
      </c>
      <c r="AI236" s="1">
        <v>0</v>
      </c>
      <c r="AJ236">
        <v>3</v>
      </c>
      <c r="AK236" s="1">
        <v>0</v>
      </c>
      <c r="AL236">
        <v>0</v>
      </c>
      <c r="AM236">
        <v>2</v>
      </c>
      <c r="AN236">
        <v>0</v>
      </c>
      <c r="AO236" s="1">
        <v>0</v>
      </c>
      <c r="AP236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>
        <v>1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</row>
    <row r="237" spans="1:83" x14ac:dyDescent="0.3">
      <c r="A237" s="5"/>
      <c r="B237" t="s">
        <v>167</v>
      </c>
      <c r="C237" s="2" t="s">
        <v>86</v>
      </c>
      <c r="D237">
        <v>32</v>
      </c>
      <c r="E237">
        <v>0</v>
      </c>
      <c r="F237">
        <v>0</v>
      </c>
      <c r="G237" s="1">
        <v>0</v>
      </c>
      <c r="H237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>
        <v>1</v>
      </c>
      <c r="W237" s="1">
        <v>0</v>
      </c>
      <c r="X237" s="1">
        <v>0</v>
      </c>
      <c r="Y237">
        <v>1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>
        <v>27</v>
      </c>
      <c r="AG237" s="1">
        <v>0</v>
      </c>
      <c r="AH237">
        <v>0</v>
      </c>
      <c r="AI237" s="1">
        <v>0</v>
      </c>
      <c r="AJ237">
        <v>2</v>
      </c>
      <c r="AK237" s="1">
        <v>0</v>
      </c>
      <c r="AL237">
        <v>0</v>
      </c>
      <c r="AM237">
        <v>1</v>
      </c>
      <c r="AN237">
        <v>0</v>
      </c>
      <c r="AO237" s="1">
        <v>0</v>
      </c>
      <c r="AP237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</row>
    <row r="238" spans="1:83" x14ac:dyDescent="0.3">
      <c r="A238" s="5"/>
      <c r="B238" t="s">
        <v>168</v>
      </c>
      <c r="C238" s="2" t="s">
        <v>82</v>
      </c>
      <c r="D238">
        <v>55</v>
      </c>
      <c r="E238">
        <v>0</v>
      </c>
      <c r="F238">
        <v>0</v>
      </c>
      <c r="G238" s="1">
        <v>0</v>
      </c>
      <c r="H238">
        <v>1</v>
      </c>
      <c r="I238" s="1">
        <v>0</v>
      </c>
      <c r="J238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>
        <v>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>
        <v>2</v>
      </c>
      <c r="X238" s="1">
        <v>0</v>
      </c>
      <c r="Y238">
        <v>14</v>
      </c>
      <c r="Z238" s="1">
        <v>0</v>
      </c>
      <c r="AA238" s="1">
        <v>0</v>
      </c>
      <c r="AB238">
        <v>3</v>
      </c>
      <c r="AC238">
        <v>3</v>
      </c>
      <c r="AD238" s="1">
        <v>0</v>
      </c>
      <c r="AE238" s="1">
        <v>0</v>
      </c>
      <c r="AF238" s="1">
        <v>0</v>
      </c>
      <c r="AG238" s="1">
        <v>0</v>
      </c>
      <c r="AH238">
        <v>1</v>
      </c>
      <c r="AI238" s="1">
        <v>0</v>
      </c>
      <c r="AJ238">
        <v>9</v>
      </c>
      <c r="AK238" s="1">
        <v>0</v>
      </c>
      <c r="AL238">
        <v>1</v>
      </c>
      <c r="AM238">
        <v>3</v>
      </c>
      <c r="AN238">
        <v>0</v>
      </c>
      <c r="AO238" s="1">
        <v>0</v>
      </c>
      <c r="AP238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>
        <v>12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>
        <v>4</v>
      </c>
      <c r="CE238" s="1">
        <v>0</v>
      </c>
    </row>
    <row r="239" spans="1:83" x14ac:dyDescent="0.3">
      <c r="A239" s="5"/>
      <c r="B239" t="s">
        <v>168</v>
      </c>
      <c r="C239" s="2" t="s">
        <v>85</v>
      </c>
      <c r="D239">
        <v>35</v>
      </c>
      <c r="E239">
        <v>0</v>
      </c>
      <c r="F239">
        <v>0</v>
      </c>
      <c r="G239" s="1">
        <v>0</v>
      </c>
      <c r="H239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>
        <v>1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>
        <v>2</v>
      </c>
      <c r="X239" s="1">
        <v>0</v>
      </c>
      <c r="Y239">
        <v>13</v>
      </c>
      <c r="Z239" s="1">
        <v>0</v>
      </c>
      <c r="AA239" s="1">
        <v>0</v>
      </c>
      <c r="AB239">
        <v>3</v>
      </c>
      <c r="AC239">
        <v>3</v>
      </c>
      <c r="AD239" s="1">
        <v>0</v>
      </c>
      <c r="AE239" s="1">
        <v>0</v>
      </c>
      <c r="AF239" s="1">
        <v>0</v>
      </c>
      <c r="AG239" s="1">
        <v>0</v>
      </c>
      <c r="AH239">
        <v>0</v>
      </c>
      <c r="AI239" s="1">
        <v>0</v>
      </c>
      <c r="AJ239">
        <v>5</v>
      </c>
      <c r="AK239" s="1">
        <v>0</v>
      </c>
      <c r="AL239">
        <v>1</v>
      </c>
      <c r="AM239">
        <v>2</v>
      </c>
      <c r="AN239">
        <v>0</v>
      </c>
      <c r="AO239" s="1">
        <v>0</v>
      </c>
      <c r="AP239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>
        <v>4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>
        <v>1</v>
      </c>
      <c r="CE239" s="1">
        <v>0</v>
      </c>
    </row>
    <row r="240" spans="1:83" x14ac:dyDescent="0.3">
      <c r="A240" s="5"/>
      <c r="B240" t="s">
        <v>168</v>
      </c>
      <c r="C240" s="2" t="s">
        <v>86</v>
      </c>
      <c r="D240">
        <v>20</v>
      </c>
      <c r="E240">
        <v>0</v>
      </c>
      <c r="F240">
        <v>0</v>
      </c>
      <c r="G240" s="1">
        <v>0</v>
      </c>
      <c r="H240">
        <v>1</v>
      </c>
      <c r="I240" s="1">
        <v>0</v>
      </c>
      <c r="J240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>
        <v>1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>
        <v>1</v>
      </c>
      <c r="AI240" s="1">
        <v>0</v>
      </c>
      <c r="AJ240">
        <v>4</v>
      </c>
      <c r="AK240" s="1">
        <v>0</v>
      </c>
      <c r="AL240">
        <v>0</v>
      </c>
      <c r="AM240">
        <v>1</v>
      </c>
      <c r="AN240">
        <v>0</v>
      </c>
      <c r="AO240" s="1">
        <v>0</v>
      </c>
      <c r="AP240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>
        <v>8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>
        <v>3</v>
      </c>
      <c r="CE240" s="1">
        <v>0</v>
      </c>
    </row>
    <row r="241" spans="1:83" x14ac:dyDescent="0.3">
      <c r="A241" s="5"/>
      <c r="B241" t="s">
        <v>169</v>
      </c>
      <c r="C241" s="2" t="s">
        <v>82</v>
      </c>
      <c r="D241">
        <v>49</v>
      </c>
      <c r="E241">
        <v>0</v>
      </c>
      <c r="F241">
        <v>0</v>
      </c>
      <c r="G241" s="1">
        <v>0</v>
      </c>
      <c r="H241">
        <v>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>
        <v>4</v>
      </c>
      <c r="Y241">
        <v>4</v>
      </c>
      <c r="Z241" s="1">
        <v>0</v>
      </c>
      <c r="AA241" s="1">
        <v>0</v>
      </c>
      <c r="AB241">
        <v>1</v>
      </c>
      <c r="AC241">
        <v>3</v>
      </c>
      <c r="AD241" s="1">
        <v>0</v>
      </c>
      <c r="AE241" s="1">
        <v>0</v>
      </c>
      <c r="AF241" s="1">
        <v>0</v>
      </c>
      <c r="AG241" s="1">
        <v>0</v>
      </c>
      <c r="AH241">
        <v>3</v>
      </c>
      <c r="AI241" s="1">
        <v>0</v>
      </c>
      <c r="AJ241">
        <v>9</v>
      </c>
      <c r="AK241">
        <v>3</v>
      </c>
      <c r="AL241">
        <v>1</v>
      </c>
      <c r="AM241">
        <v>4</v>
      </c>
      <c r="AN241">
        <v>0</v>
      </c>
      <c r="AO241" s="1">
        <v>0</v>
      </c>
      <c r="AP241">
        <v>2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>
        <v>7</v>
      </c>
      <c r="BW241">
        <v>3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>
        <v>3</v>
      </c>
      <c r="CE241" s="1">
        <v>0</v>
      </c>
    </row>
    <row r="242" spans="1:83" x14ac:dyDescent="0.3">
      <c r="A242" s="5"/>
      <c r="B242" t="s">
        <v>169</v>
      </c>
      <c r="C242" s="2" t="s">
        <v>85</v>
      </c>
      <c r="D242">
        <v>25</v>
      </c>
      <c r="E242">
        <v>0</v>
      </c>
      <c r="F242">
        <v>0</v>
      </c>
      <c r="G242" s="1">
        <v>0</v>
      </c>
      <c r="H242">
        <v>0</v>
      </c>
      <c r="I242" s="1">
        <v>0</v>
      </c>
      <c r="J242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>
        <v>3</v>
      </c>
      <c r="Y242">
        <v>3</v>
      </c>
      <c r="Z242" s="1">
        <v>0</v>
      </c>
      <c r="AA242" s="1">
        <v>0</v>
      </c>
      <c r="AB242">
        <v>1</v>
      </c>
      <c r="AC242">
        <v>3</v>
      </c>
      <c r="AD242" s="1">
        <v>0</v>
      </c>
      <c r="AE242" s="1">
        <v>0</v>
      </c>
      <c r="AF242" s="1">
        <v>0</v>
      </c>
      <c r="AG242" s="1">
        <v>0</v>
      </c>
      <c r="AH242">
        <v>2</v>
      </c>
      <c r="AI242" s="1">
        <v>0</v>
      </c>
      <c r="AJ242">
        <v>2</v>
      </c>
      <c r="AK242">
        <v>2</v>
      </c>
      <c r="AL242">
        <v>1</v>
      </c>
      <c r="AM242">
        <v>1</v>
      </c>
      <c r="AN242">
        <v>0</v>
      </c>
      <c r="AO242" s="1">
        <v>0</v>
      </c>
      <c r="AP242">
        <v>1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>
        <v>3</v>
      </c>
      <c r="BW242">
        <v>2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>
        <v>1</v>
      </c>
      <c r="CE242" s="1">
        <v>0</v>
      </c>
    </row>
    <row r="243" spans="1:83" x14ac:dyDescent="0.3">
      <c r="A243" s="5"/>
      <c r="B243" t="s">
        <v>169</v>
      </c>
      <c r="C243" s="2" t="s">
        <v>86</v>
      </c>
      <c r="D243">
        <v>24</v>
      </c>
      <c r="E243">
        <v>0</v>
      </c>
      <c r="F243">
        <v>0</v>
      </c>
      <c r="G243" s="1">
        <v>0</v>
      </c>
      <c r="H243">
        <v>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>
        <v>1</v>
      </c>
      <c r="Y243">
        <v>1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>
        <v>1</v>
      </c>
      <c r="AI243" s="1">
        <v>0</v>
      </c>
      <c r="AJ243">
        <v>7</v>
      </c>
      <c r="AK243">
        <v>1</v>
      </c>
      <c r="AL243">
        <v>0</v>
      </c>
      <c r="AM243">
        <v>3</v>
      </c>
      <c r="AN243">
        <v>0</v>
      </c>
      <c r="AO243" s="1">
        <v>0</v>
      </c>
      <c r="AP243">
        <v>1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>
        <v>4</v>
      </c>
      <c r="BW243">
        <v>1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>
        <v>2</v>
      </c>
      <c r="CE243" s="1">
        <v>0</v>
      </c>
    </row>
    <row r="244" spans="1:83" x14ac:dyDescent="0.3">
      <c r="A244" s="5"/>
      <c r="B244" t="s">
        <v>170</v>
      </c>
      <c r="C244" s="2" t="s">
        <v>82</v>
      </c>
      <c r="D244">
        <v>37</v>
      </c>
      <c r="E244">
        <v>0</v>
      </c>
      <c r="F244">
        <v>0</v>
      </c>
      <c r="G244" s="1">
        <v>0</v>
      </c>
      <c r="H244">
        <v>0</v>
      </c>
      <c r="I244" s="1">
        <v>0</v>
      </c>
      <c r="J244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>
        <v>1</v>
      </c>
      <c r="AD244" s="1">
        <v>0</v>
      </c>
      <c r="AE244" s="1">
        <v>0</v>
      </c>
      <c r="AF244" s="1">
        <v>0</v>
      </c>
      <c r="AG244" s="1">
        <v>0</v>
      </c>
      <c r="AH244">
        <v>1</v>
      </c>
      <c r="AI244" s="1">
        <v>0</v>
      </c>
      <c r="AJ244">
        <v>9</v>
      </c>
      <c r="AK244">
        <v>16</v>
      </c>
      <c r="AL244">
        <v>0</v>
      </c>
      <c r="AM244">
        <v>1</v>
      </c>
      <c r="AN244">
        <v>0</v>
      </c>
      <c r="AO244" s="1">
        <v>0</v>
      </c>
      <c r="AP244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>
        <v>1</v>
      </c>
      <c r="BY244" s="1">
        <v>0</v>
      </c>
      <c r="BZ244" s="1">
        <v>0</v>
      </c>
      <c r="CA244" s="1">
        <v>0</v>
      </c>
      <c r="CB244" s="1">
        <v>0</v>
      </c>
      <c r="CC244">
        <v>8</v>
      </c>
      <c r="CD244" s="1">
        <v>0</v>
      </c>
      <c r="CE244" s="1">
        <v>0</v>
      </c>
    </row>
    <row r="245" spans="1:83" x14ac:dyDescent="0.3">
      <c r="A245" s="5"/>
      <c r="B245" t="s">
        <v>170</v>
      </c>
      <c r="C245" s="2" t="s">
        <v>85</v>
      </c>
      <c r="D245">
        <v>15</v>
      </c>
      <c r="E245">
        <v>0</v>
      </c>
      <c r="F245">
        <v>0</v>
      </c>
      <c r="G245" s="1">
        <v>0</v>
      </c>
      <c r="H245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>
        <v>1</v>
      </c>
      <c r="AD245" s="1">
        <v>0</v>
      </c>
      <c r="AE245" s="1">
        <v>0</v>
      </c>
      <c r="AF245" s="1">
        <v>0</v>
      </c>
      <c r="AG245" s="1">
        <v>0</v>
      </c>
      <c r="AH245">
        <v>1</v>
      </c>
      <c r="AI245" s="1">
        <v>0</v>
      </c>
      <c r="AJ245">
        <v>3</v>
      </c>
      <c r="AK245">
        <v>8</v>
      </c>
      <c r="AL245">
        <v>0</v>
      </c>
      <c r="AM245">
        <v>0</v>
      </c>
      <c r="AN245">
        <v>0</v>
      </c>
      <c r="AO245" s="1">
        <v>0</v>
      </c>
      <c r="AP245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>
        <v>2</v>
      </c>
      <c r="CD245" s="1">
        <v>0</v>
      </c>
      <c r="CE245" s="1">
        <v>0</v>
      </c>
    </row>
    <row r="246" spans="1:83" x14ac:dyDescent="0.3">
      <c r="A246" s="5"/>
      <c r="B246" t="s">
        <v>170</v>
      </c>
      <c r="C246" s="2" t="s">
        <v>86</v>
      </c>
      <c r="D246">
        <v>22</v>
      </c>
      <c r="E246">
        <v>0</v>
      </c>
      <c r="F246">
        <v>0</v>
      </c>
      <c r="G246" s="1">
        <v>0</v>
      </c>
      <c r="H246">
        <v>0</v>
      </c>
      <c r="I246" s="1">
        <v>0</v>
      </c>
      <c r="J246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>
        <v>0</v>
      </c>
      <c r="AI246" s="1">
        <v>0</v>
      </c>
      <c r="AJ246">
        <v>6</v>
      </c>
      <c r="AK246">
        <v>8</v>
      </c>
      <c r="AL246">
        <v>0</v>
      </c>
      <c r="AM246">
        <v>1</v>
      </c>
      <c r="AN246">
        <v>0</v>
      </c>
      <c r="AO246" s="1">
        <v>0</v>
      </c>
      <c r="AP246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>
        <v>1</v>
      </c>
      <c r="BY246" s="1">
        <v>0</v>
      </c>
      <c r="BZ246" s="1">
        <v>0</v>
      </c>
      <c r="CA246" s="1">
        <v>0</v>
      </c>
      <c r="CB246" s="1">
        <v>0</v>
      </c>
      <c r="CC246">
        <v>6</v>
      </c>
      <c r="CD246" s="1">
        <v>0</v>
      </c>
      <c r="CE246" s="1">
        <v>0</v>
      </c>
    </row>
    <row r="247" spans="1:83" x14ac:dyDescent="0.3">
      <c r="A247" s="5"/>
      <c r="B247" t="s">
        <v>171</v>
      </c>
      <c r="C247" s="2" t="s">
        <v>82</v>
      </c>
      <c r="D247">
        <v>35</v>
      </c>
      <c r="E247">
        <v>0</v>
      </c>
      <c r="F247">
        <v>0</v>
      </c>
      <c r="G247" s="1">
        <v>0</v>
      </c>
      <c r="H247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>
        <v>1</v>
      </c>
      <c r="R247" s="1">
        <v>0</v>
      </c>
      <c r="S247" s="1">
        <v>0</v>
      </c>
      <c r="T247" s="1">
        <v>0</v>
      </c>
      <c r="U247" s="1">
        <v>0</v>
      </c>
      <c r="V247">
        <v>1</v>
      </c>
      <c r="W247" s="1">
        <v>0</v>
      </c>
      <c r="X247" s="1">
        <v>0</v>
      </c>
      <c r="Y247">
        <v>4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>
        <v>1</v>
      </c>
      <c r="AF247" s="1">
        <v>0</v>
      </c>
      <c r="AG247" s="1">
        <v>0</v>
      </c>
      <c r="AH247">
        <v>2</v>
      </c>
      <c r="AI247" s="1">
        <v>0</v>
      </c>
      <c r="AJ247">
        <v>3</v>
      </c>
      <c r="AK247" s="1">
        <v>0</v>
      </c>
      <c r="AL247">
        <v>0</v>
      </c>
      <c r="AM247">
        <v>9</v>
      </c>
      <c r="AN247">
        <v>0</v>
      </c>
      <c r="AO247" s="1">
        <v>0</v>
      </c>
      <c r="AP247">
        <v>1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>
        <v>5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>
        <v>3</v>
      </c>
      <c r="BX247" s="1">
        <v>0</v>
      </c>
      <c r="BY247">
        <v>1</v>
      </c>
      <c r="BZ247" s="1">
        <v>0</v>
      </c>
      <c r="CA247" s="1">
        <v>0</v>
      </c>
      <c r="CB247" s="1">
        <v>0</v>
      </c>
      <c r="CC247" s="1">
        <v>0</v>
      </c>
      <c r="CD247">
        <v>4</v>
      </c>
      <c r="CE247" s="1">
        <v>0</v>
      </c>
    </row>
    <row r="248" spans="1:83" x14ac:dyDescent="0.3">
      <c r="A248" s="5"/>
      <c r="B248" t="s">
        <v>171</v>
      </c>
      <c r="C248" s="2" t="s">
        <v>85</v>
      </c>
      <c r="D248">
        <v>25</v>
      </c>
      <c r="E248">
        <v>0</v>
      </c>
      <c r="F248">
        <v>0</v>
      </c>
      <c r="G248" s="1">
        <v>0</v>
      </c>
      <c r="H248">
        <v>0</v>
      </c>
      <c r="I248" s="1">
        <v>0</v>
      </c>
      <c r="J248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>
        <v>1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>
        <v>3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>
        <v>1</v>
      </c>
      <c r="AF248" s="1">
        <v>0</v>
      </c>
      <c r="AG248" s="1">
        <v>0</v>
      </c>
      <c r="AH248">
        <v>1</v>
      </c>
      <c r="AI248" s="1">
        <v>0</v>
      </c>
      <c r="AJ248">
        <v>1</v>
      </c>
      <c r="AK248" s="1">
        <v>0</v>
      </c>
      <c r="AL248">
        <v>0</v>
      </c>
      <c r="AM248">
        <v>8</v>
      </c>
      <c r="AN248">
        <v>0</v>
      </c>
      <c r="AO248" s="1">
        <v>0</v>
      </c>
      <c r="AP248">
        <v>1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>
        <v>4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>
        <v>1</v>
      </c>
      <c r="BX248" s="1">
        <v>0</v>
      </c>
      <c r="BY248">
        <v>1</v>
      </c>
      <c r="BZ248" s="1">
        <v>0</v>
      </c>
      <c r="CA248" s="1">
        <v>0</v>
      </c>
      <c r="CB248" s="1">
        <v>0</v>
      </c>
      <c r="CC248" s="1">
        <v>0</v>
      </c>
      <c r="CD248">
        <v>3</v>
      </c>
      <c r="CE248" s="1">
        <v>0</v>
      </c>
    </row>
    <row r="249" spans="1:83" x14ac:dyDescent="0.3">
      <c r="A249" s="5"/>
      <c r="B249" t="s">
        <v>171</v>
      </c>
      <c r="C249" s="2" t="s">
        <v>86</v>
      </c>
      <c r="D249">
        <v>10</v>
      </c>
      <c r="E249">
        <v>0</v>
      </c>
      <c r="F249">
        <v>0</v>
      </c>
      <c r="G249" s="1">
        <v>0</v>
      </c>
      <c r="H249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>
        <v>1</v>
      </c>
      <c r="W249" s="1">
        <v>0</v>
      </c>
      <c r="X249" s="1">
        <v>0</v>
      </c>
      <c r="Y249">
        <v>1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>
        <v>1</v>
      </c>
      <c r="AI249" s="1">
        <v>0</v>
      </c>
      <c r="AJ249">
        <v>2</v>
      </c>
      <c r="AK249" s="1">
        <v>0</v>
      </c>
      <c r="AL249">
        <v>0</v>
      </c>
      <c r="AM249">
        <v>1</v>
      </c>
      <c r="AN249">
        <v>0</v>
      </c>
      <c r="AO249" s="1">
        <v>0</v>
      </c>
      <c r="AP249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>
        <v>1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>
        <v>2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>
        <v>1</v>
      </c>
      <c r="CE249" s="1">
        <v>0</v>
      </c>
    </row>
    <row r="250" spans="1:83" x14ac:dyDescent="0.3">
      <c r="A250" s="5"/>
      <c r="B250" t="s">
        <v>172</v>
      </c>
      <c r="C250" s="2" t="s">
        <v>82</v>
      </c>
      <c r="D250">
        <v>34</v>
      </c>
      <c r="E250">
        <v>0</v>
      </c>
      <c r="F250">
        <v>0</v>
      </c>
      <c r="G250" s="1">
        <v>0</v>
      </c>
      <c r="H250">
        <v>0</v>
      </c>
      <c r="I250" s="1">
        <v>0</v>
      </c>
      <c r="J250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>
        <v>2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>
        <v>1</v>
      </c>
      <c r="X250" s="1">
        <v>0</v>
      </c>
      <c r="Y250">
        <v>1</v>
      </c>
      <c r="Z250" s="1">
        <v>0</v>
      </c>
      <c r="AA250" s="1">
        <v>0</v>
      </c>
      <c r="AB250" s="1">
        <v>0</v>
      </c>
      <c r="AC250">
        <v>23</v>
      </c>
      <c r="AD250" s="1">
        <v>0</v>
      </c>
      <c r="AE250" s="1">
        <v>0</v>
      </c>
      <c r="AF250" s="1">
        <v>0</v>
      </c>
      <c r="AG250" s="1">
        <v>0</v>
      </c>
      <c r="AH250">
        <v>3</v>
      </c>
      <c r="AI250" s="1">
        <v>0</v>
      </c>
      <c r="AJ250" s="1">
        <v>0</v>
      </c>
      <c r="AK250" s="1">
        <v>0</v>
      </c>
      <c r="AL250" s="1">
        <v>0</v>
      </c>
      <c r="AM250">
        <v>2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>
        <v>2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</row>
    <row r="251" spans="1:83" x14ac:dyDescent="0.3">
      <c r="A251" s="5"/>
      <c r="B251" t="s">
        <v>172</v>
      </c>
      <c r="C251" s="2" t="s">
        <v>85</v>
      </c>
      <c r="D251">
        <v>30</v>
      </c>
      <c r="E251">
        <v>0</v>
      </c>
      <c r="F251">
        <v>0</v>
      </c>
      <c r="G251" s="1">
        <v>0</v>
      </c>
      <c r="H25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>
        <v>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>
        <v>1</v>
      </c>
      <c r="X251" s="1">
        <v>0</v>
      </c>
      <c r="Y251">
        <v>1</v>
      </c>
      <c r="Z251" s="1">
        <v>0</v>
      </c>
      <c r="AA251" s="1">
        <v>0</v>
      </c>
      <c r="AB251" s="1">
        <v>0</v>
      </c>
      <c r="AC251">
        <v>22</v>
      </c>
      <c r="AD251" s="1">
        <v>0</v>
      </c>
      <c r="AE251" s="1">
        <v>0</v>
      </c>
      <c r="AF251" s="1">
        <v>0</v>
      </c>
      <c r="AG251" s="1">
        <v>0</v>
      </c>
      <c r="AH251">
        <v>2</v>
      </c>
      <c r="AI251" s="1">
        <v>0</v>
      </c>
      <c r="AJ251" s="1">
        <v>0</v>
      </c>
      <c r="AK251" s="1">
        <v>0</v>
      </c>
      <c r="AL251" s="1">
        <v>0</v>
      </c>
      <c r="AM25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>
        <v>1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</row>
    <row r="252" spans="1:83" x14ac:dyDescent="0.3">
      <c r="A252" s="5"/>
      <c r="B252" t="s">
        <v>172</v>
      </c>
      <c r="C252" s="2" t="s">
        <v>86</v>
      </c>
      <c r="D252">
        <v>4</v>
      </c>
      <c r="E252">
        <v>0</v>
      </c>
      <c r="F252">
        <v>0</v>
      </c>
      <c r="G252" s="1">
        <v>0</v>
      </c>
      <c r="H252">
        <v>0</v>
      </c>
      <c r="I252" s="1">
        <v>0</v>
      </c>
      <c r="J252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>
        <v>1</v>
      </c>
      <c r="AD252" s="1">
        <v>0</v>
      </c>
      <c r="AE252" s="1">
        <v>0</v>
      </c>
      <c r="AF252" s="1">
        <v>0</v>
      </c>
      <c r="AG252" s="1">
        <v>0</v>
      </c>
      <c r="AH252">
        <v>1</v>
      </c>
      <c r="AI252" s="1">
        <v>0</v>
      </c>
      <c r="AJ252" s="1">
        <v>0</v>
      </c>
      <c r="AK252" s="1">
        <v>0</v>
      </c>
      <c r="AL252" s="1">
        <v>0</v>
      </c>
      <c r="AM252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>
        <v>1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</row>
    <row r="253" spans="1:83" x14ac:dyDescent="0.3">
      <c r="A253" s="5"/>
      <c r="B253" t="s">
        <v>173</v>
      </c>
      <c r="C253" s="2" t="s">
        <v>82</v>
      </c>
      <c r="D253">
        <v>32</v>
      </c>
      <c r="E253">
        <v>1</v>
      </c>
      <c r="F253">
        <v>0</v>
      </c>
      <c r="G253" s="1">
        <v>0</v>
      </c>
      <c r="H253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>
        <v>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>
        <v>2</v>
      </c>
      <c r="X253" s="1">
        <v>0</v>
      </c>
      <c r="Y253">
        <v>1</v>
      </c>
      <c r="Z253" s="1">
        <v>0</v>
      </c>
      <c r="AA253" s="1">
        <v>0</v>
      </c>
      <c r="AB253">
        <v>18</v>
      </c>
      <c r="AC253" s="1">
        <v>0</v>
      </c>
      <c r="AD253" s="1">
        <v>0</v>
      </c>
      <c r="AE253">
        <v>1</v>
      </c>
      <c r="AF253" s="1">
        <v>0</v>
      </c>
      <c r="AG253" s="1">
        <v>0</v>
      </c>
      <c r="AH253">
        <v>2</v>
      </c>
      <c r="AI253" s="1">
        <v>0</v>
      </c>
      <c r="AJ253">
        <v>2</v>
      </c>
      <c r="AK253" s="1">
        <v>0</v>
      </c>
      <c r="AL253" s="1">
        <v>0</v>
      </c>
      <c r="AM253">
        <v>2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</row>
    <row r="254" spans="1:83" x14ac:dyDescent="0.3">
      <c r="A254" s="5"/>
      <c r="B254" t="s">
        <v>173</v>
      </c>
      <c r="C254" s="2" t="s">
        <v>85</v>
      </c>
      <c r="D254">
        <v>26</v>
      </c>
      <c r="E254">
        <v>1</v>
      </c>
      <c r="F254">
        <v>0</v>
      </c>
      <c r="G254" s="1">
        <v>0</v>
      </c>
      <c r="H254">
        <v>1</v>
      </c>
      <c r="I254" s="1">
        <v>0</v>
      </c>
      <c r="J254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>
        <v>2</v>
      </c>
      <c r="X254" s="1">
        <v>0</v>
      </c>
      <c r="Y254">
        <v>1</v>
      </c>
      <c r="Z254" s="1">
        <v>0</v>
      </c>
      <c r="AA254" s="1">
        <v>0</v>
      </c>
      <c r="AB254">
        <v>17</v>
      </c>
      <c r="AC254" s="1">
        <v>0</v>
      </c>
      <c r="AD254" s="1">
        <v>0</v>
      </c>
      <c r="AE254">
        <v>1</v>
      </c>
      <c r="AF254" s="1">
        <v>0</v>
      </c>
      <c r="AG254" s="1">
        <v>0</v>
      </c>
      <c r="AH254">
        <v>2</v>
      </c>
      <c r="AI254" s="1">
        <v>0</v>
      </c>
      <c r="AJ254" s="1">
        <v>0</v>
      </c>
      <c r="AK254" s="1">
        <v>0</v>
      </c>
      <c r="AL254" s="1">
        <v>0</v>
      </c>
      <c r="AM254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</row>
    <row r="255" spans="1:83" x14ac:dyDescent="0.3">
      <c r="A255" s="5"/>
      <c r="B255" t="s">
        <v>173</v>
      </c>
      <c r="C255" s="2" t="s">
        <v>86</v>
      </c>
      <c r="D255">
        <v>6</v>
      </c>
      <c r="E255">
        <v>0</v>
      </c>
      <c r="F255">
        <v>0</v>
      </c>
      <c r="G255" s="1">
        <v>0</v>
      </c>
      <c r="H255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>
        <v>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>
        <v>0</v>
      </c>
      <c r="AI255" s="1">
        <v>0</v>
      </c>
      <c r="AJ255">
        <v>2</v>
      </c>
      <c r="AK255" s="1">
        <v>0</v>
      </c>
      <c r="AL255" s="1">
        <v>0</v>
      </c>
      <c r="AM255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</row>
    <row r="256" spans="1:83" x14ac:dyDescent="0.3">
      <c r="A256" s="5"/>
      <c r="B256" t="s">
        <v>174</v>
      </c>
      <c r="C256" s="2" t="s">
        <v>82</v>
      </c>
      <c r="D256">
        <v>31</v>
      </c>
      <c r="E256">
        <v>0</v>
      </c>
      <c r="F256">
        <v>0</v>
      </c>
      <c r="G256" s="1">
        <v>0</v>
      </c>
      <c r="H256">
        <v>2</v>
      </c>
      <c r="I256" s="1">
        <v>0</v>
      </c>
      <c r="J256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>
        <v>9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>
        <v>4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>
        <v>1</v>
      </c>
      <c r="AI256" s="1">
        <v>0</v>
      </c>
      <c r="AJ256">
        <v>3</v>
      </c>
      <c r="AK256" s="1">
        <v>0</v>
      </c>
      <c r="AL256" s="1">
        <v>0</v>
      </c>
      <c r="AM256">
        <v>4</v>
      </c>
      <c r="AN256" s="1">
        <v>0</v>
      </c>
      <c r="AO256" s="1">
        <v>0</v>
      </c>
      <c r="AP256">
        <v>1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>
        <v>4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>
        <v>3</v>
      </c>
      <c r="CE256" s="1">
        <v>0</v>
      </c>
    </row>
    <row r="257" spans="1:83" x14ac:dyDescent="0.3">
      <c r="A257" s="5"/>
      <c r="B257" t="s">
        <v>174</v>
      </c>
      <c r="C257" s="2" t="s">
        <v>85</v>
      </c>
      <c r="D257">
        <v>13</v>
      </c>
      <c r="E257">
        <v>0</v>
      </c>
      <c r="F257">
        <v>0</v>
      </c>
      <c r="G257" s="1">
        <v>0</v>
      </c>
      <c r="H257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>
        <v>3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>
        <v>3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>
        <v>1</v>
      </c>
      <c r="AI257" s="1">
        <v>0</v>
      </c>
      <c r="AJ257">
        <v>1</v>
      </c>
      <c r="AK257" s="1">
        <v>0</v>
      </c>
      <c r="AL257" s="1">
        <v>0</v>
      </c>
      <c r="AM257">
        <v>2</v>
      </c>
      <c r="AN257" s="1">
        <v>0</v>
      </c>
      <c r="AO257" s="1">
        <v>0</v>
      </c>
      <c r="AP257">
        <v>1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>
        <v>1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>
        <v>1</v>
      </c>
      <c r="CE257" s="1">
        <v>0</v>
      </c>
    </row>
    <row r="258" spans="1:83" x14ac:dyDescent="0.3">
      <c r="A258" s="5"/>
      <c r="B258" t="s">
        <v>174</v>
      </c>
      <c r="C258" s="2" t="s">
        <v>86</v>
      </c>
      <c r="D258">
        <v>18</v>
      </c>
      <c r="E258">
        <v>0</v>
      </c>
      <c r="F258">
        <v>0</v>
      </c>
      <c r="G258" s="1">
        <v>0</v>
      </c>
      <c r="H258">
        <v>2</v>
      </c>
      <c r="I258" s="1">
        <v>0</v>
      </c>
      <c r="J258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>
        <v>6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>
        <v>1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>
        <v>0</v>
      </c>
      <c r="AI258" s="1">
        <v>0</v>
      </c>
      <c r="AJ258">
        <v>2</v>
      </c>
      <c r="AK258" s="1">
        <v>0</v>
      </c>
      <c r="AL258" s="1">
        <v>0</v>
      </c>
      <c r="AM258">
        <v>2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>
        <v>3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>
        <v>2</v>
      </c>
      <c r="CE258" s="1">
        <v>0</v>
      </c>
    </row>
    <row r="259" spans="1:83" x14ac:dyDescent="0.3">
      <c r="A259" s="5"/>
      <c r="B259" t="s">
        <v>175</v>
      </c>
      <c r="C259" s="2" t="s">
        <v>82</v>
      </c>
      <c r="D259">
        <v>22</v>
      </c>
      <c r="E259">
        <v>0</v>
      </c>
      <c r="F259">
        <v>0</v>
      </c>
      <c r="G259" s="1">
        <v>0</v>
      </c>
      <c r="H259">
        <v>0</v>
      </c>
      <c r="I259" s="1">
        <v>0</v>
      </c>
      <c r="J259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>
        <v>4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>
        <v>1</v>
      </c>
      <c r="X259" s="1">
        <v>0</v>
      </c>
      <c r="Y259">
        <v>7</v>
      </c>
      <c r="Z259" s="1">
        <v>0</v>
      </c>
      <c r="AA259" s="1">
        <v>0</v>
      </c>
      <c r="AB259">
        <v>1</v>
      </c>
      <c r="AC259">
        <v>2</v>
      </c>
      <c r="AD259" s="1">
        <v>0</v>
      </c>
      <c r="AE259">
        <v>1</v>
      </c>
      <c r="AF259" s="1">
        <v>0</v>
      </c>
      <c r="AG259" s="1">
        <v>0</v>
      </c>
      <c r="AH259">
        <v>0</v>
      </c>
      <c r="AI259" s="1">
        <v>0</v>
      </c>
      <c r="AJ259">
        <v>1</v>
      </c>
      <c r="AK259" s="1">
        <v>0</v>
      </c>
      <c r="AL259">
        <v>1</v>
      </c>
      <c r="AM259">
        <v>2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>
        <v>1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</row>
    <row r="260" spans="1:83" x14ac:dyDescent="0.3">
      <c r="A260" s="5"/>
      <c r="B260" t="s">
        <v>175</v>
      </c>
      <c r="C260" s="2" t="s">
        <v>85</v>
      </c>
      <c r="D260">
        <v>16</v>
      </c>
      <c r="E260">
        <v>0</v>
      </c>
      <c r="F260">
        <v>0</v>
      </c>
      <c r="G260" s="1">
        <v>0</v>
      </c>
      <c r="H260">
        <v>0</v>
      </c>
      <c r="I260" s="1">
        <v>0</v>
      </c>
      <c r="J260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>
        <v>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>
        <v>1</v>
      </c>
      <c r="X260" s="1">
        <v>0</v>
      </c>
      <c r="Y260">
        <v>6</v>
      </c>
      <c r="Z260" s="1">
        <v>0</v>
      </c>
      <c r="AA260" s="1">
        <v>0</v>
      </c>
      <c r="AB260">
        <v>1</v>
      </c>
      <c r="AC260">
        <v>2</v>
      </c>
      <c r="AD260" s="1">
        <v>0</v>
      </c>
      <c r="AE260">
        <v>1</v>
      </c>
      <c r="AF260" s="1">
        <v>0</v>
      </c>
      <c r="AG260" s="1">
        <v>0</v>
      </c>
      <c r="AH260">
        <v>0</v>
      </c>
      <c r="AI260" s="1">
        <v>0</v>
      </c>
      <c r="AJ260">
        <v>1</v>
      </c>
      <c r="AK260" s="1">
        <v>0</v>
      </c>
      <c r="AL260">
        <v>1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</row>
    <row r="261" spans="1:83" x14ac:dyDescent="0.3">
      <c r="A261" s="5"/>
      <c r="B261" t="s">
        <v>175</v>
      </c>
      <c r="C261" s="2" t="s">
        <v>86</v>
      </c>
      <c r="D261">
        <v>6</v>
      </c>
      <c r="E261">
        <v>0</v>
      </c>
      <c r="F261">
        <v>0</v>
      </c>
      <c r="G261" s="1">
        <v>0</v>
      </c>
      <c r="H261">
        <v>0</v>
      </c>
      <c r="I261" s="1">
        <v>0</v>
      </c>
      <c r="J26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>
        <v>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>
        <v>1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>
        <v>0</v>
      </c>
      <c r="AI261" s="1">
        <v>0</v>
      </c>
      <c r="AJ261" s="1">
        <v>0</v>
      </c>
      <c r="AK261" s="1">
        <v>0</v>
      </c>
      <c r="AL261" s="1">
        <v>0</v>
      </c>
      <c r="AM261">
        <v>2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>
        <v>1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</row>
    <row r="262" spans="1:83" x14ac:dyDescent="0.3">
      <c r="A262" s="5"/>
      <c r="B262" t="s">
        <v>176</v>
      </c>
      <c r="C262" s="2" t="s">
        <v>82</v>
      </c>
      <c r="D262">
        <v>21</v>
      </c>
      <c r="E262">
        <v>0</v>
      </c>
      <c r="F262">
        <v>0</v>
      </c>
      <c r="G262" s="1">
        <v>0</v>
      </c>
      <c r="H262">
        <v>0</v>
      </c>
      <c r="I262" s="1">
        <v>0</v>
      </c>
      <c r="J262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>
        <v>1</v>
      </c>
      <c r="Z262" s="1">
        <v>0</v>
      </c>
      <c r="AA262" s="1">
        <v>0</v>
      </c>
      <c r="AB262" s="1">
        <v>0</v>
      </c>
      <c r="AC262">
        <v>7</v>
      </c>
      <c r="AD262" s="1">
        <v>0</v>
      </c>
      <c r="AE262">
        <v>1</v>
      </c>
      <c r="AF262" s="1">
        <v>0</v>
      </c>
      <c r="AG262" s="1">
        <v>0</v>
      </c>
      <c r="AH262">
        <v>2</v>
      </c>
      <c r="AI262" s="1">
        <v>0</v>
      </c>
      <c r="AJ262">
        <v>5</v>
      </c>
      <c r="AK262">
        <v>1</v>
      </c>
      <c r="AL262" s="1">
        <v>0</v>
      </c>
      <c r="AM262">
        <v>1</v>
      </c>
      <c r="AN262" s="1">
        <v>0</v>
      </c>
      <c r="AO262" s="1">
        <v>0</v>
      </c>
      <c r="AP262">
        <v>1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>
        <v>1</v>
      </c>
      <c r="BY262">
        <v>1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</row>
    <row r="263" spans="1:83" x14ac:dyDescent="0.3">
      <c r="A263" s="5"/>
      <c r="B263" t="s">
        <v>176</v>
      </c>
      <c r="C263" s="2" t="s">
        <v>85</v>
      </c>
      <c r="D263">
        <v>13</v>
      </c>
      <c r="E263">
        <v>0</v>
      </c>
      <c r="F263">
        <v>0</v>
      </c>
      <c r="G263" s="1">
        <v>0</v>
      </c>
      <c r="H263">
        <v>0</v>
      </c>
      <c r="I263" s="1">
        <v>0</v>
      </c>
      <c r="J263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>
        <v>7</v>
      </c>
      <c r="AD263" s="1">
        <v>0</v>
      </c>
      <c r="AE263">
        <v>1</v>
      </c>
      <c r="AF263" s="1">
        <v>0</v>
      </c>
      <c r="AG263" s="1">
        <v>0</v>
      </c>
      <c r="AH263">
        <v>1</v>
      </c>
      <c r="AI263" s="1">
        <v>0</v>
      </c>
      <c r="AJ263">
        <v>2</v>
      </c>
      <c r="AK263">
        <v>1</v>
      </c>
      <c r="AL263" s="1">
        <v>0</v>
      </c>
      <c r="AM263">
        <v>0</v>
      </c>
      <c r="AN263" s="1">
        <v>0</v>
      </c>
      <c r="AO263" s="1">
        <v>0</v>
      </c>
      <c r="AP263">
        <v>1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</row>
    <row r="264" spans="1:83" x14ac:dyDescent="0.3">
      <c r="A264" s="5"/>
      <c r="B264" t="s">
        <v>176</v>
      </c>
      <c r="C264" s="2" t="s">
        <v>86</v>
      </c>
      <c r="D264">
        <v>8</v>
      </c>
      <c r="E264">
        <v>0</v>
      </c>
      <c r="F264">
        <v>0</v>
      </c>
      <c r="G264" s="1">
        <v>0</v>
      </c>
      <c r="H264">
        <v>0</v>
      </c>
      <c r="I264" s="1">
        <v>0</v>
      </c>
      <c r="J264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>
        <v>1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>
        <v>1</v>
      </c>
      <c r="AI264" s="1">
        <v>0</v>
      </c>
      <c r="AJ264">
        <v>3</v>
      </c>
      <c r="AK264" s="1">
        <v>0</v>
      </c>
      <c r="AL264" s="1">
        <v>0</v>
      </c>
      <c r="AM264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>
        <v>1</v>
      </c>
      <c r="BY264">
        <v>1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</row>
    <row r="265" spans="1:83" x14ac:dyDescent="0.3">
      <c r="A265" s="5"/>
      <c r="B265" t="s">
        <v>177</v>
      </c>
      <c r="C265" s="2" t="s">
        <v>82</v>
      </c>
      <c r="D265">
        <v>20</v>
      </c>
      <c r="E265">
        <v>0</v>
      </c>
      <c r="F265">
        <v>0</v>
      </c>
      <c r="G265" s="1">
        <v>0</v>
      </c>
      <c r="H265">
        <v>0</v>
      </c>
      <c r="I265" s="1">
        <v>0</v>
      </c>
      <c r="J265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>
        <v>10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>
        <v>1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>
        <v>0</v>
      </c>
      <c r="AI265" s="1">
        <v>0</v>
      </c>
      <c r="AJ265">
        <v>4</v>
      </c>
      <c r="AK265" s="1">
        <v>0</v>
      </c>
      <c r="AL265" s="1">
        <v>0</v>
      </c>
      <c r="AM265">
        <v>2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>
        <v>2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>
        <v>1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</row>
    <row r="266" spans="1:83" x14ac:dyDescent="0.3">
      <c r="A266" s="5"/>
      <c r="B266" t="s">
        <v>177</v>
      </c>
      <c r="C266" s="2" t="s">
        <v>85</v>
      </c>
      <c r="D266">
        <v>7</v>
      </c>
      <c r="E266">
        <v>0</v>
      </c>
      <c r="F266">
        <v>0</v>
      </c>
      <c r="G266" s="1">
        <v>0</v>
      </c>
      <c r="H266">
        <v>0</v>
      </c>
      <c r="I266" s="1">
        <v>0</v>
      </c>
      <c r="J266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>
        <v>4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>
        <v>1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>
        <v>0</v>
      </c>
      <c r="AI266" s="1">
        <v>0</v>
      </c>
      <c r="AJ266">
        <v>1</v>
      </c>
      <c r="AK266" s="1">
        <v>0</v>
      </c>
      <c r="AL266" s="1">
        <v>0</v>
      </c>
      <c r="AM266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</row>
    <row r="267" spans="1:83" x14ac:dyDescent="0.3">
      <c r="A267" s="5"/>
      <c r="B267" t="s">
        <v>177</v>
      </c>
      <c r="C267" s="2" t="s">
        <v>86</v>
      </c>
      <c r="D267">
        <v>13</v>
      </c>
      <c r="E267">
        <v>0</v>
      </c>
      <c r="F267">
        <v>0</v>
      </c>
      <c r="G267" s="1">
        <v>0</v>
      </c>
      <c r="H267">
        <v>0</v>
      </c>
      <c r="I267" s="1">
        <v>0</v>
      </c>
      <c r="J267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>
        <v>6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>
        <v>0</v>
      </c>
      <c r="AI267" s="1">
        <v>0</v>
      </c>
      <c r="AJ267">
        <v>3</v>
      </c>
      <c r="AK267" s="1">
        <v>0</v>
      </c>
      <c r="AL267" s="1">
        <v>0</v>
      </c>
      <c r="AM267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>
        <v>2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>
        <v>1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</row>
    <row r="268" spans="1:83" x14ac:dyDescent="0.3">
      <c r="A268" s="5"/>
      <c r="B268" t="s">
        <v>178</v>
      </c>
      <c r="C268" s="2" t="s">
        <v>82</v>
      </c>
      <c r="D268">
        <v>20</v>
      </c>
      <c r="E268">
        <v>0</v>
      </c>
      <c r="F268">
        <v>0</v>
      </c>
      <c r="G268" s="1">
        <v>0</v>
      </c>
      <c r="H268">
        <v>0</v>
      </c>
      <c r="I268" s="1">
        <v>0</v>
      </c>
      <c r="J268">
        <v>0</v>
      </c>
      <c r="K268" s="1">
        <v>0</v>
      </c>
      <c r="L268" s="1">
        <v>0</v>
      </c>
      <c r="M268" s="1">
        <v>0</v>
      </c>
      <c r="N268">
        <v>2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>
        <v>1</v>
      </c>
      <c r="W268" s="1">
        <v>0</v>
      </c>
      <c r="X268" s="1">
        <v>0</v>
      </c>
      <c r="Y268">
        <v>3</v>
      </c>
      <c r="Z268" s="1">
        <v>0</v>
      </c>
      <c r="AA268" s="1">
        <v>0</v>
      </c>
      <c r="AB268" s="1">
        <v>0</v>
      </c>
      <c r="AC268">
        <v>4</v>
      </c>
      <c r="AD268" s="1">
        <v>0</v>
      </c>
      <c r="AE268" s="1">
        <v>0</v>
      </c>
      <c r="AF268" s="1">
        <v>0</v>
      </c>
      <c r="AG268" s="1">
        <v>0</v>
      </c>
      <c r="AH268">
        <v>2</v>
      </c>
      <c r="AI268" s="1">
        <v>0</v>
      </c>
      <c r="AJ268">
        <v>3</v>
      </c>
      <c r="AK268" s="1">
        <v>0</v>
      </c>
      <c r="AL268" s="1">
        <v>0</v>
      </c>
      <c r="AM268">
        <v>3</v>
      </c>
      <c r="AN268" s="1">
        <v>0</v>
      </c>
      <c r="AO268" s="1">
        <v>0</v>
      </c>
      <c r="AP268">
        <v>1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>
        <v>1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</row>
    <row r="269" spans="1:83" x14ac:dyDescent="0.3">
      <c r="A269" s="5"/>
      <c r="B269" t="s">
        <v>178</v>
      </c>
      <c r="C269" s="2" t="s">
        <v>85</v>
      </c>
      <c r="D269">
        <v>14</v>
      </c>
      <c r="E269">
        <v>0</v>
      </c>
      <c r="F269">
        <v>0</v>
      </c>
      <c r="G269" s="1">
        <v>0</v>
      </c>
      <c r="H269">
        <v>0</v>
      </c>
      <c r="I269" s="1">
        <v>0</v>
      </c>
      <c r="J269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>
        <v>1</v>
      </c>
      <c r="W269" s="1">
        <v>0</v>
      </c>
      <c r="X269" s="1">
        <v>0</v>
      </c>
      <c r="Y269">
        <v>3</v>
      </c>
      <c r="Z269" s="1">
        <v>0</v>
      </c>
      <c r="AA269" s="1">
        <v>0</v>
      </c>
      <c r="AB269" s="1">
        <v>0</v>
      </c>
      <c r="AC269">
        <v>4</v>
      </c>
      <c r="AD269" s="1">
        <v>0</v>
      </c>
      <c r="AE269" s="1">
        <v>0</v>
      </c>
      <c r="AF269" s="1">
        <v>0</v>
      </c>
      <c r="AG269" s="1">
        <v>0</v>
      </c>
      <c r="AH269">
        <v>2</v>
      </c>
      <c r="AI269" s="1">
        <v>0</v>
      </c>
      <c r="AJ269">
        <v>1</v>
      </c>
      <c r="AK269" s="1">
        <v>0</v>
      </c>
      <c r="AL269" s="1">
        <v>0</v>
      </c>
      <c r="AM269">
        <v>1</v>
      </c>
      <c r="AN269" s="1">
        <v>0</v>
      </c>
      <c r="AO269" s="1">
        <v>0</v>
      </c>
      <c r="AP269">
        <v>1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>
        <v>1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</row>
    <row r="270" spans="1:83" x14ac:dyDescent="0.3">
      <c r="A270" s="5"/>
      <c r="B270" t="s">
        <v>178</v>
      </c>
      <c r="C270" s="2" t="s">
        <v>86</v>
      </c>
      <c r="D270">
        <v>6</v>
      </c>
      <c r="E270">
        <v>0</v>
      </c>
      <c r="F270">
        <v>0</v>
      </c>
      <c r="G270" s="1">
        <v>0</v>
      </c>
      <c r="H270">
        <v>0</v>
      </c>
      <c r="I270" s="1">
        <v>0</v>
      </c>
      <c r="J270">
        <v>0</v>
      </c>
      <c r="K270" s="1">
        <v>0</v>
      </c>
      <c r="L270" s="1">
        <v>0</v>
      </c>
      <c r="M270" s="1">
        <v>0</v>
      </c>
      <c r="N270">
        <v>2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>
        <v>0</v>
      </c>
      <c r="AI270" s="1">
        <v>0</v>
      </c>
      <c r="AJ270">
        <v>2</v>
      </c>
      <c r="AK270" s="1">
        <v>0</v>
      </c>
      <c r="AL270" s="1">
        <v>0</v>
      </c>
      <c r="AM270">
        <v>2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</row>
    <row r="271" spans="1:83" x14ac:dyDescent="0.3">
      <c r="A271" s="5"/>
      <c r="B271" t="s">
        <v>179</v>
      </c>
      <c r="C271" s="2" t="s">
        <v>82</v>
      </c>
      <c r="D271">
        <v>18</v>
      </c>
      <c r="E271">
        <v>0</v>
      </c>
      <c r="F271">
        <v>0</v>
      </c>
      <c r="G271" s="1">
        <v>0</v>
      </c>
      <c r="H271">
        <v>0</v>
      </c>
      <c r="I271" s="1">
        <v>0</v>
      </c>
      <c r="J271">
        <v>0</v>
      </c>
      <c r="K271" s="1">
        <v>0</v>
      </c>
      <c r="L271" s="1">
        <v>0</v>
      </c>
      <c r="M271" s="1">
        <v>0</v>
      </c>
      <c r="N271">
        <v>1</v>
      </c>
      <c r="O271" s="1">
        <v>0</v>
      </c>
      <c r="P271" s="1">
        <v>0</v>
      </c>
      <c r="Q271">
        <v>4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>
        <v>7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>
        <v>3</v>
      </c>
      <c r="AF271" s="1">
        <v>0</v>
      </c>
      <c r="AG271" s="1">
        <v>0</v>
      </c>
      <c r="AH27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>
        <v>2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>
        <v>1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</row>
    <row r="272" spans="1:83" x14ac:dyDescent="0.3">
      <c r="A272" s="5"/>
      <c r="B272" t="s">
        <v>179</v>
      </c>
      <c r="C272" s="2" t="s">
        <v>85</v>
      </c>
      <c r="D272">
        <v>11</v>
      </c>
      <c r="E272">
        <v>0</v>
      </c>
      <c r="F272">
        <v>0</v>
      </c>
      <c r="G272" s="1">
        <v>0</v>
      </c>
      <c r="H272">
        <v>0</v>
      </c>
      <c r="I272" s="1">
        <v>0</v>
      </c>
      <c r="J272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>
        <v>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>
        <v>5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>
        <v>2</v>
      </c>
      <c r="AF272" s="1">
        <v>0</v>
      </c>
      <c r="AG272" s="1">
        <v>0</v>
      </c>
      <c r="AH272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>
        <v>1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>
        <v>1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</row>
    <row r="273" spans="1:83" x14ac:dyDescent="0.3">
      <c r="A273" s="5"/>
      <c r="B273" t="s">
        <v>179</v>
      </c>
      <c r="C273" s="2" t="s">
        <v>86</v>
      </c>
      <c r="D273">
        <v>7</v>
      </c>
      <c r="E273">
        <v>0</v>
      </c>
      <c r="F273">
        <v>0</v>
      </c>
      <c r="G273" s="1">
        <v>0</v>
      </c>
      <c r="H273">
        <v>0</v>
      </c>
      <c r="I273" s="1">
        <v>0</v>
      </c>
      <c r="J273">
        <v>0</v>
      </c>
      <c r="K273" s="1">
        <v>0</v>
      </c>
      <c r="L273" s="1">
        <v>0</v>
      </c>
      <c r="M273" s="1">
        <v>0</v>
      </c>
      <c r="N273">
        <v>1</v>
      </c>
      <c r="O273" s="1">
        <v>0</v>
      </c>
      <c r="P273" s="1">
        <v>0</v>
      </c>
      <c r="Q273">
        <v>2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>
        <v>2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>
        <v>1</v>
      </c>
      <c r="AF273" s="1">
        <v>0</v>
      </c>
      <c r="AG273" s="1">
        <v>0</v>
      </c>
      <c r="AH273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>
        <v>1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</row>
    <row r="274" spans="1:83" x14ac:dyDescent="0.3">
      <c r="A274" s="5"/>
      <c r="B274" t="s">
        <v>180</v>
      </c>
      <c r="C274" s="2" t="s">
        <v>82</v>
      </c>
      <c r="D274">
        <v>17</v>
      </c>
      <c r="E274">
        <v>0</v>
      </c>
      <c r="F274">
        <v>0</v>
      </c>
      <c r="G274" s="1">
        <v>0</v>
      </c>
      <c r="H274">
        <v>0</v>
      </c>
      <c r="I274" s="1">
        <v>0</v>
      </c>
      <c r="J274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>
        <v>1</v>
      </c>
      <c r="R274" s="1">
        <v>0</v>
      </c>
      <c r="S274" s="1">
        <v>0</v>
      </c>
      <c r="T274" s="1">
        <v>0</v>
      </c>
      <c r="U274" s="1">
        <v>0</v>
      </c>
      <c r="V274">
        <v>2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>
        <v>1</v>
      </c>
      <c r="AC274" s="1">
        <v>0</v>
      </c>
      <c r="AD274" s="1">
        <v>0</v>
      </c>
      <c r="AE274">
        <v>2</v>
      </c>
      <c r="AF274" s="1">
        <v>0</v>
      </c>
      <c r="AG274" s="1">
        <v>0</v>
      </c>
      <c r="AH274">
        <v>1</v>
      </c>
      <c r="AI274" s="1">
        <v>0</v>
      </c>
      <c r="AJ274">
        <v>4</v>
      </c>
      <c r="AK274" s="1">
        <v>0</v>
      </c>
      <c r="AL274">
        <v>1</v>
      </c>
      <c r="AM274">
        <v>1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>
        <v>4</v>
      </c>
      <c r="CB274" s="1">
        <v>0</v>
      </c>
      <c r="CC274" s="1">
        <v>0</v>
      </c>
      <c r="CD274" s="1">
        <v>0</v>
      </c>
      <c r="CE274" s="1">
        <v>0</v>
      </c>
    </row>
    <row r="275" spans="1:83" x14ac:dyDescent="0.3">
      <c r="A275" s="5"/>
      <c r="B275" t="s">
        <v>180</v>
      </c>
      <c r="C275" s="2" t="s">
        <v>85</v>
      </c>
      <c r="D275">
        <v>9</v>
      </c>
      <c r="E275">
        <v>0</v>
      </c>
      <c r="F275">
        <v>0</v>
      </c>
      <c r="G275" s="1">
        <v>0</v>
      </c>
      <c r="H275">
        <v>0</v>
      </c>
      <c r="I275" s="1">
        <v>0</v>
      </c>
      <c r="J275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>
        <v>1</v>
      </c>
      <c r="AC275" s="1">
        <v>0</v>
      </c>
      <c r="AD275" s="1">
        <v>0</v>
      </c>
      <c r="AE275">
        <v>2</v>
      </c>
      <c r="AF275" s="1">
        <v>0</v>
      </c>
      <c r="AG275" s="1">
        <v>0</v>
      </c>
      <c r="AH275">
        <v>1</v>
      </c>
      <c r="AI275" s="1">
        <v>0</v>
      </c>
      <c r="AJ275">
        <v>3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>
        <v>2</v>
      </c>
      <c r="CB275" s="1">
        <v>0</v>
      </c>
      <c r="CC275" s="1">
        <v>0</v>
      </c>
      <c r="CD275" s="1">
        <v>0</v>
      </c>
      <c r="CE275" s="1">
        <v>0</v>
      </c>
    </row>
    <row r="276" spans="1:83" x14ac:dyDescent="0.3">
      <c r="A276" s="5"/>
      <c r="B276" t="s">
        <v>180</v>
      </c>
      <c r="C276" s="2" t="s">
        <v>86</v>
      </c>
      <c r="D276">
        <v>8</v>
      </c>
      <c r="E276">
        <v>0</v>
      </c>
      <c r="F276">
        <v>0</v>
      </c>
      <c r="G276" s="1">
        <v>0</v>
      </c>
      <c r="H276">
        <v>0</v>
      </c>
      <c r="I276" s="1">
        <v>0</v>
      </c>
      <c r="J276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>
        <v>1</v>
      </c>
      <c r="R276" s="1">
        <v>0</v>
      </c>
      <c r="S276" s="1">
        <v>0</v>
      </c>
      <c r="T276" s="1">
        <v>0</v>
      </c>
      <c r="U276" s="1">
        <v>0</v>
      </c>
      <c r="V276">
        <v>2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>
        <v>0</v>
      </c>
      <c r="AI276" s="1">
        <v>0</v>
      </c>
      <c r="AJ276">
        <v>1</v>
      </c>
      <c r="AK276" s="1">
        <v>0</v>
      </c>
      <c r="AL276">
        <v>1</v>
      </c>
      <c r="AM276">
        <v>1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>
        <v>2</v>
      </c>
      <c r="CB276" s="1">
        <v>0</v>
      </c>
      <c r="CC276" s="1">
        <v>0</v>
      </c>
      <c r="CD276" s="1">
        <v>0</v>
      </c>
      <c r="CE276" s="1">
        <v>0</v>
      </c>
    </row>
    <row r="277" spans="1:83" x14ac:dyDescent="0.3">
      <c r="A277" s="5"/>
      <c r="B277" t="s">
        <v>181</v>
      </c>
      <c r="C277" s="2" t="s">
        <v>82</v>
      </c>
      <c r="D277">
        <v>16</v>
      </c>
      <c r="E277">
        <v>0</v>
      </c>
      <c r="F277">
        <v>0</v>
      </c>
      <c r="G277" s="1">
        <v>0</v>
      </c>
      <c r="H277">
        <v>0</v>
      </c>
      <c r="I277" s="1">
        <v>0</v>
      </c>
      <c r="J277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>
        <v>8</v>
      </c>
      <c r="AD277" s="1">
        <v>0</v>
      </c>
      <c r="AE277">
        <v>2</v>
      </c>
      <c r="AF277" s="1">
        <v>0</v>
      </c>
      <c r="AG277" s="1">
        <v>0</v>
      </c>
      <c r="AH277">
        <v>0</v>
      </c>
      <c r="AI277" s="1">
        <v>0</v>
      </c>
      <c r="AJ277" s="1">
        <v>0</v>
      </c>
      <c r="AK277" s="1">
        <v>0</v>
      </c>
      <c r="AL277" s="1">
        <v>0</v>
      </c>
      <c r="AM277">
        <v>3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>
        <v>3</v>
      </c>
      <c r="CE277" s="1">
        <v>0</v>
      </c>
    </row>
    <row r="278" spans="1:83" x14ac:dyDescent="0.3">
      <c r="A278" s="5"/>
      <c r="B278" t="s">
        <v>181</v>
      </c>
      <c r="C278" s="2" t="s">
        <v>85</v>
      </c>
      <c r="D278">
        <v>11</v>
      </c>
      <c r="E278">
        <v>0</v>
      </c>
      <c r="F278">
        <v>0</v>
      </c>
      <c r="G278" s="1">
        <v>0</v>
      </c>
      <c r="H278">
        <v>0</v>
      </c>
      <c r="I278" s="1">
        <v>0</v>
      </c>
      <c r="J278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>
        <v>8</v>
      </c>
      <c r="AD278" s="1">
        <v>0</v>
      </c>
      <c r="AE278" s="1">
        <v>0</v>
      </c>
      <c r="AF278" s="1">
        <v>0</v>
      </c>
      <c r="AG278" s="1">
        <v>0</v>
      </c>
      <c r="AH278">
        <v>0</v>
      </c>
      <c r="AI278" s="1">
        <v>0</v>
      </c>
      <c r="AJ278" s="1">
        <v>0</v>
      </c>
      <c r="AK278" s="1">
        <v>0</v>
      </c>
      <c r="AL278" s="1">
        <v>0</v>
      </c>
      <c r="AM278">
        <v>2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>
        <v>1</v>
      </c>
      <c r="CE278" s="1">
        <v>0</v>
      </c>
    </row>
    <row r="279" spans="1:83" x14ac:dyDescent="0.3">
      <c r="A279" s="5"/>
      <c r="B279" t="s">
        <v>181</v>
      </c>
      <c r="C279" s="2" t="s">
        <v>86</v>
      </c>
      <c r="D279">
        <v>5</v>
      </c>
      <c r="E279">
        <v>0</v>
      </c>
      <c r="F279">
        <v>0</v>
      </c>
      <c r="G279" s="1">
        <v>0</v>
      </c>
      <c r="H279">
        <v>0</v>
      </c>
      <c r="I279" s="1">
        <v>0</v>
      </c>
      <c r="J279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>
        <v>2</v>
      </c>
      <c r="AF279" s="1">
        <v>0</v>
      </c>
      <c r="AG279" s="1">
        <v>0</v>
      </c>
      <c r="AH279">
        <v>0</v>
      </c>
      <c r="AI279" s="1">
        <v>0</v>
      </c>
      <c r="AJ279" s="1">
        <v>0</v>
      </c>
      <c r="AK279" s="1">
        <v>0</v>
      </c>
      <c r="AL279" s="1">
        <v>0</v>
      </c>
      <c r="AM279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>
        <v>2</v>
      </c>
      <c r="CE279" s="1">
        <v>0</v>
      </c>
    </row>
    <row r="280" spans="1:83" x14ac:dyDescent="0.3">
      <c r="A280" s="5"/>
      <c r="B280" t="s">
        <v>182</v>
      </c>
      <c r="C280" s="2" t="s">
        <v>82</v>
      </c>
      <c r="D280">
        <v>15</v>
      </c>
      <c r="E280">
        <v>0</v>
      </c>
      <c r="F280">
        <v>0</v>
      </c>
      <c r="G280" s="1">
        <v>0</v>
      </c>
      <c r="H280">
        <v>0</v>
      </c>
      <c r="I280" s="1">
        <v>0</v>
      </c>
      <c r="J280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>
        <v>4</v>
      </c>
      <c r="AD280" s="1">
        <v>0</v>
      </c>
      <c r="AE280" s="1">
        <v>0</v>
      </c>
      <c r="AF280" s="1">
        <v>0</v>
      </c>
      <c r="AG280" s="1">
        <v>0</v>
      </c>
      <c r="AH280">
        <v>0</v>
      </c>
      <c r="AI280" s="1">
        <v>0</v>
      </c>
      <c r="AJ280">
        <v>2</v>
      </c>
      <c r="AK280" s="1">
        <v>0</v>
      </c>
      <c r="AL280">
        <v>1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>
        <v>7</v>
      </c>
      <c r="BY280" s="1">
        <v>0</v>
      </c>
      <c r="BZ280" s="1">
        <v>0</v>
      </c>
      <c r="CA280" s="1">
        <v>0</v>
      </c>
      <c r="CB280" s="1">
        <v>0</v>
      </c>
      <c r="CC280">
        <v>1</v>
      </c>
      <c r="CD280" s="1">
        <v>0</v>
      </c>
      <c r="CE280" s="1">
        <v>0</v>
      </c>
    </row>
    <row r="281" spans="1:83" x14ac:dyDescent="0.3">
      <c r="A281" s="5"/>
      <c r="B281" t="s">
        <v>182</v>
      </c>
      <c r="C281" s="2" t="s">
        <v>85</v>
      </c>
      <c r="D281">
        <v>9</v>
      </c>
      <c r="E281">
        <v>0</v>
      </c>
      <c r="F281">
        <v>0</v>
      </c>
      <c r="G281" s="1">
        <v>0</v>
      </c>
      <c r="H281">
        <v>0</v>
      </c>
      <c r="I281" s="1">
        <v>0</v>
      </c>
      <c r="J28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>
        <v>4</v>
      </c>
      <c r="AD281" s="1">
        <v>0</v>
      </c>
      <c r="AE281" s="1">
        <v>0</v>
      </c>
      <c r="AF281" s="1">
        <v>0</v>
      </c>
      <c r="AG281" s="1">
        <v>0</v>
      </c>
      <c r="AH281">
        <v>0</v>
      </c>
      <c r="AI281" s="1">
        <v>0</v>
      </c>
      <c r="AJ281">
        <v>1</v>
      </c>
      <c r="AK281" s="1">
        <v>0</v>
      </c>
      <c r="AL281">
        <v>1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>
        <v>2</v>
      </c>
      <c r="BY281" s="1">
        <v>0</v>
      </c>
      <c r="BZ281" s="1">
        <v>0</v>
      </c>
      <c r="CA281" s="1">
        <v>0</v>
      </c>
      <c r="CB281" s="1">
        <v>0</v>
      </c>
      <c r="CC281">
        <v>1</v>
      </c>
      <c r="CD281" s="1">
        <v>0</v>
      </c>
      <c r="CE281" s="1">
        <v>0</v>
      </c>
    </row>
    <row r="282" spans="1:83" x14ac:dyDescent="0.3">
      <c r="A282" s="5"/>
      <c r="B282" t="s">
        <v>182</v>
      </c>
      <c r="C282" s="2" t="s">
        <v>86</v>
      </c>
      <c r="D282">
        <v>6</v>
      </c>
      <c r="E282">
        <v>0</v>
      </c>
      <c r="F282">
        <v>0</v>
      </c>
      <c r="G282" s="1">
        <v>0</v>
      </c>
      <c r="H282">
        <v>0</v>
      </c>
      <c r="I282" s="1">
        <v>0</v>
      </c>
      <c r="J282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>
        <v>0</v>
      </c>
      <c r="AI282" s="1">
        <v>0</v>
      </c>
      <c r="AJ282">
        <v>1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>
        <v>5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</row>
    <row r="283" spans="1:83" x14ac:dyDescent="0.3">
      <c r="A283" s="5"/>
      <c r="B283" t="s">
        <v>183</v>
      </c>
      <c r="C283" s="2" t="s">
        <v>82</v>
      </c>
      <c r="D283">
        <v>13</v>
      </c>
      <c r="E283">
        <v>0</v>
      </c>
      <c r="F283">
        <v>0</v>
      </c>
      <c r="G283" s="1">
        <v>0</v>
      </c>
      <c r="H283">
        <v>0</v>
      </c>
      <c r="I283" s="1">
        <v>0</v>
      </c>
      <c r="J283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>
        <v>1</v>
      </c>
      <c r="X283">
        <v>1</v>
      </c>
      <c r="Y283">
        <v>2</v>
      </c>
      <c r="Z283" s="1">
        <v>0</v>
      </c>
      <c r="AA283" s="1">
        <v>0</v>
      </c>
      <c r="AB283">
        <v>1</v>
      </c>
      <c r="AC283">
        <v>0</v>
      </c>
      <c r="AD283" s="1">
        <v>0</v>
      </c>
      <c r="AE283" s="1">
        <v>0</v>
      </c>
      <c r="AF283" s="1">
        <v>0</v>
      </c>
      <c r="AG283" s="1">
        <v>0</v>
      </c>
      <c r="AH283">
        <v>1</v>
      </c>
      <c r="AI283" s="1">
        <v>0</v>
      </c>
      <c r="AJ283">
        <v>1</v>
      </c>
      <c r="AK283" s="1">
        <v>0</v>
      </c>
      <c r="AL283" s="1">
        <v>0</v>
      </c>
      <c r="AM283">
        <v>1</v>
      </c>
      <c r="AN283">
        <v>1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>
        <v>1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>
        <v>3</v>
      </c>
      <c r="CE283" s="1">
        <v>0</v>
      </c>
    </row>
    <row r="284" spans="1:83" x14ac:dyDescent="0.3">
      <c r="A284" s="5"/>
      <c r="B284" t="s">
        <v>183</v>
      </c>
      <c r="C284" s="2" t="s">
        <v>85</v>
      </c>
      <c r="D284">
        <v>8</v>
      </c>
      <c r="E284">
        <v>0</v>
      </c>
      <c r="F284">
        <v>0</v>
      </c>
      <c r="G284" s="1">
        <v>0</v>
      </c>
      <c r="H284">
        <v>0</v>
      </c>
      <c r="I284" s="1">
        <v>0</v>
      </c>
      <c r="J284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>
        <v>1</v>
      </c>
      <c r="X284">
        <v>1</v>
      </c>
      <c r="Y284">
        <v>2</v>
      </c>
      <c r="Z284" s="1">
        <v>0</v>
      </c>
      <c r="AA284" s="1">
        <v>0</v>
      </c>
      <c r="AB284">
        <v>1</v>
      </c>
      <c r="AC284">
        <v>0</v>
      </c>
      <c r="AD284" s="1">
        <v>0</v>
      </c>
      <c r="AE284" s="1">
        <v>0</v>
      </c>
      <c r="AF284" s="1">
        <v>0</v>
      </c>
      <c r="AG284" s="1">
        <v>0</v>
      </c>
      <c r="AH284">
        <v>1</v>
      </c>
      <c r="AI284" s="1">
        <v>0</v>
      </c>
      <c r="AJ284">
        <v>1</v>
      </c>
      <c r="AK284" s="1">
        <v>0</v>
      </c>
      <c r="AL284" s="1">
        <v>0</v>
      </c>
      <c r="AM284">
        <v>1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</row>
    <row r="285" spans="1:83" x14ac:dyDescent="0.3">
      <c r="A285" s="5"/>
      <c r="B285" t="s">
        <v>183</v>
      </c>
      <c r="C285" s="2" t="s">
        <v>86</v>
      </c>
      <c r="D285">
        <v>5</v>
      </c>
      <c r="E285">
        <v>0</v>
      </c>
      <c r="F285">
        <v>0</v>
      </c>
      <c r="G285" s="1">
        <v>0</v>
      </c>
      <c r="H285">
        <v>0</v>
      </c>
      <c r="I285" s="1">
        <v>0</v>
      </c>
      <c r="J285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>
        <v>1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>
        <v>1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>
        <v>3</v>
      </c>
      <c r="CE285" s="1">
        <v>0</v>
      </c>
    </row>
    <row r="286" spans="1:83" x14ac:dyDescent="0.3">
      <c r="A286" s="5"/>
      <c r="B286" t="s">
        <v>184</v>
      </c>
      <c r="C286" s="2" t="s">
        <v>82</v>
      </c>
      <c r="D286">
        <v>8</v>
      </c>
      <c r="E286">
        <v>0</v>
      </c>
      <c r="F286">
        <v>0</v>
      </c>
      <c r="G286" s="1">
        <v>0</v>
      </c>
      <c r="H286">
        <v>0</v>
      </c>
      <c r="I286" s="1">
        <v>0</v>
      </c>
      <c r="J286">
        <v>0</v>
      </c>
      <c r="K286" s="1">
        <v>0</v>
      </c>
      <c r="L286" s="1">
        <v>0</v>
      </c>
      <c r="M286">
        <v>1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>
        <v>2</v>
      </c>
      <c r="W286" s="1">
        <v>0</v>
      </c>
      <c r="X286" s="1">
        <v>0</v>
      </c>
      <c r="Y286">
        <v>1</v>
      </c>
      <c r="Z286" s="1">
        <v>0</v>
      </c>
      <c r="AA286" s="1">
        <v>0</v>
      </c>
      <c r="AB286">
        <v>1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>
        <v>1</v>
      </c>
      <c r="AI286" s="1">
        <v>0</v>
      </c>
      <c r="AJ286">
        <v>1</v>
      </c>
      <c r="AK286">
        <v>1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</row>
    <row r="287" spans="1:83" x14ac:dyDescent="0.3">
      <c r="A287" s="5"/>
      <c r="B287" t="s">
        <v>184</v>
      </c>
      <c r="C287" s="2" t="s">
        <v>85</v>
      </c>
      <c r="D287">
        <v>7</v>
      </c>
      <c r="E287">
        <v>0</v>
      </c>
      <c r="F287">
        <v>0</v>
      </c>
      <c r="G287" s="1">
        <v>0</v>
      </c>
      <c r="H287">
        <v>0</v>
      </c>
      <c r="I287" s="1">
        <v>0</v>
      </c>
      <c r="J287">
        <v>0</v>
      </c>
      <c r="K287" s="1">
        <v>0</v>
      </c>
      <c r="L287" s="1">
        <v>0</v>
      </c>
      <c r="M287">
        <v>1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>
        <v>2</v>
      </c>
      <c r="W287" s="1">
        <v>0</v>
      </c>
      <c r="X287" s="1">
        <v>0</v>
      </c>
      <c r="Y287">
        <v>1</v>
      </c>
      <c r="Z287" s="1">
        <v>0</v>
      </c>
      <c r="AA287" s="1">
        <v>0</v>
      </c>
      <c r="AB287">
        <v>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>
        <v>1</v>
      </c>
      <c r="AI287" s="1">
        <v>0</v>
      </c>
      <c r="AJ287" s="1">
        <v>0</v>
      </c>
      <c r="AK287">
        <v>1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</row>
    <row r="288" spans="1:83" x14ac:dyDescent="0.3">
      <c r="A288" s="5"/>
      <c r="B288" t="s">
        <v>184</v>
      </c>
      <c r="C288" s="2" t="s">
        <v>86</v>
      </c>
      <c r="D288">
        <v>1</v>
      </c>
      <c r="E288">
        <v>0</v>
      </c>
      <c r="F288">
        <v>0</v>
      </c>
      <c r="G288" s="1">
        <v>0</v>
      </c>
      <c r="H288">
        <v>0</v>
      </c>
      <c r="I288" s="1">
        <v>0</v>
      </c>
      <c r="J288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>
        <v>0</v>
      </c>
      <c r="AI288" s="1">
        <v>0</v>
      </c>
      <c r="AJ288">
        <v>1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</row>
    <row r="289" spans="1:83" x14ac:dyDescent="0.3">
      <c r="A289" s="5"/>
      <c r="B289" t="s">
        <v>185</v>
      </c>
      <c r="C289" s="2" t="s">
        <v>82</v>
      </c>
      <c r="D289">
        <v>8</v>
      </c>
      <c r="E289">
        <v>0</v>
      </c>
      <c r="F289">
        <v>0</v>
      </c>
      <c r="G289" s="1">
        <v>0</v>
      </c>
      <c r="H289">
        <v>0</v>
      </c>
      <c r="I289" s="1">
        <v>0</v>
      </c>
      <c r="J289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>
        <v>3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>
        <v>2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>
        <v>0</v>
      </c>
      <c r="AI289" s="1">
        <v>0</v>
      </c>
      <c r="AJ289">
        <v>1</v>
      </c>
      <c r="AK289" s="1">
        <v>0</v>
      </c>
      <c r="AL289" s="1">
        <v>0</v>
      </c>
      <c r="AM289">
        <v>1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>
        <v>1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</row>
    <row r="290" spans="1:83" x14ac:dyDescent="0.3">
      <c r="A290" s="5"/>
      <c r="B290" t="s">
        <v>185</v>
      </c>
      <c r="C290" s="2" t="s">
        <v>85</v>
      </c>
      <c r="D290">
        <v>2</v>
      </c>
      <c r="E290">
        <v>0</v>
      </c>
      <c r="F290">
        <v>0</v>
      </c>
      <c r="G290" s="1">
        <v>0</v>
      </c>
      <c r="H290">
        <v>0</v>
      </c>
      <c r="I290" s="1">
        <v>0</v>
      </c>
      <c r="J290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>
        <v>0</v>
      </c>
      <c r="AI290" s="1">
        <v>0</v>
      </c>
      <c r="AJ290">
        <v>1</v>
      </c>
      <c r="AK290" s="1">
        <v>0</v>
      </c>
      <c r="AL290" s="1">
        <v>0</v>
      </c>
      <c r="AM290">
        <v>1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</row>
    <row r="291" spans="1:83" x14ac:dyDescent="0.3">
      <c r="A291" s="5"/>
      <c r="B291" t="s">
        <v>185</v>
      </c>
      <c r="C291" s="2" t="s">
        <v>86</v>
      </c>
      <c r="D291">
        <v>6</v>
      </c>
      <c r="E291">
        <v>0</v>
      </c>
      <c r="F291">
        <v>0</v>
      </c>
      <c r="G291" s="1">
        <v>0</v>
      </c>
      <c r="H291">
        <v>0</v>
      </c>
      <c r="I291" s="1">
        <v>0</v>
      </c>
      <c r="J29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>
        <v>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>
        <v>2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>
        <v>1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</row>
    <row r="292" spans="1:83" x14ac:dyDescent="0.3">
      <c r="A292" s="5"/>
      <c r="B292" t="s">
        <v>186</v>
      </c>
      <c r="C292" s="2" t="s">
        <v>82</v>
      </c>
      <c r="D292">
        <v>7</v>
      </c>
      <c r="E292">
        <v>0</v>
      </c>
      <c r="F292">
        <v>0</v>
      </c>
      <c r="G292" s="1">
        <v>0</v>
      </c>
      <c r="H292">
        <v>1</v>
      </c>
      <c r="I292" s="1">
        <v>0</v>
      </c>
      <c r="J292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>
        <v>1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>
        <v>0</v>
      </c>
      <c r="AI292" s="1">
        <v>0</v>
      </c>
      <c r="AJ292" s="1">
        <v>0</v>
      </c>
      <c r="AK292">
        <v>5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</row>
    <row r="293" spans="1:83" x14ac:dyDescent="0.3">
      <c r="A293" s="5"/>
      <c r="B293" t="s">
        <v>186</v>
      </c>
      <c r="C293" s="2" t="s">
        <v>85</v>
      </c>
      <c r="D293">
        <v>2</v>
      </c>
      <c r="E293">
        <v>0</v>
      </c>
      <c r="F293">
        <v>0</v>
      </c>
      <c r="G293" s="1">
        <v>0</v>
      </c>
      <c r="H293">
        <v>0</v>
      </c>
      <c r="I293" s="1">
        <v>0</v>
      </c>
      <c r="J293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>
        <v>0</v>
      </c>
      <c r="AI293" s="1">
        <v>0</v>
      </c>
      <c r="AJ293" s="1">
        <v>0</v>
      </c>
      <c r="AK293">
        <v>2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</row>
    <row r="294" spans="1:83" x14ac:dyDescent="0.3">
      <c r="A294" s="5"/>
      <c r="B294" t="s">
        <v>186</v>
      </c>
      <c r="C294" s="2" t="s">
        <v>86</v>
      </c>
      <c r="D294">
        <v>5</v>
      </c>
      <c r="E294">
        <v>0</v>
      </c>
      <c r="F294">
        <v>0</v>
      </c>
      <c r="G294" s="1">
        <v>0</v>
      </c>
      <c r="H294">
        <v>1</v>
      </c>
      <c r="I294" s="1">
        <v>0</v>
      </c>
      <c r="J294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>
        <v>1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>
        <v>0</v>
      </c>
      <c r="AI294" s="1">
        <v>0</v>
      </c>
      <c r="AJ294" s="1">
        <v>0</v>
      </c>
      <c r="AK294">
        <v>3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</row>
    <row r="295" spans="1:83" x14ac:dyDescent="0.3">
      <c r="A295" s="5"/>
      <c r="B295" t="s">
        <v>187</v>
      </c>
      <c r="C295" s="2" t="s">
        <v>82</v>
      </c>
      <c r="D295">
        <v>5</v>
      </c>
      <c r="E295">
        <v>0</v>
      </c>
      <c r="F295">
        <v>0</v>
      </c>
      <c r="G295" s="1">
        <v>0</v>
      </c>
      <c r="H295">
        <v>0</v>
      </c>
      <c r="I295" s="1">
        <v>0</v>
      </c>
      <c r="J295">
        <v>0</v>
      </c>
      <c r="K295" s="1">
        <v>0</v>
      </c>
      <c r="L295" s="1">
        <v>0</v>
      </c>
      <c r="M295" s="1">
        <v>0</v>
      </c>
      <c r="N295">
        <v>1</v>
      </c>
      <c r="O295" s="1">
        <v>0</v>
      </c>
      <c r="P295" s="1">
        <v>0</v>
      </c>
      <c r="Q295">
        <v>1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>
        <v>1</v>
      </c>
      <c r="AD295" s="1">
        <v>0</v>
      </c>
      <c r="AE295" s="1">
        <v>0</v>
      </c>
      <c r="AF295" s="1">
        <v>0</v>
      </c>
      <c r="AG295" s="1">
        <v>0</v>
      </c>
      <c r="AH295">
        <v>0</v>
      </c>
      <c r="AI295" s="1">
        <v>0</v>
      </c>
      <c r="AJ295" s="1">
        <v>0</v>
      </c>
      <c r="AK295" s="1">
        <v>0</v>
      </c>
      <c r="AL295">
        <v>2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</row>
    <row r="296" spans="1:83" x14ac:dyDescent="0.3">
      <c r="A296" s="5"/>
      <c r="B296" t="s">
        <v>187</v>
      </c>
      <c r="C296" s="2" t="s">
        <v>85</v>
      </c>
      <c r="D296">
        <v>4</v>
      </c>
      <c r="E296">
        <v>0</v>
      </c>
      <c r="F296">
        <v>0</v>
      </c>
      <c r="G296" s="1">
        <v>0</v>
      </c>
      <c r="H296">
        <v>0</v>
      </c>
      <c r="I296" s="1">
        <v>0</v>
      </c>
      <c r="J296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>
        <v>1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>
        <v>1</v>
      </c>
      <c r="AD296" s="1">
        <v>0</v>
      </c>
      <c r="AE296" s="1">
        <v>0</v>
      </c>
      <c r="AF296" s="1">
        <v>0</v>
      </c>
      <c r="AG296" s="1">
        <v>0</v>
      </c>
      <c r="AH296">
        <v>0</v>
      </c>
      <c r="AI296" s="1">
        <v>0</v>
      </c>
      <c r="AJ296" s="1">
        <v>0</v>
      </c>
      <c r="AK296" s="1">
        <v>0</v>
      </c>
      <c r="AL296">
        <v>2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</row>
    <row r="297" spans="1:83" x14ac:dyDescent="0.3">
      <c r="A297" s="5"/>
      <c r="B297" t="s">
        <v>187</v>
      </c>
      <c r="C297" s="2" t="s">
        <v>86</v>
      </c>
      <c r="D297">
        <v>1</v>
      </c>
      <c r="E297">
        <v>0</v>
      </c>
      <c r="F297">
        <v>0</v>
      </c>
      <c r="G297" s="1">
        <v>0</v>
      </c>
      <c r="H297">
        <v>0</v>
      </c>
      <c r="I297" s="1">
        <v>0</v>
      </c>
      <c r="J297">
        <v>0</v>
      </c>
      <c r="K297" s="1">
        <v>0</v>
      </c>
      <c r="L297" s="1">
        <v>0</v>
      </c>
      <c r="M297" s="1">
        <v>0</v>
      </c>
      <c r="N297">
        <v>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</row>
    <row r="298" spans="1:83" x14ac:dyDescent="0.3">
      <c r="A298" s="5"/>
      <c r="B298" t="s">
        <v>188</v>
      </c>
      <c r="C298" s="2" t="s">
        <v>82</v>
      </c>
      <c r="D298">
        <v>4</v>
      </c>
      <c r="E298">
        <v>0</v>
      </c>
      <c r="F298">
        <v>0</v>
      </c>
      <c r="G298" s="1">
        <v>0</v>
      </c>
      <c r="H298">
        <v>0</v>
      </c>
      <c r="I298" s="1">
        <v>0</v>
      </c>
      <c r="J298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>
        <v>1</v>
      </c>
      <c r="Z298" s="1">
        <v>0</v>
      </c>
      <c r="AA298" s="1">
        <v>0</v>
      </c>
      <c r="AB298" s="1">
        <v>0</v>
      </c>
      <c r="AC298">
        <v>2</v>
      </c>
      <c r="AD298" s="1">
        <v>0</v>
      </c>
      <c r="AE298" s="1">
        <v>0</v>
      </c>
      <c r="AF298" s="1">
        <v>0</v>
      </c>
      <c r="AG298" s="1">
        <v>0</v>
      </c>
      <c r="AH298">
        <v>1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</row>
    <row r="299" spans="1:83" x14ac:dyDescent="0.3">
      <c r="A299" s="5"/>
      <c r="B299" t="s">
        <v>188</v>
      </c>
      <c r="C299" s="2" t="s">
        <v>85</v>
      </c>
      <c r="D299">
        <v>3</v>
      </c>
      <c r="E299">
        <v>0</v>
      </c>
      <c r="F299">
        <v>0</v>
      </c>
      <c r="G299" s="1">
        <v>0</v>
      </c>
      <c r="H299">
        <v>0</v>
      </c>
      <c r="I299" s="1">
        <v>0</v>
      </c>
      <c r="J299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>
        <v>1</v>
      </c>
      <c r="Z299" s="1">
        <v>0</v>
      </c>
      <c r="AA299" s="1">
        <v>0</v>
      </c>
      <c r="AB299" s="1">
        <v>0</v>
      </c>
      <c r="AC299">
        <v>2</v>
      </c>
      <c r="AD299" s="1">
        <v>0</v>
      </c>
      <c r="AE299" s="1">
        <v>0</v>
      </c>
      <c r="AF299" s="1">
        <v>0</v>
      </c>
      <c r="AG299" s="1">
        <v>0</v>
      </c>
      <c r="AH299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</row>
    <row r="300" spans="1:83" x14ac:dyDescent="0.3">
      <c r="A300" s="5"/>
      <c r="B300" t="s">
        <v>188</v>
      </c>
      <c r="C300" s="2" t="s">
        <v>86</v>
      </c>
      <c r="D300">
        <v>1</v>
      </c>
      <c r="E300">
        <v>0</v>
      </c>
      <c r="F300">
        <v>0</v>
      </c>
      <c r="G300" s="1">
        <v>0</v>
      </c>
      <c r="H300">
        <v>0</v>
      </c>
      <c r="I300" s="1">
        <v>0</v>
      </c>
      <c r="J300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>
        <v>1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</row>
    <row r="301" spans="1:83" x14ac:dyDescent="0.3">
      <c r="A301" s="5"/>
      <c r="B301" t="s">
        <v>189</v>
      </c>
      <c r="C301" s="2" t="s">
        <v>82</v>
      </c>
      <c r="D301">
        <v>4</v>
      </c>
      <c r="E301">
        <v>0</v>
      </c>
      <c r="F301">
        <v>0</v>
      </c>
      <c r="G301" s="1">
        <v>0</v>
      </c>
      <c r="H301">
        <v>0</v>
      </c>
      <c r="I301" s="1">
        <v>0</v>
      </c>
      <c r="J30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>
        <v>1</v>
      </c>
      <c r="AF301" s="1">
        <v>0</v>
      </c>
      <c r="AG301" s="1">
        <v>0</v>
      </c>
      <c r="AH301">
        <v>0</v>
      </c>
      <c r="AI301" s="1">
        <v>0</v>
      </c>
      <c r="AJ301">
        <v>2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>
        <v>1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</row>
    <row r="302" spans="1:83" x14ac:dyDescent="0.3">
      <c r="A302" s="5"/>
      <c r="B302" t="s">
        <v>189</v>
      </c>
      <c r="C302" s="2" t="s">
        <v>85</v>
      </c>
      <c r="D302">
        <v>2</v>
      </c>
      <c r="E302">
        <v>0</v>
      </c>
      <c r="F302">
        <v>0</v>
      </c>
      <c r="G302" s="1">
        <v>0</v>
      </c>
      <c r="H302">
        <v>0</v>
      </c>
      <c r="I302" s="1">
        <v>0</v>
      </c>
      <c r="J302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>
        <v>0</v>
      </c>
      <c r="AI302" s="1">
        <v>0</v>
      </c>
      <c r="AJ302">
        <v>1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>
        <v>1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</row>
    <row r="303" spans="1:83" x14ac:dyDescent="0.3">
      <c r="A303" s="5"/>
      <c r="B303" t="s">
        <v>189</v>
      </c>
      <c r="C303" s="2" t="s">
        <v>86</v>
      </c>
      <c r="D303">
        <v>2</v>
      </c>
      <c r="E303">
        <v>0</v>
      </c>
      <c r="F303">
        <v>0</v>
      </c>
      <c r="G303" s="1">
        <v>0</v>
      </c>
      <c r="H303">
        <v>0</v>
      </c>
      <c r="I303" s="1">
        <v>0</v>
      </c>
      <c r="J303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>
        <v>1</v>
      </c>
      <c r="AF303" s="1">
        <v>0</v>
      </c>
      <c r="AG303" s="1">
        <v>0</v>
      </c>
      <c r="AH303">
        <v>0</v>
      </c>
      <c r="AI303" s="1">
        <v>0</v>
      </c>
      <c r="AJ303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</row>
    <row r="304" spans="1:83" x14ac:dyDescent="0.3">
      <c r="A304" s="5"/>
      <c r="B304" t="s">
        <v>190</v>
      </c>
      <c r="C304" s="2" t="s">
        <v>82</v>
      </c>
      <c r="D304">
        <v>3</v>
      </c>
      <c r="E304">
        <v>0</v>
      </c>
      <c r="F304">
        <v>0</v>
      </c>
      <c r="G304" s="1">
        <v>0</v>
      </c>
      <c r="H304">
        <v>0</v>
      </c>
      <c r="I304" s="1">
        <v>0</v>
      </c>
      <c r="J304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>
        <v>1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>
        <v>0</v>
      </c>
      <c r="AI304" s="1">
        <v>0</v>
      </c>
      <c r="AJ304" s="1">
        <v>0</v>
      </c>
      <c r="AK304" s="1">
        <v>0</v>
      </c>
      <c r="AL304" s="1">
        <v>0</v>
      </c>
      <c r="AM304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>
        <v>1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</row>
    <row r="305" spans="1:83" x14ac:dyDescent="0.3">
      <c r="A305" s="5"/>
      <c r="B305" t="s">
        <v>190</v>
      </c>
      <c r="C305" s="2" t="s">
        <v>85</v>
      </c>
      <c r="D305">
        <v>1</v>
      </c>
      <c r="E305">
        <v>0</v>
      </c>
      <c r="F305">
        <v>0</v>
      </c>
      <c r="G305" s="1">
        <v>0</v>
      </c>
      <c r="H305">
        <v>0</v>
      </c>
      <c r="I305" s="1">
        <v>0</v>
      </c>
      <c r="J305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>
        <v>0</v>
      </c>
      <c r="AI305" s="1">
        <v>0</v>
      </c>
      <c r="AJ305" s="1">
        <v>0</v>
      </c>
      <c r="AK305" s="1">
        <v>0</v>
      </c>
      <c r="AL305" s="1">
        <v>0</v>
      </c>
      <c r="AM305">
        <v>1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</row>
    <row r="306" spans="1:83" x14ac:dyDescent="0.3">
      <c r="A306" s="5"/>
      <c r="B306" t="s">
        <v>190</v>
      </c>
      <c r="C306" s="2" t="s">
        <v>86</v>
      </c>
      <c r="D306">
        <v>2</v>
      </c>
      <c r="E306">
        <v>0</v>
      </c>
      <c r="F306">
        <v>0</v>
      </c>
      <c r="G306" s="1">
        <v>0</v>
      </c>
      <c r="H306">
        <v>0</v>
      </c>
      <c r="I306" s="1">
        <v>0</v>
      </c>
      <c r="J306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>
        <v>1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>
        <v>1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</row>
    <row r="307" spans="1:83" x14ac:dyDescent="0.3">
      <c r="A307" s="5"/>
      <c r="B307" t="s">
        <v>191</v>
      </c>
      <c r="C307" s="2" t="s">
        <v>82</v>
      </c>
      <c r="D307">
        <v>3</v>
      </c>
      <c r="E307">
        <v>0</v>
      </c>
      <c r="F307">
        <v>0</v>
      </c>
      <c r="G307" s="1">
        <v>0</v>
      </c>
      <c r="H307">
        <v>0</v>
      </c>
      <c r="I307" s="1">
        <v>0</v>
      </c>
      <c r="J307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>
        <v>0</v>
      </c>
      <c r="AI307" s="1">
        <v>0</v>
      </c>
      <c r="AJ307">
        <v>1</v>
      </c>
      <c r="AK307">
        <v>2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</row>
    <row r="308" spans="1:83" x14ac:dyDescent="0.3">
      <c r="A308" s="5"/>
      <c r="B308" t="s">
        <v>191</v>
      </c>
      <c r="C308" s="2" t="s">
        <v>85</v>
      </c>
      <c r="D308">
        <v>2</v>
      </c>
      <c r="E308">
        <v>0</v>
      </c>
      <c r="F308">
        <v>0</v>
      </c>
      <c r="G308" s="1">
        <v>0</v>
      </c>
      <c r="H308">
        <v>0</v>
      </c>
      <c r="I308" s="1">
        <v>0</v>
      </c>
      <c r="J308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>
        <v>0</v>
      </c>
      <c r="AI308" s="1">
        <v>0</v>
      </c>
      <c r="AJ308">
        <v>1</v>
      </c>
      <c r="AK308">
        <v>1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</row>
    <row r="309" spans="1:83" x14ac:dyDescent="0.3">
      <c r="A309" s="5"/>
      <c r="B309" t="s">
        <v>191</v>
      </c>
      <c r="C309" s="2" t="s">
        <v>86</v>
      </c>
      <c r="D309">
        <v>1</v>
      </c>
      <c r="E309">
        <v>0</v>
      </c>
      <c r="F309">
        <v>0</v>
      </c>
      <c r="G309" s="1">
        <v>0</v>
      </c>
      <c r="H309">
        <v>0</v>
      </c>
      <c r="I309" s="1">
        <v>0</v>
      </c>
      <c r="J309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>
        <v>0</v>
      </c>
      <c r="AI309" s="1">
        <v>0</v>
      </c>
      <c r="AJ309" s="1">
        <v>0</v>
      </c>
      <c r="AK309">
        <v>1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</row>
    <row r="310" spans="1:83" x14ac:dyDescent="0.3">
      <c r="A310" s="5"/>
      <c r="B310" t="s">
        <v>192</v>
      </c>
      <c r="C310" s="2" t="s">
        <v>82</v>
      </c>
      <c r="D310">
        <v>2</v>
      </c>
      <c r="E310">
        <v>0</v>
      </c>
      <c r="F310">
        <v>0</v>
      </c>
      <c r="G310" s="1">
        <v>0</v>
      </c>
      <c r="H310">
        <v>0</v>
      </c>
      <c r="I310" s="1">
        <v>0</v>
      </c>
      <c r="J310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>
        <v>2</v>
      </c>
      <c r="AG310" s="1">
        <v>0</v>
      </c>
      <c r="AH310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</row>
    <row r="311" spans="1:83" x14ac:dyDescent="0.3">
      <c r="A311" s="5"/>
      <c r="B311" t="s">
        <v>192</v>
      </c>
      <c r="C311" s="2" t="s">
        <v>86</v>
      </c>
      <c r="D311">
        <v>2</v>
      </c>
      <c r="E311">
        <v>0</v>
      </c>
      <c r="F311">
        <v>0</v>
      </c>
      <c r="G311" s="1">
        <v>0</v>
      </c>
      <c r="H311">
        <v>0</v>
      </c>
      <c r="I311" s="1">
        <v>0</v>
      </c>
      <c r="J31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>
        <v>2</v>
      </c>
      <c r="AG311" s="1">
        <v>0</v>
      </c>
      <c r="AH31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</row>
    <row r="312" spans="1:83" x14ac:dyDescent="0.3">
      <c r="A312" s="5"/>
      <c r="B312" t="s">
        <v>193</v>
      </c>
      <c r="C312" s="2" t="s">
        <v>82</v>
      </c>
      <c r="D312">
        <v>1</v>
      </c>
      <c r="E312">
        <v>0</v>
      </c>
      <c r="F312">
        <v>0</v>
      </c>
      <c r="G312" s="1">
        <v>0</v>
      </c>
      <c r="H312">
        <v>0</v>
      </c>
      <c r="I312" s="1">
        <v>0</v>
      </c>
      <c r="J312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>
        <v>1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</row>
    <row r="313" spans="1:83" x14ac:dyDescent="0.3">
      <c r="A313" s="5"/>
      <c r="B313" t="s">
        <v>193</v>
      </c>
      <c r="C313" s="2" t="s">
        <v>85</v>
      </c>
      <c r="D313">
        <v>1</v>
      </c>
      <c r="E313">
        <v>0</v>
      </c>
      <c r="F313">
        <v>0</v>
      </c>
      <c r="G313" s="1">
        <v>0</v>
      </c>
      <c r="H313">
        <v>0</v>
      </c>
      <c r="I313" s="1">
        <v>0</v>
      </c>
      <c r="J313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>
        <v>1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</row>
    <row r="314" spans="1:83" x14ac:dyDescent="0.3">
      <c r="A314" s="5"/>
      <c r="B314" t="s">
        <v>194</v>
      </c>
      <c r="C314" s="2" t="s">
        <v>82</v>
      </c>
      <c r="D314">
        <v>1</v>
      </c>
      <c r="E314">
        <v>0</v>
      </c>
      <c r="F314">
        <v>0</v>
      </c>
      <c r="G314" s="1">
        <v>0</v>
      </c>
      <c r="H314">
        <v>0</v>
      </c>
      <c r="I314" s="1">
        <v>0</v>
      </c>
      <c r="J314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>
        <v>0</v>
      </c>
      <c r="AI314" s="1">
        <v>0</v>
      </c>
      <c r="AJ314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</row>
    <row r="315" spans="1:83" x14ac:dyDescent="0.3">
      <c r="A315" s="5"/>
      <c r="B315" t="s">
        <v>194</v>
      </c>
      <c r="C315" s="2" t="s">
        <v>85</v>
      </c>
      <c r="D315">
        <v>1</v>
      </c>
      <c r="E315">
        <v>0</v>
      </c>
      <c r="F315">
        <v>0</v>
      </c>
      <c r="G315" s="1">
        <v>0</v>
      </c>
      <c r="H315">
        <v>0</v>
      </c>
      <c r="I315" s="1">
        <v>0</v>
      </c>
      <c r="J315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>
        <v>0</v>
      </c>
      <c r="AI315" s="1">
        <v>0</v>
      </c>
      <c r="AJ315">
        <v>1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</row>
    <row r="316" spans="1:83" x14ac:dyDescent="0.3">
      <c r="A316" s="5"/>
      <c r="B316" t="s">
        <v>195</v>
      </c>
      <c r="C316" s="2" t="s">
        <v>82</v>
      </c>
      <c r="D316">
        <v>1</v>
      </c>
      <c r="E316">
        <v>0</v>
      </c>
      <c r="F316">
        <v>0</v>
      </c>
      <c r="G316" s="1">
        <v>0</v>
      </c>
      <c r="H316">
        <v>0</v>
      </c>
      <c r="I316" s="1">
        <v>0</v>
      </c>
      <c r="J316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>
        <v>0</v>
      </c>
      <c r="AI316" s="1">
        <v>0</v>
      </c>
      <c r="AJ316" s="1">
        <v>0</v>
      </c>
      <c r="AK316">
        <v>1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</row>
    <row r="317" spans="1:83" x14ac:dyDescent="0.3">
      <c r="A317" s="5"/>
      <c r="B317" t="s">
        <v>195</v>
      </c>
      <c r="C317" s="2" t="s">
        <v>86</v>
      </c>
      <c r="D317">
        <v>1</v>
      </c>
      <c r="E317">
        <v>0</v>
      </c>
      <c r="F317">
        <v>0</v>
      </c>
      <c r="G317" s="1">
        <v>0</v>
      </c>
      <c r="H317">
        <v>0</v>
      </c>
      <c r="I317" s="1">
        <v>0</v>
      </c>
      <c r="J317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>
        <v>0</v>
      </c>
      <c r="AI317" s="1">
        <v>0</v>
      </c>
      <c r="AJ317" s="1">
        <v>0</v>
      </c>
      <c r="AK317">
        <v>1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</row>
    <row r="318" spans="1:83" x14ac:dyDescent="0.3">
      <c r="A318" s="5"/>
      <c r="B318" t="s">
        <v>196</v>
      </c>
      <c r="C318" s="2" t="s">
        <v>82</v>
      </c>
      <c r="D318">
        <v>1</v>
      </c>
      <c r="E318">
        <v>0</v>
      </c>
      <c r="F318">
        <v>0</v>
      </c>
      <c r="G318" s="1">
        <v>0</v>
      </c>
      <c r="H318">
        <v>0</v>
      </c>
      <c r="I318" s="1">
        <v>0</v>
      </c>
      <c r="J318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>
        <v>1</v>
      </c>
      <c r="AD318" s="1">
        <v>0</v>
      </c>
      <c r="AE318" s="1">
        <v>0</v>
      </c>
      <c r="AF318" s="1">
        <v>0</v>
      </c>
      <c r="AG318" s="1">
        <v>0</v>
      </c>
      <c r="AH318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</row>
    <row r="319" spans="1:83" x14ac:dyDescent="0.3">
      <c r="A319" s="5"/>
      <c r="B319" t="s">
        <v>196</v>
      </c>
      <c r="C319" s="2" t="s">
        <v>85</v>
      </c>
      <c r="D319">
        <v>1</v>
      </c>
      <c r="E319">
        <v>0</v>
      </c>
      <c r="F319">
        <v>0</v>
      </c>
      <c r="G319" s="1">
        <v>0</v>
      </c>
      <c r="H319">
        <v>0</v>
      </c>
      <c r="I319" s="1">
        <v>0</v>
      </c>
      <c r="J319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>
        <v>1</v>
      </c>
      <c r="AD319" s="1">
        <v>0</v>
      </c>
      <c r="AE319" s="1">
        <v>0</v>
      </c>
      <c r="AF319" s="1">
        <v>0</v>
      </c>
      <c r="AG319" s="1">
        <v>0</v>
      </c>
      <c r="AH319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</row>
    <row r="320" spans="1:83" x14ac:dyDescent="0.3">
      <c r="A320" s="4" t="s">
        <v>235</v>
      </c>
      <c r="B320" s="4"/>
      <c r="C320" s="2" t="s">
        <v>82</v>
      </c>
      <c r="D320">
        <v>271</v>
      </c>
      <c r="E320">
        <v>0</v>
      </c>
      <c r="F320">
        <v>0</v>
      </c>
      <c r="G320">
        <v>2</v>
      </c>
      <c r="H320">
        <v>0</v>
      </c>
      <c r="I320" s="1">
        <v>0</v>
      </c>
      <c r="J320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>
        <v>3</v>
      </c>
      <c r="R320" s="1">
        <v>0</v>
      </c>
      <c r="S320" s="1">
        <v>0</v>
      </c>
      <c r="T320" s="1">
        <v>0</v>
      </c>
      <c r="U320" s="1">
        <v>0</v>
      </c>
      <c r="V320">
        <v>3</v>
      </c>
      <c r="W320">
        <v>6</v>
      </c>
      <c r="X320">
        <v>1</v>
      </c>
      <c r="Y320">
        <v>7</v>
      </c>
      <c r="Z320" s="1">
        <v>0</v>
      </c>
      <c r="AA320" s="1">
        <v>0</v>
      </c>
      <c r="AB320" s="1">
        <v>0</v>
      </c>
      <c r="AC320">
        <v>8</v>
      </c>
      <c r="AD320" s="1">
        <v>0</v>
      </c>
      <c r="AE320" s="1">
        <v>0</v>
      </c>
      <c r="AF320">
        <v>87</v>
      </c>
      <c r="AG320" s="1">
        <v>0</v>
      </c>
      <c r="AH320">
        <v>6</v>
      </c>
      <c r="AI320" s="1">
        <v>0</v>
      </c>
      <c r="AJ320">
        <v>76</v>
      </c>
      <c r="AK320" s="1">
        <v>0</v>
      </c>
      <c r="AL320">
        <v>12</v>
      </c>
      <c r="AM320">
        <v>32</v>
      </c>
      <c r="AN320" s="1">
        <v>0</v>
      </c>
      <c r="AO320" s="1">
        <v>0</v>
      </c>
      <c r="AP320">
        <v>2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>
        <v>4</v>
      </c>
      <c r="BR320" s="1">
        <v>0</v>
      </c>
      <c r="BS320" s="1">
        <v>0</v>
      </c>
      <c r="BT320" s="1">
        <v>0</v>
      </c>
      <c r="BU320" s="1">
        <v>0</v>
      </c>
      <c r="BV320">
        <v>3</v>
      </c>
      <c r="BW320">
        <v>4</v>
      </c>
      <c r="BX320">
        <v>4</v>
      </c>
      <c r="BY320" s="1">
        <v>0</v>
      </c>
      <c r="BZ320" s="1">
        <v>0</v>
      </c>
      <c r="CA320">
        <v>1</v>
      </c>
      <c r="CB320" s="1">
        <v>0</v>
      </c>
      <c r="CC320" s="1">
        <v>0</v>
      </c>
      <c r="CD320">
        <v>10</v>
      </c>
      <c r="CE320" s="1">
        <v>0</v>
      </c>
    </row>
    <row r="321" spans="1:83" x14ac:dyDescent="0.3">
      <c r="A321" s="4"/>
      <c r="B321" s="4"/>
      <c r="C321" s="2" t="s">
        <v>85</v>
      </c>
      <c r="D321">
        <f>D324+D327+D330+D332</f>
        <v>124</v>
      </c>
      <c r="E321">
        <f t="shared" ref="E321:BP321" si="20">E324+E327+E330+E332</f>
        <v>0</v>
      </c>
      <c r="F321">
        <f t="shared" si="20"/>
        <v>0</v>
      </c>
      <c r="G321">
        <f t="shared" si="20"/>
        <v>2</v>
      </c>
      <c r="H321">
        <f t="shared" si="20"/>
        <v>0</v>
      </c>
      <c r="I321">
        <f t="shared" si="20"/>
        <v>0</v>
      </c>
      <c r="J321">
        <f t="shared" si="20"/>
        <v>0</v>
      </c>
      <c r="K321">
        <f t="shared" si="20"/>
        <v>0</v>
      </c>
      <c r="L321">
        <f t="shared" si="20"/>
        <v>0</v>
      </c>
      <c r="M321">
        <f t="shared" si="20"/>
        <v>0</v>
      </c>
      <c r="N321">
        <f t="shared" si="20"/>
        <v>0</v>
      </c>
      <c r="O321">
        <f t="shared" si="20"/>
        <v>0</v>
      </c>
      <c r="P321">
        <f t="shared" si="20"/>
        <v>0</v>
      </c>
      <c r="Q321">
        <f t="shared" si="20"/>
        <v>1</v>
      </c>
      <c r="R321">
        <f t="shared" si="20"/>
        <v>0</v>
      </c>
      <c r="S321">
        <f t="shared" si="20"/>
        <v>0</v>
      </c>
      <c r="T321">
        <f t="shared" si="20"/>
        <v>0</v>
      </c>
      <c r="U321">
        <f t="shared" si="20"/>
        <v>0</v>
      </c>
      <c r="V321">
        <f t="shared" si="20"/>
        <v>1</v>
      </c>
      <c r="W321">
        <f t="shared" si="20"/>
        <v>3</v>
      </c>
      <c r="X321">
        <f t="shared" si="20"/>
        <v>1</v>
      </c>
      <c r="Y321">
        <f t="shared" si="20"/>
        <v>7</v>
      </c>
      <c r="Z321">
        <f t="shared" si="20"/>
        <v>0</v>
      </c>
      <c r="AA321">
        <f t="shared" si="20"/>
        <v>0</v>
      </c>
      <c r="AB321">
        <f t="shared" si="20"/>
        <v>0</v>
      </c>
      <c r="AC321">
        <f t="shared" si="20"/>
        <v>8</v>
      </c>
      <c r="AD321">
        <f t="shared" si="20"/>
        <v>0</v>
      </c>
      <c r="AE321">
        <f t="shared" si="20"/>
        <v>0</v>
      </c>
      <c r="AF321">
        <f t="shared" si="20"/>
        <v>26</v>
      </c>
      <c r="AG321">
        <f t="shared" si="20"/>
        <v>0</v>
      </c>
      <c r="AH321">
        <f t="shared" si="20"/>
        <v>6</v>
      </c>
      <c r="AI321">
        <f t="shared" si="20"/>
        <v>0</v>
      </c>
      <c r="AJ321">
        <f t="shared" si="20"/>
        <v>33</v>
      </c>
      <c r="AK321">
        <f t="shared" si="20"/>
        <v>0</v>
      </c>
      <c r="AL321">
        <f t="shared" si="20"/>
        <v>10</v>
      </c>
      <c r="AM321">
        <f t="shared" si="20"/>
        <v>18</v>
      </c>
      <c r="AN321">
        <f t="shared" si="20"/>
        <v>0</v>
      </c>
      <c r="AO321">
        <f t="shared" si="20"/>
        <v>0</v>
      </c>
      <c r="AP321">
        <f t="shared" si="20"/>
        <v>2</v>
      </c>
      <c r="AQ321">
        <f t="shared" si="20"/>
        <v>0</v>
      </c>
      <c r="AR321">
        <f t="shared" si="20"/>
        <v>0</v>
      </c>
      <c r="AS321">
        <f t="shared" si="20"/>
        <v>0</v>
      </c>
      <c r="AT321">
        <f t="shared" si="20"/>
        <v>0</v>
      </c>
      <c r="AU321">
        <f t="shared" si="20"/>
        <v>0</v>
      </c>
      <c r="AV321">
        <f t="shared" si="20"/>
        <v>0</v>
      </c>
      <c r="AW321">
        <f t="shared" si="20"/>
        <v>0</v>
      </c>
      <c r="AX321">
        <f t="shared" si="20"/>
        <v>0</v>
      </c>
      <c r="AY321">
        <f t="shared" si="20"/>
        <v>0</v>
      </c>
      <c r="AZ321">
        <f t="shared" si="20"/>
        <v>0</v>
      </c>
      <c r="BA321">
        <f t="shared" si="20"/>
        <v>0</v>
      </c>
      <c r="BB321">
        <f t="shared" si="20"/>
        <v>0</v>
      </c>
      <c r="BC321">
        <f t="shared" si="20"/>
        <v>0</v>
      </c>
      <c r="BD321">
        <f t="shared" si="20"/>
        <v>0</v>
      </c>
      <c r="BE321">
        <f t="shared" si="20"/>
        <v>0</v>
      </c>
      <c r="BF321">
        <f t="shared" si="20"/>
        <v>0</v>
      </c>
      <c r="BG321">
        <f t="shared" si="20"/>
        <v>0</v>
      </c>
      <c r="BH321">
        <f t="shared" si="20"/>
        <v>0</v>
      </c>
      <c r="BI321">
        <f t="shared" si="20"/>
        <v>0</v>
      </c>
      <c r="BJ321">
        <f t="shared" si="20"/>
        <v>0</v>
      </c>
      <c r="BK321">
        <f t="shared" si="20"/>
        <v>0</v>
      </c>
      <c r="BL321">
        <f t="shared" si="20"/>
        <v>0</v>
      </c>
      <c r="BM321">
        <f t="shared" si="20"/>
        <v>0</v>
      </c>
      <c r="BN321">
        <f t="shared" si="20"/>
        <v>0</v>
      </c>
      <c r="BO321">
        <f t="shared" si="20"/>
        <v>0</v>
      </c>
      <c r="BP321">
        <f t="shared" si="20"/>
        <v>0</v>
      </c>
      <c r="BQ321">
        <f t="shared" ref="BQ321:CE321" si="21">BQ324+BQ327+BQ330+BQ332</f>
        <v>1</v>
      </c>
      <c r="BR321">
        <f t="shared" si="21"/>
        <v>0</v>
      </c>
      <c r="BS321">
        <f t="shared" si="21"/>
        <v>0</v>
      </c>
      <c r="BT321">
        <f t="shared" si="21"/>
        <v>0</v>
      </c>
      <c r="BU321">
        <f t="shared" si="21"/>
        <v>0</v>
      </c>
      <c r="BV321">
        <f t="shared" si="21"/>
        <v>1</v>
      </c>
      <c r="BW321">
        <f t="shared" si="21"/>
        <v>2</v>
      </c>
      <c r="BX321">
        <f t="shared" si="21"/>
        <v>0</v>
      </c>
      <c r="BY321">
        <f t="shared" si="21"/>
        <v>0</v>
      </c>
      <c r="BZ321">
        <f t="shared" si="21"/>
        <v>0</v>
      </c>
      <c r="CA321">
        <f t="shared" si="21"/>
        <v>0</v>
      </c>
      <c r="CB321">
        <f t="shared" si="21"/>
        <v>0</v>
      </c>
      <c r="CC321">
        <f t="shared" si="21"/>
        <v>0</v>
      </c>
      <c r="CD321">
        <f t="shared" si="21"/>
        <v>2</v>
      </c>
      <c r="CE321">
        <f t="shared" si="21"/>
        <v>0</v>
      </c>
    </row>
    <row r="322" spans="1:83" x14ac:dyDescent="0.3">
      <c r="A322" s="4"/>
      <c r="B322" s="4"/>
      <c r="C322" s="2" t="s">
        <v>86</v>
      </c>
      <c r="D322">
        <f>D325+D328+D333+D335</f>
        <v>147</v>
      </c>
      <c r="E322">
        <f t="shared" ref="E322:BP322" si="22">E325+E328+E333+E335</f>
        <v>0</v>
      </c>
      <c r="F322">
        <f t="shared" si="22"/>
        <v>0</v>
      </c>
      <c r="G322">
        <f t="shared" si="22"/>
        <v>0</v>
      </c>
      <c r="H322">
        <f t="shared" si="22"/>
        <v>0</v>
      </c>
      <c r="I322">
        <f t="shared" si="22"/>
        <v>0</v>
      </c>
      <c r="J322">
        <f t="shared" si="22"/>
        <v>0</v>
      </c>
      <c r="K322">
        <f t="shared" si="22"/>
        <v>0</v>
      </c>
      <c r="L322">
        <f t="shared" si="22"/>
        <v>0</v>
      </c>
      <c r="M322">
        <f t="shared" si="22"/>
        <v>0</v>
      </c>
      <c r="N322">
        <f t="shared" si="22"/>
        <v>0</v>
      </c>
      <c r="O322">
        <f t="shared" si="22"/>
        <v>0</v>
      </c>
      <c r="P322">
        <f t="shared" si="22"/>
        <v>0</v>
      </c>
      <c r="Q322">
        <f t="shared" si="22"/>
        <v>2</v>
      </c>
      <c r="R322">
        <f t="shared" si="22"/>
        <v>0</v>
      </c>
      <c r="S322">
        <f t="shared" si="22"/>
        <v>0</v>
      </c>
      <c r="T322">
        <f t="shared" si="22"/>
        <v>0</v>
      </c>
      <c r="U322">
        <f t="shared" si="22"/>
        <v>0</v>
      </c>
      <c r="V322">
        <f t="shared" si="22"/>
        <v>2</v>
      </c>
      <c r="W322">
        <f t="shared" si="22"/>
        <v>3</v>
      </c>
      <c r="X322">
        <f t="shared" si="22"/>
        <v>0</v>
      </c>
      <c r="Y322">
        <f t="shared" si="22"/>
        <v>0</v>
      </c>
      <c r="Z322">
        <f t="shared" si="22"/>
        <v>0</v>
      </c>
      <c r="AA322">
        <f t="shared" si="22"/>
        <v>0</v>
      </c>
      <c r="AB322">
        <f t="shared" si="22"/>
        <v>0</v>
      </c>
      <c r="AC322">
        <f t="shared" si="22"/>
        <v>0</v>
      </c>
      <c r="AD322">
        <f t="shared" si="22"/>
        <v>0</v>
      </c>
      <c r="AE322">
        <f t="shared" si="22"/>
        <v>0</v>
      </c>
      <c r="AF322">
        <f t="shared" si="22"/>
        <v>61</v>
      </c>
      <c r="AG322">
        <f t="shared" si="22"/>
        <v>0</v>
      </c>
      <c r="AH322">
        <f t="shared" si="22"/>
        <v>0</v>
      </c>
      <c r="AI322">
        <f t="shared" si="22"/>
        <v>0</v>
      </c>
      <c r="AJ322">
        <f t="shared" si="22"/>
        <v>43</v>
      </c>
      <c r="AK322">
        <f t="shared" si="22"/>
        <v>0</v>
      </c>
      <c r="AL322">
        <f t="shared" si="22"/>
        <v>2</v>
      </c>
      <c r="AM322">
        <f t="shared" si="22"/>
        <v>14</v>
      </c>
      <c r="AN322">
        <f t="shared" si="22"/>
        <v>0</v>
      </c>
      <c r="AO322">
        <f t="shared" si="22"/>
        <v>0</v>
      </c>
      <c r="AP322">
        <f t="shared" si="22"/>
        <v>0</v>
      </c>
      <c r="AQ322">
        <f t="shared" si="22"/>
        <v>0</v>
      </c>
      <c r="AR322">
        <f t="shared" si="22"/>
        <v>0</v>
      </c>
      <c r="AS322">
        <f t="shared" si="22"/>
        <v>0</v>
      </c>
      <c r="AT322">
        <f t="shared" si="22"/>
        <v>0</v>
      </c>
      <c r="AU322">
        <f t="shared" si="22"/>
        <v>0</v>
      </c>
      <c r="AV322">
        <f t="shared" si="22"/>
        <v>0</v>
      </c>
      <c r="AW322">
        <f t="shared" si="22"/>
        <v>0</v>
      </c>
      <c r="AX322">
        <f t="shared" si="22"/>
        <v>0</v>
      </c>
      <c r="AY322">
        <f t="shared" si="22"/>
        <v>0</v>
      </c>
      <c r="AZ322">
        <f t="shared" si="22"/>
        <v>0</v>
      </c>
      <c r="BA322">
        <f t="shared" si="22"/>
        <v>0</v>
      </c>
      <c r="BB322">
        <f t="shared" si="22"/>
        <v>0</v>
      </c>
      <c r="BC322">
        <f t="shared" si="22"/>
        <v>0</v>
      </c>
      <c r="BD322">
        <f t="shared" si="22"/>
        <v>0</v>
      </c>
      <c r="BE322">
        <f t="shared" si="22"/>
        <v>0</v>
      </c>
      <c r="BF322">
        <f t="shared" si="22"/>
        <v>0</v>
      </c>
      <c r="BG322">
        <f t="shared" si="22"/>
        <v>0</v>
      </c>
      <c r="BH322">
        <f t="shared" si="22"/>
        <v>0</v>
      </c>
      <c r="BI322">
        <f t="shared" si="22"/>
        <v>0</v>
      </c>
      <c r="BJ322">
        <f t="shared" si="22"/>
        <v>0</v>
      </c>
      <c r="BK322">
        <f t="shared" si="22"/>
        <v>0</v>
      </c>
      <c r="BL322">
        <f t="shared" si="22"/>
        <v>0</v>
      </c>
      <c r="BM322">
        <f t="shared" si="22"/>
        <v>0</v>
      </c>
      <c r="BN322">
        <f t="shared" si="22"/>
        <v>0</v>
      </c>
      <c r="BO322">
        <f t="shared" si="22"/>
        <v>0</v>
      </c>
      <c r="BP322">
        <f t="shared" si="22"/>
        <v>0</v>
      </c>
      <c r="BQ322">
        <f t="shared" ref="BQ322:CE322" si="23">BQ325+BQ328+BQ333+BQ335</f>
        <v>3</v>
      </c>
      <c r="BR322">
        <f t="shared" si="23"/>
        <v>0</v>
      </c>
      <c r="BS322">
        <f t="shared" si="23"/>
        <v>0</v>
      </c>
      <c r="BT322">
        <f t="shared" si="23"/>
        <v>0</v>
      </c>
      <c r="BU322">
        <f t="shared" si="23"/>
        <v>0</v>
      </c>
      <c r="BV322">
        <f t="shared" si="23"/>
        <v>2</v>
      </c>
      <c r="BW322">
        <f t="shared" si="23"/>
        <v>2</v>
      </c>
      <c r="BX322">
        <f t="shared" si="23"/>
        <v>4</v>
      </c>
      <c r="BY322">
        <f t="shared" si="23"/>
        <v>0</v>
      </c>
      <c r="BZ322">
        <f t="shared" si="23"/>
        <v>0</v>
      </c>
      <c r="CA322">
        <f t="shared" si="23"/>
        <v>1</v>
      </c>
      <c r="CB322">
        <f t="shared" si="23"/>
        <v>0</v>
      </c>
      <c r="CC322">
        <f t="shared" si="23"/>
        <v>0</v>
      </c>
      <c r="CD322">
        <f t="shared" si="23"/>
        <v>8</v>
      </c>
      <c r="CE322">
        <f t="shared" si="23"/>
        <v>0</v>
      </c>
    </row>
    <row r="323" spans="1:83" x14ac:dyDescent="0.3">
      <c r="A323" s="4" t="s">
        <v>197</v>
      </c>
      <c r="B323" t="s">
        <v>198</v>
      </c>
      <c r="C323" s="2" t="s">
        <v>82</v>
      </c>
      <c r="D323">
        <v>209</v>
      </c>
      <c r="E323">
        <v>0</v>
      </c>
      <c r="F323">
        <v>0</v>
      </c>
      <c r="G323">
        <v>0</v>
      </c>
      <c r="H323">
        <v>0</v>
      </c>
      <c r="I323" s="1">
        <v>0</v>
      </c>
      <c r="J323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>
        <v>2</v>
      </c>
      <c r="R323" s="1">
        <v>0</v>
      </c>
      <c r="S323" s="1">
        <v>0</v>
      </c>
      <c r="T323" s="1">
        <v>0</v>
      </c>
      <c r="U323" s="1">
        <v>0</v>
      </c>
      <c r="V323">
        <v>1</v>
      </c>
      <c r="W323">
        <v>5</v>
      </c>
      <c r="X323">
        <v>1</v>
      </c>
      <c r="Y323">
        <v>5</v>
      </c>
      <c r="Z323" s="1">
        <v>0</v>
      </c>
      <c r="AA323" s="1">
        <v>0</v>
      </c>
      <c r="AB323" s="1">
        <v>0</v>
      </c>
      <c r="AC323">
        <v>8</v>
      </c>
      <c r="AD323" s="1">
        <v>0</v>
      </c>
      <c r="AE323" s="1">
        <v>0</v>
      </c>
      <c r="AF323">
        <v>62</v>
      </c>
      <c r="AG323" s="1">
        <v>0</v>
      </c>
      <c r="AH323">
        <v>6</v>
      </c>
      <c r="AI323" s="1">
        <v>0</v>
      </c>
      <c r="AJ323">
        <v>62</v>
      </c>
      <c r="AK323" s="1">
        <v>0</v>
      </c>
      <c r="AL323">
        <v>8</v>
      </c>
      <c r="AM323">
        <v>25</v>
      </c>
      <c r="AN323" s="1">
        <v>0</v>
      </c>
      <c r="AO323" s="1">
        <v>0</v>
      </c>
      <c r="AP323">
        <v>1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>
        <v>4</v>
      </c>
      <c r="BR323" s="1">
        <v>0</v>
      </c>
      <c r="BS323" s="1">
        <v>0</v>
      </c>
      <c r="BT323" s="1">
        <v>0</v>
      </c>
      <c r="BU323" s="1">
        <v>0</v>
      </c>
      <c r="BV323">
        <v>3</v>
      </c>
      <c r="BW323">
        <v>4</v>
      </c>
      <c r="BX323">
        <v>4</v>
      </c>
      <c r="BY323" s="1">
        <v>0</v>
      </c>
      <c r="BZ323" s="1">
        <v>0</v>
      </c>
      <c r="CA323">
        <v>1</v>
      </c>
      <c r="CB323" s="1">
        <v>0</v>
      </c>
      <c r="CC323" s="1">
        <v>0</v>
      </c>
      <c r="CD323">
        <v>7</v>
      </c>
      <c r="CE323" s="1">
        <v>0</v>
      </c>
    </row>
    <row r="324" spans="1:83" x14ac:dyDescent="0.3">
      <c r="A324" s="4"/>
      <c r="B324" t="s">
        <v>198</v>
      </c>
      <c r="C324" s="2" t="s">
        <v>85</v>
      </c>
      <c r="D324">
        <v>105</v>
      </c>
      <c r="E324">
        <v>0</v>
      </c>
      <c r="F324">
        <v>0</v>
      </c>
      <c r="G324">
        <v>0</v>
      </c>
      <c r="H324">
        <v>0</v>
      </c>
      <c r="I324" s="1">
        <v>0</v>
      </c>
      <c r="J324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>
        <v>1</v>
      </c>
      <c r="R324" s="1">
        <v>0</v>
      </c>
      <c r="S324" s="1">
        <v>0</v>
      </c>
      <c r="T324" s="1">
        <v>0</v>
      </c>
      <c r="U324" s="1">
        <v>0</v>
      </c>
      <c r="V324">
        <v>1</v>
      </c>
      <c r="W324">
        <v>3</v>
      </c>
      <c r="X324">
        <v>1</v>
      </c>
      <c r="Y324">
        <v>5</v>
      </c>
      <c r="Z324" s="1">
        <v>0</v>
      </c>
      <c r="AA324" s="1">
        <v>0</v>
      </c>
      <c r="AB324" s="1">
        <v>0</v>
      </c>
      <c r="AC324">
        <v>8</v>
      </c>
      <c r="AD324" s="1">
        <v>0</v>
      </c>
      <c r="AE324" s="1">
        <v>0</v>
      </c>
      <c r="AF324">
        <v>19</v>
      </c>
      <c r="AG324" s="1">
        <v>0</v>
      </c>
      <c r="AH324">
        <v>6</v>
      </c>
      <c r="AI324" s="1">
        <v>0</v>
      </c>
      <c r="AJ324">
        <v>31</v>
      </c>
      <c r="AK324" s="1">
        <v>0</v>
      </c>
      <c r="AL324">
        <v>7</v>
      </c>
      <c r="AM324">
        <v>16</v>
      </c>
      <c r="AN324" s="1">
        <v>0</v>
      </c>
      <c r="AO324" s="1">
        <v>0</v>
      </c>
      <c r="AP324">
        <v>1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>
        <v>1</v>
      </c>
      <c r="BR324" s="1">
        <v>0</v>
      </c>
      <c r="BS324" s="1">
        <v>0</v>
      </c>
      <c r="BT324" s="1">
        <v>0</v>
      </c>
      <c r="BU324" s="1">
        <v>0</v>
      </c>
      <c r="BV324">
        <v>1</v>
      </c>
      <c r="BW324">
        <v>2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>
        <v>2</v>
      </c>
      <c r="CE324" s="1">
        <v>0</v>
      </c>
    </row>
    <row r="325" spans="1:83" x14ac:dyDescent="0.3">
      <c r="A325" s="4"/>
      <c r="B325" t="s">
        <v>198</v>
      </c>
      <c r="C325" s="2" t="s">
        <v>86</v>
      </c>
      <c r="D325">
        <v>104</v>
      </c>
      <c r="E325">
        <v>0</v>
      </c>
      <c r="F325">
        <v>0</v>
      </c>
      <c r="G325">
        <v>0</v>
      </c>
      <c r="H325">
        <v>0</v>
      </c>
      <c r="I325" s="1">
        <v>0</v>
      </c>
      <c r="J325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>
        <v>1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>
        <v>2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>
        <v>43</v>
      </c>
      <c r="AG325" s="1">
        <v>0</v>
      </c>
      <c r="AH325">
        <v>0</v>
      </c>
      <c r="AI325" s="1">
        <v>0</v>
      </c>
      <c r="AJ325">
        <v>31</v>
      </c>
      <c r="AK325" s="1">
        <v>0</v>
      </c>
      <c r="AL325">
        <v>1</v>
      </c>
      <c r="AM325">
        <v>9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>
        <v>3</v>
      </c>
      <c r="BR325" s="1">
        <v>0</v>
      </c>
      <c r="BS325" s="1">
        <v>0</v>
      </c>
      <c r="BT325" s="1">
        <v>0</v>
      </c>
      <c r="BU325" s="1">
        <v>0</v>
      </c>
      <c r="BV325">
        <v>2</v>
      </c>
      <c r="BW325">
        <v>2</v>
      </c>
      <c r="BX325">
        <v>4</v>
      </c>
      <c r="BY325" s="1">
        <v>0</v>
      </c>
      <c r="BZ325" s="1">
        <v>0</v>
      </c>
      <c r="CA325">
        <v>1</v>
      </c>
      <c r="CB325" s="1">
        <v>0</v>
      </c>
      <c r="CC325" s="1">
        <v>0</v>
      </c>
      <c r="CD325">
        <v>5</v>
      </c>
      <c r="CE325" s="1">
        <v>0</v>
      </c>
    </row>
    <row r="326" spans="1:83" x14ac:dyDescent="0.3">
      <c r="A326" s="4"/>
      <c r="B326" t="s">
        <v>199</v>
      </c>
      <c r="C326" s="2" t="s">
        <v>82</v>
      </c>
      <c r="D326">
        <v>55</v>
      </c>
      <c r="E326">
        <v>0</v>
      </c>
      <c r="F326">
        <v>0</v>
      </c>
      <c r="G326">
        <v>0</v>
      </c>
      <c r="H326">
        <v>0</v>
      </c>
      <c r="I326" s="1">
        <v>0</v>
      </c>
      <c r="J326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>
        <v>1</v>
      </c>
      <c r="W326">
        <v>1</v>
      </c>
      <c r="X326" s="1">
        <v>0</v>
      </c>
      <c r="Y326">
        <v>1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>
        <v>25</v>
      </c>
      <c r="AG326" s="1">
        <v>0</v>
      </c>
      <c r="AH326">
        <v>0</v>
      </c>
      <c r="AI326" s="1">
        <v>0</v>
      </c>
      <c r="AJ326">
        <v>14</v>
      </c>
      <c r="AK326" s="1">
        <v>0</v>
      </c>
      <c r="AL326">
        <v>3</v>
      </c>
      <c r="AM326">
        <v>7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>
        <v>3</v>
      </c>
      <c r="CE326" s="1">
        <v>0</v>
      </c>
    </row>
    <row r="327" spans="1:83" x14ac:dyDescent="0.3">
      <c r="A327" s="4"/>
      <c r="B327" t="s">
        <v>199</v>
      </c>
      <c r="C327" s="2" t="s">
        <v>85</v>
      </c>
      <c r="D327">
        <v>14</v>
      </c>
      <c r="E327">
        <v>0</v>
      </c>
      <c r="F327">
        <v>0</v>
      </c>
      <c r="G327">
        <v>0</v>
      </c>
      <c r="H327">
        <v>0</v>
      </c>
      <c r="I327" s="1">
        <v>0</v>
      </c>
      <c r="J327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>
        <v>1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>
        <v>7</v>
      </c>
      <c r="AG327" s="1">
        <v>0</v>
      </c>
      <c r="AH327">
        <v>0</v>
      </c>
      <c r="AI327" s="1">
        <v>0</v>
      </c>
      <c r="AJ327">
        <v>2</v>
      </c>
      <c r="AK327" s="1">
        <v>0</v>
      </c>
      <c r="AL327">
        <v>2</v>
      </c>
      <c r="AM327">
        <v>2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</row>
    <row r="328" spans="1:83" x14ac:dyDescent="0.3">
      <c r="A328" s="4"/>
      <c r="B328" t="s">
        <v>199</v>
      </c>
      <c r="C328" s="2" t="s">
        <v>86</v>
      </c>
      <c r="D328">
        <v>41</v>
      </c>
      <c r="E328">
        <v>0</v>
      </c>
      <c r="F328">
        <v>0</v>
      </c>
      <c r="G328">
        <v>0</v>
      </c>
      <c r="H328">
        <v>0</v>
      </c>
      <c r="I328" s="1">
        <v>0</v>
      </c>
      <c r="J328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>
        <v>1</v>
      </c>
      <c r="W328">
        <v>1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>
        <v>18</v>
      </c>
      <c r="AG328" s="1">
        <v>0</v>
      </c>
      <c r="AH328">
        <v>0</v>
      </c>
      <c r="AI328" s="1">
        <v>0</v>
      </c>
      <c r="AJ328">
        <v>12</v>
      </c>
      <c r="AK328" s="1">
        <v>0</v>
      </c>
      <c r="AL328">
        <v>1</v>
      </c>
      <c r="AM328">
        <v>5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>
        <v>3</v>
      </c>
      <c r="CE328" s="1">
        <v>0</v>
      </c>
    </row>
    <row r="329" spans="1:83" x14ac:dyDescent="0.3">
      <c r="A329" s="4"/>
      <c r="B329" t="s">
        <v>200</v>
      </c>
      <c r="C329" s="2" t="s">
        <v>82</v>
      </c>
      <c r="D329">
        <v>4</v>
      </c>
      <c r="E329">
        <v>0</v>
      </c>
      <c r="F329">
        <v>0</v>
      </c>
      <c r="G329">
        <v>2</v>
      </c>
      <c r="H329">
        <v>0</v>
      </c>
      <c r="I329" s="1">
        <v>0</v>
      </c>
      <c r="J329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>
        <v>1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>
        <v>1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</row>
    <row r="330" spans="1:83" x14ac:dyDescent="0.3">
      <c r="A330" s="4"/>
      <c r="B330" t="s">
        <v>200</v>
      </c>
      <c r="C330" s="2" t="s">
        <v>85</v>
      </c>
      <c r="D330">
        <v>4</v>
      </c>
      <c r="E330">
        <v>0</v>
      </c>
      <c r="F330">
        <v>0</v>
      </c>
      <c r="G330">
        <v>2</v>
      </c>
      <c r="H330">
        <v>0</v>
      </c>
      <c r="I330" s="1">
        <v>0</v>
      </c>
      <c r="J330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>
        <v>1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>
        <v>1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</row>
    <row r="331" spans="1:83" x14ac:dyDescent="0.3">
      <c r="A331" s="4"/>
      <c r="B331" t="s">
        <v>201</v>
      </c>
      <c r="C331" s="2" t="s">
        <v>82</v>
      </c>
      <c r="D331">
        <v>2</v>
      </c>
      <c r="E331">
        <v>0</v>
      </c>
      <c r="F331">
        <v>0</v>
      </c>
      <c r="G331">
        <v>0</v>
      </c>
      <c r="H331">
        <v>0</v>
      </c>
      <c r="I331" s="1">
        <v>0</v>
      </c>
      <c r="J33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>
        <v>1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>
        <v>0</v>
      </c>
      <c r="AI331" s="1">
        <v>0</v>
      </c>
      <c r="AJ331" s="1">
        <v>0</v>
      </c>
      <c r="AK331" s="1">
        <v>0</v>
      </c>
      <c r="AL331">
        <v>1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</row>
    <row r="332" spans="1:83" x14ac:dyDescent="0.3">
      <c r="A332" s="4"/>
      <c r="B332" t="s">
        <v>201</v>
      </c>
      <c r="C332" s="2" t="s">
        <v>85</v>
      </c>
      <c r="D332">
        <v>1</v>
      </c>
      <c r="E332">
        <v>0</v>
      </c>
      <c r="F332">
        <v>0</v>
      </c>
      <c r="G332">
        <v>0</v>
      </c>
      <c r="H332">
        <v>0</v>
      </c>
      <c r="I332" s="1">
        <v>0</v>
      </c>
      <c r="J332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>
        <v>0</v>
      </c>
      <c r="AI332" s="1">
        <v>0</v>
      </c>
      <c r="AJ332" s="1">
        <v>0</v>
      </c>
      <c r="AK332" s="1">
        <v>0</v>
      </c>
      <c r="AL332">
        <v>1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</row>
    <row r="333" spans="1:83" x14ac:dyDescent="0.3">
      <c r="A333" s="4"/>
      <c r="B333" t="s">
        <v>201</v>
      </c>
      <c r="C333" s="2" t="s">
        <v>86</v>
      </c>
      <c r="D333">
        <v>1</v>
      </c>
      <c r="E333">
        <v>0</v>
      </c>
      <c r="F333">
        <v>0</v>
      </c>
      <c r="G333">
        <v>0</v>
      </c>
      <c r="H333">
        <v>0</v>
      </c>
      <c r="I333" s="1">
        <v>0</v>
      </c>
      <c r="J333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>
        <v>1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</row>
    <row r="334" spans="1:83" x14ac:dyDescent="0.3">
      <c r="A334" s="4"/>
      <c r="B334" t="s">
        <v>202</v>
      </c>
      <c r="C334" s="2" t="s">
        <v>82</v>
      </c>
      <c r="D334">
        <v>1</v>
      </c>
      <c r="E334">
        <v>0</v>
      </c>
      <c r="F334">
        <v>0</v>
      </c>
      <c r="G334">
        <v>0</v>
      </c>
      <c r="H334">
        <v>0</v>
      </c>
      <c r="I334" s="1">
        <v>0</v>
      </c>
      <c r="J334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</row>
    <row r="335" spans="1:83" x14ac:dyDescent="0.3">
      <c r="A335" s="4"/>
      <c r="B335" t="s">
        <v>202</v>
      </c>
      <c r="C335" s="2" t="s">
        <v>86</v>
      </c>
      <c r="D335">
        <v>1</v>
      </c>
      <c r="E335">
        <v>0</v>
      </c>
      <c r="F335">
        <v>0</v>
      </c>
      <c r="G335">
        <v>0</v>
      </c>
      <c r="H335">
        <v>0</v>
      </c>
      <c r="I335" s="1">
        <v>0</v>
      </c>
      <c r="J335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>
        <v>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</row>
    <row r="336" spans="1:83" x14ac:dyDescent="0.3">
      <c r="A336" s="4" t="s">
        <v>236</v>
      </c>
      <c r="B336" s="4"/>
      <c r="C336" s="2" t="s">
        <v>82</v>
      </c>
      <c r="D336">
        <v>907</v>
      </c>
      <c r="E336">
        <v>6</v>
      </c>
      <c r="F336">
        <v>0</v>
      </c>
      <c r="G336">
        <v>3</v>
      </c>
      <c r="H336">
        <v>1</v>
      </c>
      <c r="I336" s="1">
        <v>0</v>
      </c>
      <c r="J336">
        <v>0</v>
      </c>
      <c r="K336">
        <v>3</v>
      </c>
      <c r="L336">
        <v>1</v>
      </c>
      <c r="M336" s="1">
        <v>0</v>
      </c>
      <c r="N336" s="1">
        <v>0</v>
      </c>
      <c r="O336">
        <v>1</v>
      </c>
      <c r="P336">
        <v>3</v>
      </c>
      <c r="Q336">
        <v>54</v>
      </c>
      <c r="R336" s="1">
        <v>0</v>
      </c>
      <c r="S336" s="1">
        <v>0</v>
      </c>
      <c r="T336" s="1">
        <v>0</v>
      </c>
      <c r="U336" s="1">
        <v>0</v>
      </c>
      <c r="V336">
        <v>18</v>
      </c>
      <c r="W336">
        <v>1</v>
      </c>
      <c r="X336" s="1">
        <v>0</v>
      </c>
      <c r="Y336">
        <v>1</v>
      </c>
      <c r="Z336" s="1">
        <v>0</v>
      </c>
      <c r="AA336" s="1">
        <v>0</v>
      </c>
      <c r="AB336">
        <v>1</v>
      </c>
      <c r="AC336">
        <v>7</v>
      </c>
      <c r="AD336" s="1">
        <v>0</v>
      </c>
      <c r="AE336">
        <v>1</v>
      </c>
      <c r="AF336">
        <v>690</v>
      </c>
      <c r="AG336">
        <v>1</v>
      </c>
      <c r="AH336">
        <v>15</v>
      </c>
      <c r="AI336" s="1">
        <v>0</v>
      </c>
      <c r="AJ336">
        <v>11</v>
      </c>
      <c r="AK336">
        <v>11</v>
      </c>
      <c r="AL336">
        <v>12</v>
      </c>
      <c r="AM336">
        <v>23</v>
      </c>
      <c r="AN336" s="1">
        <v>0</v>
      </c>
      <c r="AO336">
        <v>1</v>
      </c>
      <c r="AP336" s="1">
        <v>0</v>
      </c>
      <c r="AQ336" s="1">
        <v>0</v>
      </c>
      <c r="AR336" s="1">
        <v>0</v>
      </c>
      <c r="AS336">
        <v>1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>
        <v>6</v>
      </c>
      <c r="BK336">
        <v>9</v>
      </c>
      <c r="BL336" s="1">
        <v>0</v>
      </c>
      <c r="BM336" s="1">
        <v>0</v>
      </c>
      <c r="BN336" s="1">
        <v>0</v>
      </c>
      <c r="BO336">
        <v>3</v>
      </c>
      <c r="BP336" s="1">
        <v>0</v>
      </c>
      <c r="BQ336">
        <v>3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>
        <v>3</v>
      </c>
      <c r="BY336" s="1">
        <v>0</v>
      </c>
      <c r="BZ336">
        <v>4</v>
      </c>
      <c r="CA336">
        <v>3</v>
      </c>
      <c r="CB336" s="1">
        <v>0</v>
      </c>
      <c r="CC336" s="1">
        <v>0</v>
      </c>
      <c r="CD336">
        <v>3</v>
      </c>
      <c r="CE336">
        <v>7</v>
      </c>
    </row>
    <row r="337" spans="1:83" x14ac:dyDescent="0.3">
      <c r="A337" s="4"/>
      <c r="B337" s="4"/>
      <c r="C337" s="2" t="s">
        <v>85</v>
      </c>
      <c r="D337">
        <f>D340+D343+D346+D349+D352+D355+D358+D361+D364+D367++D370+D373+D376+D379+D382+D384+D386+D388+D390+D392+D394++D398+D400+D404</f>
        <v>254</v>
      </c>
      <c r="E337">
        <f t="shared" ref="E337:BP337" si="24">E340+E343+E346+E349+E352+E355+E358+E361+E364+E367++E370+E373+E376+E379+E382+E384+E386+E388+E390+E392+E394++E398+E400+E404</f>
        <v>4</v>
      </c>
      <c r="F337">
        <f t="shared" si="24"/>
        <v>0</v>
      </c>
      <c r="G337">
        <f t="shared" si="24"/>
        <v>2</v>
      </c>
      <c r="H337">
        <f t="shared" si="24"/>
        <v>1</v>
      </c>
      <c r="I337">
        <f t="shared" si="24"/>
        <v>0</v>
      </c>
      <c r="J337">
        <f t="shared" si="24"/>
        <v>0</v>
      </c>
      <c r="K337">
        <f t="shared" si="24"/>
        <v>0</v>
      </c>
      <c r="L337">
        <f t="shared" si="24"/>
        <v>0</v>
      </c>
      <c r="M337">
        <f t="shared" si="24"/>
        <v>0</v>
      </c>
      <c r="N337">
        <f t="shared" si="24"/>
        <v>0</v>
      </c>
      <c r="O337">
        <f t="shared" si="24"/>
        <v>0</v>
      </c>
      <c r="P337">
        <f t="shared" si="24"/>
        <v>2</v>
      </c>
      <c r="Q337">
        <f t="shared" si="24"/>
        <v>40</v>
      </c>
      <c r="R337">
        <f t="shared" si="24"/>
        <v>0</v>
      </c>
      <c r="S337">
        <f t="shared" si="24"/>
        <v>0</v>
      </c>
      <c r="T337">
        <f t="shared" si="24"/>
        <v>0</v>
      </c>
      <c r="U337">
        <f t="shared" si="24"/>
        <v>0</v>
      </c>
      <c r="V337">
        <f t="shared" si="24"/>
        <v>15</v>
      </c>
      <c r="W337">
        <f t="shared" si="24"/>
        <v>1</v>
      </c>
      <c r="X337">
        <f t="shared" si="24"/>
        <v>0</v>
      </c>
      <c r="Y337">
        <f t="shared" si="24"/>
        <v>1</v>
      </c>
      <c r="Z337">
        <f t="shared" si="24"/>
        <v>0</v>
      </c>
      <c r="AA337">
        <f t="shared" si="24"/>
        <v>0</v>
      </c>
      <c r="AB337">
        <f t="shared" si="24"/>
        <v>1</v>
      </c>
      <c r="AC337">
        <f t="shared" si="24"/>
        <v>7</v>
      </c>
      <c r="AD337">
        <f t="shared" si="24"/>
        <v>0</v>
      </c>
      <c r="AE337">
        <f t="shared" si="24"/>
        <v>1</v>
      </c>
      <c r="AF337">
        <f t="shared" si="24"/>
        <v>112</v>
      </c>
      <c r="AG337">
        <f t="shared" si="24"/>
        <v>0</v>
      </c>
      <c r="AH337">
        <f t="shared" si="24"/>
        <v>13</v>
      </c>
      <c r="AI337">
        <f t="shared" si="24"/>
        <v>0</v>
      </c>
      <c r="AJ337">
        <f t="shared" si="24"/>
        <v>9</v>
      </c>
      <c r="AK337">
        <f t="shared" si="24"/>
        <v>10</v>
      </c>
      <c r="AL337">
        <f t="shared" si="24"/>
        <v>11</v>
      </c>
      <c r="AM337">
        <f t="shared" si="24"/>
        <v>10</v>
      </c>
      <c r="AN337">
        <f t="shared" si="24"/>
        <v>0</v>
      </c>
      <c r="AO337">
        <f t="shared" si="24"/>
        <v>1</v>
      </c>
      <c r="AP337">
        <f t="shared" si="24"/>
        <v>0</v>
      </c>
      <c r="AQ337">
        <f t="shared" si="24"/>
        <v>0</v>
      </c>
      <c r="AR337">
        <f t="shared" si="24"/>
        <v>0</v>
      </c>
      <c r="AS337">
        <f t="shared" si="24"/>
        <v>1</v>
      </c>
      <c r="AT337">
        <f t="shared" si="24"/>
        <v>0</v>
      </c>
      <c r="AU337">
        <f t="shared" si="24"/>
        <v>0</v>
      </c>
      <c r="AV337">
        <f t="shared" si="24"/>
        <v>0</v>
      </c>
      <c r="AW337">
        <f t="shared" si="24"/>
        <v>0</v>
      </c>
      <c r="AX337">
        <f t="shared" si="24"/>
        <v>0</v>
      </c>
      <c r="AY337">
        <f t="shared" si="24"/>
        <v>0</v>
      </c>
      <c r="AZ337">
        <f t="shared" si="24"/>
        <v>0</v>
      </c>
      <c r="BA337">
        <f t="shared" si="24"/>
        <v>0</v>
      </c>
      <c r="BB337">
        <f t="shared" si="24"/>
        <v>0</v>
      </c>
      <c r="BC337">
        <f t="shared" si="24"/>
        <v>0</v>
      </c>
      <c r="BD337">
        <f t="shared" si="24"/>
        <v>0</v>
      </c>
      <c r="BE337">
        <f t="shared" si="24"/>
        <v>0</v>
      </c>
      <c r="BF337">
        <f t="shared" si="24"/>
        <v>0</v>
      </c>
      <c r="BG337">
        <f t="shared" si="24"/>
        <v>0</v>
      </c>
      <c r="BH337">
        <f t="shared" si="24"/>
        <v>0</v>
      </c>
      <c r="BI337">
        <f t="shared" si="24"/>
        <v>0</v>
      </c>
      <c r="BJ337">
        <f t="shared" si="24"/>
        <v>0</v>
      </c>
      <c r="BK337">
        <f t="shared" si="24"/>
        <v>0</v>
      </c>
      <c r="BL337">
        <f t="shared" si="24"/>
        <v>0</v>
      </c>
      <c r="BM337">
        <f t="shared" si="24"/>
        <v>0</v>
      </c>
      <c r="BN337">
        <f t="shared" si="24"/>
        <v>0</v>
      </c>
      <c r="BO337">
        <f t="shared" si="24"/>
        <v>2</v>
      </c>
      <c r="BP337">
        <f t="shared" si="24"/>
        <v>0</v>
      </c>
      <c r="BQ337">
        <f t="shared" ref="BQ337:CE337" si="25">BQ340+BQ343+BQ346+BQ349+BQ352+BQ355+BQ358+BQ361+BQ364+BQ367++BQ370+BQ373+BQ376+BQ379+BQ382+BQ384+BQ386+BQ388+BQ390+BQ392+BQ394++BQ398+BQ400+BQ404</f>
        <v>1</v>
      </c>
      <c r="BR337">
        <f t="shared" si="25"/>
        <v>0</v>
      </c>
      <c r="BS337">
        <f t="shared" si="25"/>
        <v>0</v>
      </c>
      <c r="BT337">
        <f t="shared" si="25"/>
        <v>0</v>
      </c>
      <c r="BU337">
        <f t="shared" si="25"/>
        <v>0</v>
      </c>
      <c r="BV337">
        <f t="shared" si="25"/>
        <v>0</v>
      </c>
      <c r="BW337">
        <f t="shared" si="25"/>
        <v>0</v>
      </c>
      <c r="BX337">
        <f t="shared" si="25"/>
        <v>0</v>
      </c>
      <c r="BY337">
        <f t="shared" si="25"/>
        <v>0</v>
      </c>
      <c r="BZ337">
        <f t="shared" si="25"/>
        <v>3</v>
      </c>
      <c r="CA337">
        <f t="shared" si="25"/>
        <v>1</v>
      </c>
      <c r="CB337">
        <f t="shared" si="25"/>
        <v>0</v>
      </c>
      <c r="CC337">
        <f t="shared" si="25"/>
        <v>0</v>
      </c>
      <c r="CD337">
        <f t="shared" si="25"/>
        <v>2</v>
      </c>
      <c r="CE337">
        <f t="shared" si="25"/>
        <v>3</v>
      </c>
    </row>
    <row r="338" spans="1:83" x14ac:dyDescent="0.3">
      <c r="A338" s="4"/>
      <c r="B338" s="4"/>
      <c r="C338" s="2" t="s">
        <v>86</v>
      </c>
      <c r="D338">
        <f>D341+D344+D347+D350+D353+D356+D359+D362+D365+D368+D371+D374+D377+D380+D396+D402</f>
        <v>653</v>
      </c>
      <c r="E338">
        <f t="shared" ref="E338:BP338" si="26">E341+E344+E347+E350+E353+E356+E359+E362+E365+E368+E371+E374+E377+E380+E396+E402</f>
        <v>2</v>
      </c>
      <c r="F338">
        <f t="shared" si="26"/>
        <v>0</v>
      </c>
      <c r="G338">
        <f t="shared" si="26"/>
        <v>1</v>
      </c>
      <c r="H338">
        <f t="shared" si="26"/>
        <v>0</v>
      </c>
      <c r="I338">
        <f t="shared" si="26"/>
        <v>0</v>
      </c>
      <c r="J338">
        <f t="shared" si="26"/>
        <v>0</v>
      </c>
      <c r="K338">
        <f t="shared" si="26"/>
        <v>3</v>
      </c>
      <c r="L338">
        <f t="shared" si="26"/>
        <v>1</v>
      </c>
      <c r="M338">
        <f t="shared" si="26"/>
        <v>0</v>
      </c>
      <c r="N338">
        <f t="shared" si="26"/>
        <v>0</v>
      </c>
      <c r="O338">
        <f t="shared" si="26"/>
        <v>1</v>
      </c>
      <c r="P338">
        <f t="shared" si="26"/>
        <v>1</v>
      </c>
      <c r="Q338">
        <f t="shared" si="26"/>
        <v>14</v>
      </c>
      <c r="R338">
        <f t="shared" si="26"/>
        <v>0</v>
      </c>
      <c r="S338">
        <f t="shared" si="26"/>
        <v>0</v>
      </c>
      <c r="T338">
        <f t="shared" si="26"/>
        <v>0</v>
      </c>
      <c r="U338">
        <f t="shared" si="26"/>
        <v>0</v>
      </c>
      <c r="V338">
        <f t="shared" si="26"/>
        <v>3</v>
      </c>
      <c r="W338">
        <f t="shared" si="26"/>
        <v>0</v>
      </c>
      <c r="X338">
        <f t="shared" si="26"/>
        <v>0</v>
      </c>
      <c r="Y338">
        <f t="shared" si="26"/>
        <v>0</v>
      </c>
      <c r="Z338">
        <f t="shared" si="26"/>
        <v>0</v>
      </c>
      <c r="AA338">
        <f t="shared" si="26"/>
        <v>0</v>
      </c>
      <c r="AB338">
        <f t="shared" si="26"/>
        <v>0</v>
      </c>
      <c r="AC338">
        <f t="shared" si="26"/>
        <v>0</v>
      </c>
      <c r="AD338">
        <f t="shared" si="26"/>
        <v>0</v>
      </c>
      <c r="AE338">
        <f t="shared" si="26"/>
        <v>0</v>
      </c>
      <c r="AF338">
        <f t="shared" si="26"/>
        <v>578</v>
      </c>
      <c r="AG338">
        <f t="shared" si="26"/>
        <v>1</v>
      </c>
      <c r="AH338">
        <f t="shared" si="26"/>
        <v>2</v>
      </c>
      <c r="AI338">
        <f t="shared" si="26"/>
        <v>0</v>
      </c>
      <c r="AJ338">
        <f t="shared" si="26"/>
        <v>2</v>
      </c>
      <c r="AK338">
        <f t="shared" si="26"/>
        <v>1</v>
      </c>
      <c r="AL338">
        <f t="shared" si="26"/>
        <v>1</v>
      </c>
      <c r="AM338">
        <f t="shared" si="26"/>
        <v>13</v>
      </c>
      <c r="AN338">
        <f t="shared" si="26"/>
        <v>0</v>
      </c>
      <c r="AO338">
        <f t="shared" si="26"/>
        <v>0</v>
      </c>
      <c r="AP338">
        <f t="shared" si="26"/>
        <v>0</v>
      </c>
      <c r="AQ338">
        <f t="shared" si="26"/>
        <v>0</v>
      </c>
      <c r="AR338">
        <f t="shared" si="26"/>
        <v>0</v>
      </c>
      <c r="AS338">
        <f t="shared" si="26"/>
        <v>0</v>
      </c>
      <c r="AT338">
        <f t="shared" si="26"/>
        <v>0</v>
      </c>
      <c r="AU338">
        <f t="shared" si="26"/>
        <v>0</v>
      </c>
      <c r="AV338">
        <f t="shared" si="26"/>
        <v>0</v>
      </c>
      <c r="AW338">
        <f t="shared" si="26"/>
        <v>0</v>
      </c>
      <c r="AX338">
        <f t="shared" si="26"/>
        <v>0</v>
      </c>
      <c r="AY338">
        <f t="shared" si="26"/>
        <v>0</v>
      </c>
      <c r="AZ338">
        <f t="shared" si="26"/>
        <v>0</v>
      </c>
      <c r="BA338">
        <f t="shared" si="26"/>
        <v>0</v>
      </c>
      <c r="BB338">
        <f t="shared" si="26"/>
        <v>0</v>
      </c>
      <c r="BC338">
        <f t="shared" si="26"/>
        <v>0</v>
      </c>
      <c r="BD338">
        <f t="shared" si="26"/>
        <v>0</v>
      </c>
      <c r="BE338">
        <f t="shared" si="26"/>
        <v>0</v>
      </c>
      <c r="BF338">
        <f t="shared" si="26"/>
        <v>0</v>
      </c>
      <c r="BG338">
        <f t="shared" si="26"/>
        <v>0</v>
      </c>
      <c r="BH338">
        <f t="shared" si="26"/>
        <v>0</v>
      </c>
      <c r="BI338">
        <f t="shared" si="26"/>
        <v>0</v>
      </c>
      <c r="BJ338">
        <f t="shared" si="26"/>
        <v>6</v>
      </c>
      <c r="BK338">
        <f t="shared" si="26"/>
        <v>9</v>
      </c>
      <c r="BL338">
        <f t="shared" si="26"/>
        <v>0</v>
      </c>
      <c r="BM338">
        <f t="shared" si="26"/>
        <v>0</v>
      </c>
      <c r="BN338">
        <f t="shared" si="26"/>
        <v>0</v>
      </c>
      <c r="BO338">
        <f t="shared" si="26"/>
        <v>1</v>
      </c>
      <c r="BP338">
        <f t="shared" si="26"/>
        <v>0</v>
      </c>
      <c r="BQ338">
        <f t="shared" ref="BQ338:CE338" si="27">BQ341+BQ344+BQ347+BQ350+BQ353+BQ356+BQ359+BQ362+BQ365+BQ368+BQ371+BQ374+BQ377+BQ380+BQ396+BQ402</f>
        <v>2</v>
      </c>
      <c r="BR338">
        <f t="shared" si="27"/>
        <v>0</v>
      </c>
      <c r="BS338">
        <f t="shared" si="27"/>
        <v>0</v>
      </c>
      <c r="BT338">
        <f t="shared" si="27"/>
        <v>0</v>
      </c>
      <c r="BU338">
        <f t="shared" si="27"/>
        <v>0</v>
      </c>
      <c r="BV338">
        <f t="shared" si="27"/>
        <v>0</v>
      </c>
      <c r="BW338">
        <f t="shared" si="27"/>
        <v>0</v>
      </c>
      <c r="BX338">
        <f t="shared" si="27"/>
        <v>3</v>
      </c>
      <c r="BY338">
        <f t="shared" si="27"/>
        <v>0</v>
      </c>
      <c r="BZ338">
        <f t="shared" si="27"/>
        <v>1</v>
      </c>
      <c r="CA338">
        <f t="shared" si="27"/>
        <v>2</v>
      </c>
      <c r="CB338">
        <f t="shared" si="27"/>
        <v>0</v>
      </c>
      <c r="CC338">
        <f t="shared" si="27"/>
        <v>0</v>
      </c>
      <c r="CD338">
        <f t="shared" si="27"/>
        <v>1</v>
      </c>
      <c r="CE338">
        <f t="shared" si="27"/>
        <v>4</v>
      </c>
    </row>
    <row r="339" spans="1:83" x14ac:dyDescent="0.3">
      <c r="A339" s="5" t="s">
        <v>203</v>
      </c>
      <c r="B339" t="s">
        <v>204</v>
      </c>
      <c r="C339" s="2" t="s">
        <v>82</v>
      </c>
      <c r="D339">
        <v>713</v>
      </c>
      <c r="E339">
        <v>0</v>
      </c>
      <c r="F339">
        <v>0</v>
      </c>
      <c r="G339">
        <v>0</v>
      </c>
      <c r="H339">
        <v>0</v>
      </c>
      <c r="I339" s="1">
        <v>0</v>
      </c>
      <c r="J339">
        <v>0</v>
      </c>
      <c r="K339">
        <v>0</v>
      </c>
      <c r="L339">
        <v>0</v>
      </c>
      <c r="M339" s="1">
        <v>0</v>
      </c>
      <c r="N339" s="1">
        <v>0</v>
      </c>
      <c r="O339">
        <v>0</v>
      </c>
      <c r="P339">
        <v>0</v>
      </c>
      <c r="Q339">
        <v>4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>
        <v>690</v>
      </c>
      <c r="AG339">
        <v>1</v>
      </c>
      <c r="AH339">
        <v>0</v>
      </c>
      <c r="AI339" s="1">
        <v>0</v>
      </c>
      <c r="AJ339">
        <v>3</v>
      </c>
      <c r="AK339">
        <v>3</v>
      </c>
      <c r="AL339">
        <v>2</v>
      </c>
      <c r="AM339">
        <v>5</v>
      </c>
      <c r="AN339" s="1">
        <v>0</v>
      </c>
      <c r="AO339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>
        <v>1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>
        <v>4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</row>
    <row r="340" spans="1:83" x14ac:dyDescent="0.3">
      <c r="A340" s="5"/>
      <c r="B340" t="s">
        <v>204</v>
      </c>
      <c r="C340" s="2" t="s">
        <v>85</v>
      </c>
      <c r="D340">
        <v>124</v>
      </c>
      <c r="E340">
        <v>0</v>
      </c>
      <c r="F340">
        <v>0</v>
      </c>
      <c r="G340">
        <v>0</v>
      </c>
      <c r="H340">
        <v>0</v>
      </c>
      <c r="I340" s="1">
        <v>0</v>
      </c>
      <c r="J340">
        <v>0</v>
      </c>
      <c r="K340">
        <v>0</v>
      </c>
      <c r="L340">
        <v>0</v>
      </c>
      <c r="M340" s="1">
        <v>0</v>
      </c>
      <c r="N340" s="1">
        <v>0</v>
      </c>
      <c r="O340">
        <v>0</v>
      </c>
      <c r="P340">
        <v>0</v>
      </c>
      <c r="Q340">
        <v>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>
        <v>112</v>
      </c>
      <c r="AG340" s="1">
        <v>0</v>
      </c>
      <c r="AH340">
        <v>0</v>
      </c>
      <c r="AI340" s="1">
        <v>0</v>
      </c>
      <c r="AJ340">
        <v>2</v>
      </c>
      <c r="AK340">
        <v>3</v>
      </c>
      <c r="AL340">
        <v>2</v>
      </c>
      <c r="AM340">
        <v>0</v>
      </c>
      <c r="AN340" s="1">
        <v>0</v>
      </c>
      <c r="AO340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>
        <v>3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</row>
    <row r="341" spans="1:83" x14ac:dyDescent="0.3">
      <c r="A341" s="5"/>
      <c r="B341" t="s">
        <v>204</v>
      </c>
      <c r="C341" s="2" t="s">
        <v>86</v>
      </c>
      <c r="D341">
        <v>589</v>
      </c>
      <c r="E341">
        <v>0</v>
      </c>
      <c r="F341">
        <v>0</v>
      </c>
      <c r="G341">
        <v>0</v>
      </c>
      <c r="H341">
        <v>0</v>
      </c>
      <c r="I341" s="1">
        <v>0</v>
      </c>
      <c r="J341">
        <v>0</v>
      </c>
      <c r="K341">
        <v>0</v>
      </c>
      <c r="L341">
        <v>0</v>
      </c>
      <c r="M341" s="1">
        <v>0</v>
      </c>
      <c r="N341" s="1">
        <v>0</v>
      </c>
      <c r="O341">
        <v>0</v>
      </c>
      <c r="P341">
        <v>0</v>
      </c>
      <c r="Q341">
        <v>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>
        <v>578</v>
      </c>
      <c r="AG341">
        <v>1</v>
      </c>
      <c r="AH341">
        <v>0</v>
      </c>
      <c r="AI341" s="1">
        <v>0</v>
      </c>
      <c r="AJ341">
        <v>1</v>
      </c>
      <c r="AK341">
        <v>0</v>
      </c>
      <c r="AL341">
        <v>0</v>
      </c>
      <c r="AM341">
        <v>5</v>
      </c>
      <c r="AN341" s="1">
        <v>0</v>
      </c>
      <c r="AO34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>
        <v>1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>
        <v>1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</row>
    <row r="342" spans="1:83" x14ac:dyDescent="0.3">
      <c r="A342" s="5"/>
      <c r="B342" t="s">
        <v>205</v>
      </c>
      <c r="C342" s="2" t="s">
        <v>82</v>
      </c>
      <c r="D342">
        <v>29</v>
      </c>
      <c r="E342">
        <v>0</v>
      </c>
      <c r="F342">
        <v>0</v>
      </c>
      <c r="G342">
        <v>0</v>
      </c>
      <c r="H342">
        <v>0</v>
      </c>
      <c r="I342" s="1">
        <v>0</v>
      </c>
      <c r="J342">
        <v>0</v>
      </c>
      <c r="K342">
        <v>0</v>
      </c>
      <c r="L342">
        <v>0</v>
      </c>
      <c r="M342" s="1">
        <v>0</v>
      </c>
      <c r="N342" s="1">
        <v>0</v>
      </c>
      <c r="O342">
        <v>1</v>
      </c>
      <c r="P342">
        <v>0</v>
      </c>
      <c r="Q342">
        <v>7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>
        <v>1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>
        <v>4</v>
      </c>
      <c r="AI342" s="1">
        <v>0</v>
      </c>
      <c r="AJ342">
        <v>4</v>
      </c>
      <c r="AK342">
        <v>1</v>
      </c>
      <c r="AL342">
        <v>0</v>
      </c>
      <c r="AM342">
        <v>2</v>
      </c>
      <c r="AN342" s="1">
        <v>0</v>
      </c>
      <c r="AO342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>
        <v>6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>
        <v>3</v>
      </c>
    </row>
    <row r="343" spans="1:83" x14ac:dyDescent="0.3">
      <c r="A343" s="5"/>
      <c r="B343" t="s">
        <v>205</v>
      </c>
      <c r="C343" s="2" t="s">
        <v>85</v>
      </c>
      <c r="D343">
        <v>18</v>
      </c>
      <c r="E343">
        <v>0</v>
      </c>
      <c r="F343">
        <v>0</v>
      </c>
      <c r="G343">
        <v>0</v>
      </c>
      <c r="H343">
        <v>0</v>
      </c>
      <c r="I343" s="1">
        <v>0</v>
      </c>
      <c r="J343">
        <v>0</v>
      </c>
      <c r="K343">
        <v>0</v>
      </c>
      <c r="L343">
        <v>0</v>
      </c>
      <c r="M343" s="1">
        <v>0</v>
      </c>
      <c r="N343" s="1">
        <v>0</v>
      </c>
      <c r="O343">
        <v>0</v>
      </c>
      <c r="P343">
        <v>0</v>
      </c>
      <c r="Q343">
        <v>6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>
        <v>1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>
        <v>4</v>
      </c>
      <c r="AI343" s="1">
        <v>0</v>
      </c>
      <c r="AJ343">
        <v>4</v>
      </c>
      <c r="AK343">
        <v>1</v>
      </c>
      <c r="AL343">
        <v>0</v>
      </c>
      <c r="AM343">
        <v>1</v>
      </c>
      <c r="AN343" s="1">
        <v>0</v>
      </c>
      <c r="AO343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>
        <v>1</v>
      </c>
    </row>
    <row r="344" spans="1:83" x14ac:dyDescent="0.3">
      <c r="A344" s="5"/>
      <c r="B344" t="s">
        <v>205</v>
      </c>
      <c r="C344" s="2" t="s">
        <v>86</v>
      </c>
      <c r="D344">
        <v>11</v>
      </c>
      <c r="E344">
        <v>0</v>
      </c>
      <c r="F344">
        <v>0</v>
      </c>
      <c r="G344">
        <v>0</v>
      </c>
      <c r="H344">
        <v>0</v>
      </c>
      <c r="I344" s="1">
        <v>0</v>
      </c>
      <c r="J344">
        <v>0</v>
      </c>
      <c r="K344">
        <v>0</v>
      </c>
      <c r="L344">
        <v>0</v>
      </c>
      <c r="M344" s="1">
        <v>0</v>
      </c>
      <c r="N344" s="1">
        <v>0</v>
      </c>
      <c r="O344">
        <v>1</v>
      </c>
      <c r="P344">
        <v>0</v>
      </c>
      <c r="Q344">
        <v>1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>
        <v>0</v>
      </c>
      <c r="AI344" s="1">
        <v>0</v>
      </c>
      <c r="AJ344" s="1">
        <v>0</v>
      </c>
      <c r="AK344" s="1">
        <v>0</v>
      </c>
      <c r="AL344" s="1">
        <v>0</v>
      </c>
      <c r="AM344">
        <v>1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>
        <v>6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>
        <v>2</v>
      </c>
    </row>
    <row r="345" spans="1:83" x14ac:dyDescent="0.3">
      <c r="A345" s="5"/>
      <c r="B345" t="s">
        <v>206</v>
      </c>
      <c r="C345" s="2" t="s">
        <v>82</v>
      </c>
      <c r="D345">
        <v>28</v>
      </c>
      <c r="E345">
        <v>0</v>
      </c>
      <c r="F345">
        <v>0</v>
      </c>
      <c r="G345">
        <v>0</v>
      </c>
      <c r="H345">
        <v>0</v>
      </c>
      <c r="I345" s="1">
        <v>0</v>
      </c>
      <c r="J345">
        <v>0</v>
      </c>
      <c r="K345">
        <v>0</v>
      </c>
      <c r="L345">
        <v>0</v>
      </c>
      <c r="M345" s="1">
        <v>0</v>
      </c>
      <c r="N345" s="1">
        <v>0</v>
      </c>
      <c r="O345">
        <v>0</v>
      </c>
      <c r="P345">
        <v>1</v>
      </c>
      <c r="Q345">
        <v>5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>
        <v>1</v>
      </c>
      <c r="AD345" s="1">
        <v>0</v>
      </c>
      <c r="AE345">
        <v>1</v>
      </c>
      <c r="AF345" s="1">
        <v>0</v>
      </c>
      <c r="AG345" s="1">
        <v>0</v>
      </c>
      <c r="AH345">
        <v>2</v>
      </c>
      <c r="AI345" s="1">
        <v>0</v>
      </c>
      <c r="AJ345">
        <v>3</v>
      </c>
      <c r="AK345" s="1">
        <v>0</v>
      </c>
      <c r="AL345">
        <v>3</v>
      </c>
      <c r="AM345">
        <v>1</v>
      </c>
      <c r="AN345" s="1">
        <v>0</v>
      </c>
      <c r="AO345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>
        <v>4</v>
      </c>
      <c r="BK345">
        <v>1</v>
      </c>
      <c r="BL345" s="1">
        <v>0</v>
      </c>
      <c r="BM345" s="1">
        <v>0</v>
      </c>
      <c r="BN345" s="1">
        <v>0</v>
      </c>
      <c r="BO345">
        <v>1</v>
      </c>
      <c r="BP345" s="1">
        <v>0</v>
      </c>
      <c r="BQ345">
        <v>2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>
        <v>1</v>
      </c>
      <c r="BY345" s="1">
        <v>0</v>
      </c>
      <c r="BZ345" s="1">
        <v>0</v>
      </c>
      <c r="CA345">
        <v>2</v>
      </c>
      <c r="CB345" s="1">
        <v>0</v>
      </c>
      <c r="CC345" s="1">
        <v>0</v>
      </c>
      <c r="CD345" s="1">
        <v>0</v>
      </c>
      <c r="CE345" s="1">
        <v>0</v>
      </c>
    </row>
    <row r="346" spans="1:83" x14ac:dyDescent="0.3">
      <c r="A346" s="5"/>
      <c r="B346" t="s">
        <v>206</v>
      </c>
      <c r="C346" s="2" t="s">
        <v>85</v>
      </c>
      <c r="D346">
        <v>15</v>
      </c>
      <c r="E346">
        <v>0</v>
      </c>
      <c r="F346">
        <v>0</v>
      </c>
      <c r="G346">
        <v>0</v>
      </c>
      <c r="H346">
        <v>0</v>
      </c>
      <c r="I346" s="1">
        <v>0</v>
      </c>
      <c r="J346">
        <v>0</v>
      </c>
      <c r="K346">
        <v>0</v>
      </c>
      <c r="L346">
        <v>0</v>
      </c>
      <c r="M346" s="1">
        <v>0</v>
      </c>
      <c r="N346" s="1">
        <v>0</v>
      </c>
      <c r="O346">
        <v>0</v>
      </c>
      <c r="P346">
        <v>0</v>
      </c>
      <c r="Q346">
        <v>3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>
        <v>1</v>
      </c>
      <c r="AD346" s="1">
        <v>0</v>
      </c>
      <c r="AE346">
        <v>1</v>
      </c>
      <c r="AF346" s="1">
        <v>0</v>
      </c>
      <c r="AG346" s="1">
        <v>0</v>
      </c>
      <c r="AH346">
        <v>1</v>
      </c>
      <c r="AI346" s="1">
        <v>0</v>
      </c>
      <c r="AJ346">
        <v>2</v>
      </c>
      <c r="AK346" s="1">
        <v>0</v>
      </c>
      <c r="AL346">
        <v>3</v>
      </c>
      <c r="AM346">
        <v>1</v>
      </c>
      <c r="AN346" s="1">
        <v>0</v>
      </c>
      <c r="AO346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>
        <v>1</v>
      </c>
      <c r="BP346" s="1">
        <v>0</v>
      </c>
      <c r="BQ346">
        <v>1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>
        <v>1</v>
      </c>
      <c r="CB346" s="1">
        <v>0</v>
      </c>
      <c r="CC346" s="1">
        <v>0</v>
      </c>
      <c r="CD346" s="1">
        <v>0</v>
      </c>
      <c r="CE346" s="1">
        <v>0</v>
      </c>
    </row>
    <row r="347" spans="1:83" x14ac:dyDescent="0.3">
      <c r="A347" s="5"/>
      <c r="B347" t="s">
        <v>206</v>
      </c>
      <c r="C347" s="2" t="s">
        <v>86</v>
      </c>
      <c r="D347">
        <v>13</v>
      </c>
      <c r="E347">
        <v>0</v>
      </c>
      <c r="F347">
        <v>0</v>
      </c>
      <c r="G347">
        <v>0</v>
      </c>
      <c r="H347">
        <v>0</v>
      </c>
      <c r="I347" s="1">
        <v>0</v>
      </c>
      <c r="J347">
        <v>0</v>
      </c>
      <c r="K347">
        <v>0</v>
      </c>
      <c r="L347">
        <v>0</v>
      </c>
      <c r="M347" s="1">
        <v>0</v>
      </c>
      <c r="N347" s="1">
        <v>0</v>
      </c>
      <c r="O347">
        <v>0</v>
      </c>
      <c r="P347">
        <v>1</v>
      </c>
      <c r="Q347">
        <v>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>
        <v>1</v>
      </c>
      <c r="AI347" s="1">
        <v>0</v>
      </c>
      <c r="AJ347">
        <v>1</v>
      </c>
      <c r="AK347" s="1">
        <v>0</v>
      </c>
      <c r="AL347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>
        <v>4</v>
      </c>
      <c r="BK347">
        <v>1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>
        <v>1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>
        <v>1</v>
      </c>
      <c r="BY347" s="1">
        <v>0</v>
      </c>
      <c r="BZ347" s="1">
        <v>0</v>
      </c>
      <c r="CA347">
        <v>1</v>
      </c>
      <c r="CB347" s="1">
        <v>0</v>
      </c>
      <c r="CC347" s="1">
        <v>0</v>
      </c>
      <c r="CD347" s="1">
        <v>0</v>
      </c>
      <c r="CE347" s="1">
        <v>0</v>
      </c>
    </row>
    <row r="348" spans="1:83" x14ac:dyDescent="0.3">
      <c r="A348" s="5"/>
      <c r="B348" t="s">
        <v>207</v>
      </c>
      <c r="C348" s="2" t="s">
        <v>82</v>
      </c>
      <c r="D348">
        <v>23</v>
      </c>
      <c r="E348">
        <v>0</v>
      </c>
      <c r="F348">
        <v>0</v>
      </c>
      <c r="G348">
        <v>2</v>
      </c>
      <c r="H348">
        <v>0</v>
      </c>
      <c r="I348" s="1">
        <v>0</v>
      </c>
      <c r="J348">
        <v>0</v>
      </c>
      <c r="K348">
        <v>0</v>
      </c>
      <c r="L348">
        <v>0</v>
      </c>
      <c r="M348" s="1">
        <v>0</v>
      </c>
      <c r="N348" s="1">
        <v>0</v>
      </c>
      <c r="O348">
        <v>0</v>
      </c>
      <c r="P348">
        <v>0</v>
      </c>
      <c r="Q348">
        <v>3</v>
      </c>
      <c r="R348" s="1">
        <v>0</v>
      </c>
      <c r="S348" s="1">
        <v>0</v>
      </c>
      <c r="T348" s="1">
        <v>0</v>
      </c>
      <c r="U348" s="1">
        <v>0</v>
      </c>
      <c r="V348">
        <v>2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>
        <v>3</v>
      </c>
      <c r="AD348" s="1">
        <v>0</v>
      </c>
      <c r="AE348" s="1">
        <v>0</v>
      </c>
      <c r="AF348" s="1">
        <v>0</v>
      </c>
      <c r="AG348" s="1">
        <v>0</v>
      </c>
      <c r="AH348">
        <v>4</v>
      </c>
      <c r="AI348" s="1">
        <v>0</v>
      </c>
      <c r="AJ348" s="1">
        <v>0</v>
      </c>
      <c r="AK348">
        <v>1</v>
      </c>
      <c r="AL348">
        <v>4</v>
      </c>
      <c r="AM348">
        <v>0</v>
      </c>
      <c r="AN348" s="1">
        <v>0</v>
      </c>
      <c r="AO348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>
        <v>2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>
        <v>2</v>
      </c>
    </row>
    <row r="349" spans="1:83" x14ac:dyDescent="0.3">
      <c r="A349" s="5"/>
      <c r="B349" t="s">
        <v>207</v>
      </c>
      <c r="C349" s="2" t="s">
        <v>85</v>
      </c>
      <c r="D349">
        <v>20</v>
      </c>
      <c r="E349">
        <v>0</v>
      </c>
      <c r="F349">
        <v>0</v>
      </c>
      <c r="G349">
        <v>2</v>
      </c>
      <c r="H349">
        <v>0</v>
      </c>
      <c r="I349" s="1">
        <v>0</v>
      </c>
      <c r="J349">
        <v>0</v>
      </c>
      <c r="K349">
        <v>0</v>
      </c>
      <c r="L349">
        <v>0</v>
      </c>
      <c r="M349" s="1">
        <v>0</v>
      </c>
      <c r="N349" s="1">
        <v>0</v>
      </c>
      <c r="O349">
        <v>0</v>
      </c>
      <c r="P349">
        <v>0</v>
      </c>
      <c r="Q349">
        <v>3</v>
      </c>
      <c r="R349" s="1">
        <v>0</v>
      </c>
      <c r="S349" s="1">
        <v>0</v>
      </c>
      <c r="T349" s="1">
        <v>0</v>
      </c>
      <c r="U349" s="1">
        <v>0</v>
      </c>
      <c r="V349">
        <v>2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>
        <v>3</v>
      </c>
      <c r="AD349" s="1">
        <v>0</v>
      </c>
      <c r="AE349" s="1">
        <v>0</v>
      </c>
      <c r="AF349" s="1">
        <v>0</v>
      </c>
      <c r="AG349" s="1">
        <v>0</v>
      </c>
      <c r="AH349">
        <v>4</v>
      </c>
      <c r="AI349" s="1">
        <v>0</v>
      </c>
      <c r="AJ349" s="1">
        <v>0</v>
      </c>
      <c r="AK349">
        <v>1</v>
      </c>
      <c r="AL349">
        <v>4</v>
      </c>
      <c r="AM349">
        <v>0</v>
      </c>
      <c r="AN349" s="1">
        <v>0</v>
      </c>
      <c r="AO349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>
        <v>1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</row>
    <row r="350" spans="1:83" x14ac:dyDescent="0.3">
      <c r="A350" s="5"/>
      <c r="B350" t="s">
        <v>207</v>
      </c>
      <c r="C350" s="2" t="s">
        <v>86</v>
      </c>
      <c r="D350">
        <v>3</v>
      </c>
      <c r="E350">
        <v>0</v>
      </c>
      <c r="F350">
        <v>0</v>
      </c>
      <c r="G350">
        <v>0</v>
      </c>
      <c r="H350">
        <v>0</v>
      </c>
      <c r="I350" s="1">
        <v>0</v>
      </c>
      <c r="J350">
        <v>0</v>
      </c>
      <c r="K350">
        <v>0</v>
      </c>
      <c r="L350">
        <v>0</v>
      </c>
      <c r="M350" s="1">
        <v>0</v>
      </c>
      <c r="N350" s="1">
        <v>0</v>
      </c>
      <c r="O350">
        <v>0</v>
      </c>
      <c r="P350">
        <v>0</v>
      </c>
      <c r="Q350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>
        <v>1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>
        <v>2</v>
      </c>
    </row>
    <row r="351" spans="1:83" x14ac:dyDescent="0.3">
      <c r="A351" s="5"/>
      <c r="B351" t="s">
        <v>208</v>
      </c>
      <c r="C351" s="2" t="s">
        <v>82</v>
      </c>
      <c r="D351">
        <v>21</v>
      </c>
      <c r="E351">
        <v>0</v>
      </c>
      <c r="F351">
        <v>0</v>
      </c>
      <c r="G351">
        <v>0</v>
      </c>
      <c r="H351">
        <v>0</v>
      </c>
      <c r="I351" s="1">
        <v>0</v>
      </c>
      <c r="J351">
        <v>0</v>
      </c>
      <c r="K351">
        <v>3</v>
      </c>
      <c r="L351">
        <v>1</v>
      </c>
      <c r="M351" s="1">
        <v>0</v>
      </c>
      <c r="N351" s="1">
        <v>0</v>
      </c>
      <c r="O351">
        <v>0</v>
      </c>
      <c r="P351">
        <v>1</v>
      </c>
      <c r="Q351">
        <v>8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>
        <v>0</v>
      </c>
      <c r="AI351" s="1">
        <v>0</v>
      </c>
      <c r="AJ351" s="1">
        <v>0</v>
      </c>
      <c r="AK351" s="1">
        <v>0</v>
      </c>
      <c r="AL351" s="1">
        <v>0</v>
      </c>
      <c r="AM351">
        <v>6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>
        <v>1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>
        <v>1</v>
      </c>
      <c r="CE351" s="1">
        <v>0</v>
      </c>
    </row>
    <row r="352" spans="1:83" x14ac:dyDescent="0.3">
      <c r="A352" s="5"/>
      <c r="B352" t="s">
        <v>208</v>
      </c>
      <c r="C352" s="2" t="s">
        <v>85</v>
      </c>
      <c r="D352">
        <v>14</v>
      </c>
      <c r="E352">
        <v>0</v>
      </c>
      <c r="F352">
        <v>0</v>
      </c>
      <c r="G352">
        <v>0</v>
      </c>
      <c r="H352">
        <v>0</v>
      </c>
      <c r="I352" s="1">
        <v>0</v>
      </c>
      <c r="J352">
        <v>0</v>
      </c>
      <c r="K352">
        <v>0</v>
      </c>
      <c r="L352">
        <v>0</v>
      </c>
      <c r="M352" s="1">
        <v>0</v>
      </c>
      <c r="N352" s="1">
        <v>0</v>
      </c>
      <c r="O352">
        <v>0</v>
      </c>
      <c r="P352">
        <v>1</v>
      </c>
      <c r="Q352">
        <v>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>
        <v>0</v>
      </c>
      <c r="AI352" s="1">
        <v>0</v>
      </c>
      <c r="AJ352" s="1">
        <v>0</v>
      </c>
      <c r="AK352" s="1">
        <v>0</v>
      </c>
      <c r="AL352" s="1">
        <v>0</v>
      </c>
      <c r="AM352">
        <v>4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>
        <v>1</v>
      </c>
      <c r="CE352" s="1">
        <v>0</v>
      </c>
    </row>
    <row r="353" spans="1:83" x14ac:dyDescent="0.3">
      <c r="A353" s="5"/>
      <c r="B353" t="s">
        <v>208</v>
      </c>
      <c r="C353" s="2" t="s">
        <v>86</v>
      </c>
      <c r="D353">
        <v>7</v>
      </c>
      <c r="E353">
        <v>0</v>
      </c>
      <c r="F353">
        <v>0</v>
      </c>
      <c r="G353">
        <v>0</v>
      </c>
      <c r="H353">
        <v>0</v>
      </c>
      <c r="I353" s="1">
        <v>0</v>
      </c>
      <c r="J353">
        <v>0</v>
      </c>
      <c r="K353">
        <v>3</v>
      </c>
      <c r="L353">
        <v>1</v>
      </c>
      <c r="M353" s="1">
        <v>0</v>
      </c>
      <c r="N353" s="1">
        <v>0</v>
      </c>
      <c r="O353">
        <v>0</v>
      </c>
      <c r="P353">
        <v>0</v>
      </c>
      <c r="Q353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>
        <v>0</v>
      </c>
      <c r="AI353" s="1">
        <v>0</v>
      </c>
      <c r="AJ353" s="1">
        <v>0</v>
      </c>
      <c r="AK353" s="1">
        <v>0</v>
      </c>
      <c r="AL353" s="1">
        <v>0</v>
      </c>
      <c r="AM353">
        <v>2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>
        <v>1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</row>
    <row r="354" spans="1:83" x14ac:dyDescent="0.3">
      <c r="A354" s="5"/>
      <c r="B354" t="s">
        <v>209</v>
      </c>
      <c r="C354" s="2" t="s">
        <v>82</v>
      </c>
      <c r="D354">
        <v>13</v>
      </c>
      <c r="E354">
        <v>0</v>
      </c>
      <c r="F354">
        <v>0</v>
      </c>
      <c r="G354">
        <v>0</v>
      </c>
      <c r="H354">
        <v>0</v>
      </c>
      <c r="I354" s="1">
        <v>0</v>
      </c>
      <c r="J354">
        <v>0</v>
      </c>
      <c r="K354">
        <v>0</v>
      </c>
      <c r="L354">
        <v>0</v>
      </c>
      <c r="M354" s="1">
        <v>0</v>
      </c>
      <c r="N354" s="1">
        <v>0</v>
      </c>
      <c r="O354">
        <v>0</v>
      </c>
      <c r="P354">
        <v>0</v>
      </c>
      <c r="Q354">
        <v>7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>
        <v>0</v>
      </c>
      <c r="AI354" s="1">
        <v>0</v>
      </c>
      <c r="AJ354">
        <v>1</v>
      </c>
      <c r="AK354" s="1">
        <v>0</v>
      </c>
      <c r="AL354">
        <v>1</v>
      </c>
      <c r="AM354">
        <v>2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>
        <v>2</v>
      </c>
      <c r="CE354" s="1">
        <v>0</v>
      </c>
    </row>
    <row r="355" spans="1:83" x14ac:dyDescent="0.3">
      <c r="A355" s="5"/>
      <c r="B355" t="s">
        <v>209</v>
      </c>
      <c r="C355" s="2" t="s">
        <v>85</v>
      </c>
      <c r="D355">
        <v>8</v>
      </c>
      <c r="E355">
        <v>0</v>
      </c>
      <c r="F355">
        <v>0</v>
      </c>
      <c r="G355">
        <v>0</v>
      </c>
      <c r="H355">
        <v>0</v>
      </c>
      <c r="I355" s="1">
        <v>0</v>
      </c>
      <c r="J355">
        <v>0</v>
      </c>
      <c r="K355">
        <v>0</v>
      </c>
      <c r="L355">
        <v>0</v>
      </c>
      <c r="M355" s="1">
        <v>0</v>
      </c>
      <c r="N355" s="1">
        <v>0</v>
      </c>
      <c r="O355">
        <v>0</v>
      </c>
      <c r="P355">
        <v>0</v>
      </c>
      <c r="Q355">
        <v>5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>
        <v>0</v>
      </c>
      <c r="AI355" s="1">
        <v>0</v>
      </c>
      <c r="AJ355">
        <v>1</v>
      </c>
      <c r="AK355" s="1">
        <v>0</v>
      </c>
      <c r="AL355">
        <v>1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>
        <v>1</v>
      </c>
      <c r="CE355" s="1">
        <v>0</v>
      </c>
    </row>
    <row r="356" spans="1:83" x14ac:dyDescent="0.3">
      <c r="A356" s="5"/>
      <c r="B356" t="s">
        <v>209</v>
      </c>
      <c r="C356" s="2" t="s">
        <v>86</v>
      </c>
      <c r="D356">
        <v>5</v>
      </c>
      <c r="E356">
        <v>0</v>
      </c>
      <c r="F356">
        <v>0</v>
      </c>
      <c r="G356">
        <v>0</v>
      </c>
      <c r="H356">
        <v>0</v>
      </c>
      <c r="I356" s="1">
        <v>0</v>
      </c>
      <c r="J356">
        <v>0</v>
      </c>
      <c r="K356">
        <v>0</v>
      </c>
      <c r="L356">
        <v>0</v>
      </c>
      <c r="M356" s="1">
        <v>0</v>
      </c>
      <c r="N356" s="1">
        <v>0</v>
      </c>
      <c r="O356">
        <v>0</v>
      </c>
      <c r="P356">
        <v>0</v>
      </c>
      <c r="Q356">
        <v>2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>
        <v>0</v>
      </c>
      <c r="AI356" s="1">
        <v>0</v>
      </c>
      <c r="AJ356" s="1">
        <v>0</v>
      </c>
      <c r="AK356" s="1">
        <v>0</v>
      </c>
      <c r="AL356" s="1">
        <v>0</v>
      </c>
      <c r="AM356">
        <v>2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>
        <v>1</v>
      </c>
      <c r="CE356" s="1">
        <v>0</v>
      </c>
    </row>
    <row r="357" spans="1:83" x14ac:dyDescent="0.3">
      <c r="A357" s="5"/>
      <c r="B357" t="s">
        <v>210</v>
      </c>
      <c r="C357" s="2" t="s">
        <v>82</v>
      </c>
      <c r="D357">
        <v>10</v>
      </c>
      <c r="E357">
        <v>0</v>
      </c>
      <c r="F357">
        <v>0</v>
      </c>
      <c r="G357">
        <v>0</v>
      </c>
      <c r="H357">
        <v>0</v>
      </c>
      <c r="I357" s="1">
        <v>0</v>
      </c>
      <c r="J357">
        <v>0</v>
      </c>
      <c r="K357">
        <v>0</v>
      </c>
      <c r="L357">
        <v>0</v>
      </c>
      <c r="M357" s="1">
        <v>0</v>
      </c>
      <c r="N357" s="1">
        <v>0</v>
      </c>
      <c r="O357">
        <v>0</v>
      </c>
      <c r="P357">
        <v>0</v>
      </c>
      <c r="Q357">
        <v>6</v>
      </c>
      <c r="R357" s="1">
        <v>0</v>
      </c>
      <c r="S357" s="1">
        <v>0</v>
      </c>
      <c r="T357" s="1">
        <v>0</v>
      </c>
      <c r="U357" s="1">
        <v>0</v>
      </c>
      <c r="V357">
        <v>3</v>
      </c>
      <c r="W357" s="1">
        <v>0</v>
      </c>
      <c r="X357" s="1">
        <v>0</v>
      </c>
      <c r="Y357">
        <v>1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</row>
    <row r="358" spans="1:83" x14ac:dyDescent="0.3">
      <c r="A358" s="5"/>
      <c r="B358" t="s">
        <v>210</v>
      </c>
      <c r="C358" s="2" t="s">
        <v>85</v>
      </c>
      <c r="D358">
        <v>7</v>
      </c>
      <c r="E358">
        <v>0</v>
      </c>
      <c r="F358">
        <v>0</v>
      </c>
      <c r="G358">
        <v>0</v>
      </c>
      <c r="H358">
        <v>0</v>
      </c>
      <c r="I358" s="1">
        <v>0</v>
      </c>
      <c r="J358">
        <v>0</v>
      </c>
      <c r="K358">
        <v>0</v>
      </c>
      <c r="L358">
        <v>0</v>
      </c>
      <c r="M358" s="1">
        <v>0</v>
      </c>
      <c r="N358" s="1">
        <v>0</v>
      </c>
      <c r="O358">
        <v>0</v>
      </c>
      <c r="P358">
        <v>0</v>
      </c>
      <c r="Q358">
        <v>5</v>
      </c>
      <c r="R358" s="1">
        <v>0</v>
      </c>
      <c r="S358" s="1">
        <v>0</v>
      </c>
      <c r="T358" s="1">
        <v>0</v>
      </c>
      <c r="U358" s="1">
        <v>0</v>
      </c>
      <c r="V358">
        <v>1</v>
      </c>
      <c r="W358" s="1">
        <v>0</v>
      </c>
      <c r="X358" s="1">
        <v>0</v>
      </c>
      <c r="Y358">
        <v>1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</row>
    <row r="359" spans="1:83" x14ac:dyDescent="0.3">
      <c r="A359" s="5"/>
      <c r="B359" t="s">
        <v>210</v>
      </c>
      <c r="C359" s="2" t="s">
        <v>86</v>
      </c>
      <c r="D359">
        <v>3</v>
      </c>
      <c r="E359">
        <v>0</v>
      </c>
      <c r="F359">
        <v>0</v>
      </c>
      <c r="G359">
        <v>0</v>
      </c>
      <c r="H359">
        <v>0</v>
      </c>
      <c r="I359" s="1">
        <v>0</v>
      </c>
      <c r="J359">
        <v>0</v>
      </c>
      <c r="K359">
        <v>0</v>
      </c>
      <c r="L359">
        <v>0</v>
      </c>
      <c r="M359" s="1">
        <v>0</v>
      </c>
      <c r="N359" s="1">
        <v>0</v>
      </c>
      <c r="O359">
        <v>0</v>
      </c>
      <c r="P359">
        <v>0</v>
      </c>
      <c r="Q359">
        <v>1</v>
      </c>
      <c r="R359" s="1">
        <v>0</v>
      </c>
      <c r="S359" s="1">
        <v>0</v>
      </c>
      <c r="T359" s="1">
        <v>0</v>
      </c>
      <c r="U359" s="1">
        <v>0</v>
      </c>
      <c r="V359">
        <v>2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</row>
    <row r="360" spans="1:83" x14ac:dyDescent="0.3">
      <c r="A360" s="5"/>
      <c r="B360" t="s">
        <v>211</v>
      </c>
      <c r="C360" s="2" t="s">
        <v>82</v>
      </c>
      <c r="D360">
        <v>10</v>
      </c>
      <c r="E360">
        <v>0</v>
      </c>
      <c r="F360">
        <v>0</v>
      </c>
      <c r="G360">
        <v>0</v>
      </c>
      <c r="H360">
        <v>0</v>
      </c>
      <c r="I360" s="1">
        <v>0</v>
      </c>
      <c r="J360">
        <v>0</v>
      </c>
      <c r="K360">
        <v>0</v>
      </c>
      <c r="L360">
        <v>0</v>
      </c>
      <c r="M360" s="1">
        <v>0</v>
      </c>
      <c r="N360" s="1">
        <v>0</v>
      </c>
      <c r="O360">
        <v>0</v>
      </c>
      <c r="P360">
        <v>0</v>
      </c>
      <c r="Q360">
        <v>7</v>
      </c>
      <c r="R360" s="1">
        <v>0</v>
      </c>
      <c r="S360" s="1">
        <v>0</v>
      </c>
      <c r="T360" s="1">
        <v>0</v>
      </c>
      <c r="U360" s="1">
        <v>0</v>
      </c>
      <c r="V360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>
        <v>2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</row>
    <row r="361" spans="1:83" x14ac:dyDescent="0.3">
      <c r="A361" s="5"/>
      <c r="B361" t="s">
        <v>211</v>
      </c>
      <c r="C361" s="2" t="s">
        <v>85</v>
      </c>
      <c r="D361">
        <v>6</v>
      </c>
      <c r="E361">
        <v>0</v>
      </c>
      <c r="F361">
        <v>0</v>
      </c>
      <c r="G361">
        <v>0</v>
      </c>
      <c r="H361">
        <v>0</v>
      </c>
      <c r="I361" s="1">
        <v>0</v>
      </c>
      <c r="J361">
        <v>0</v>
      </c>
      <c r="K361">
        <v>0</v>
      </c>
      <c r="L361">
        <v>0</v>
      </c>
      <c r="M361" s="1">
        <v>0</v>
      </c>
      <c r="N361" s="1">
        <v>0</v>
      </c>
      <c r="O361">
        <v>0</v>
      </c>
      <c r="P361">
        <v>0</v>
      </c>
      <c r="Q361">
        <v>5</v>
      </c>
      <c r="R361" s="1">
        <v>0</v>
      </c>
      <c r="S361" s="1">
        <v>0</v>
      </c>
      <c r="T361" s="1">
        <v>0</v>
      </c>
      <c r="U361" s="1">
        <v>0</v>
      </c>
      <c r="V361">
        <v>1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</row>
    <row r="362" spans="1:83" x14ac:dyDescent="0.3">
      <c r="A362" s="5"/>
      <c r="B362" t="s">
        <v>211</v>
      </c>
      <c r="C362" s="2" t="s">
        <v>86</v>
      </c>
      <c r="D362">
        <v>4</v>
      </c>
      <c r="E362">
        <v>0</v>
      </c>
      <c r="F362">
        <v>0</v>
      </c>
      <c r="G362">
        <v>0</v>
      </c>
      <c r="H362">
        <v>0</v>
      </c>
      <c r="I362" s="1">
        <v>0</v>
      </c>
      <c r="J362">
        <v>0</v>
      </c>
      <c r="K362">
        <v>0</v>
      </c>
      <c r="L362">
        <v>0</v>
      </c>
      <c r="M362" s="1">
        <v>0</v>
      </c>
      <c r="N362" s="1">
        <v>0</v>
      </c>
      <c r="O362">
        <v>0</v>
      </c>
      <c r="P362">
        <v>0</v>
      </c>
      <c r="Q362">
        <v>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>
        <v>2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</row>
    <row r="363" spans="1:83" x14ac:dyDescent="0.3">
      <c r="A363" s="5"/>
      <c r="B363" t="s">
        <v>212</v>
      </c>
      <c r="C363" s="2" t="s">
        <v>82</v>
      </c>
      <c r="D363">
        <v>8</v>
      </c>
      <c r="E363">
        <v>0</v>
      </c>
      <c r="F363">
        <v>0</v>
      </c>
      <c r="G363">
        <v>0</v>
      </c>
      <c r="H363">
        <v>0</v>
      </c>
      <c r="I363" s="1">
        <v>0</v>
      </c>
      <c r="J363">
        <v>0</v>
      </c>
      <c r="K363">
        <v>0</v>
      </c>
      <c r="L363">
        <v>0</v>
      </c>
      <c r="M363" s="1">
        <v>0</v>
      </c>
      <c r="N363" s="1">
        <v>0</v>
      </c>
      <c r="O363">
        <v>0</v>
      </c>
      <c r="P363">
        <v>0</v>
      </c>
      <c r="Q363">
        <v>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>
        <v>1</v>
      </c>
      <c r="AI363" s="1">
        <v>0</v>
      </c>
      <c r="AJ363" s="1">
        <v>0</v>
      </c>
      <c r="AK363">
        <v>1</v>
      </c>
      <c r="AL363">
        <v>1</v>
      </c>
      <c r="AM363">
        <v>2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</row>
    <row r="364" spans="1:83" x14ac:dyDescent="0.3">
      <c r="A364" s="5"/>
      <c r="B364" t="s">
        <v>212</v>
      </c>
      <c r="C364" s="2" t="s">
        <v>85</v>
      </c>
      <c r="D364">
        <v>4</v>
      </c>
      <c r="E364">
        <v>0</v>
      </c>
      <c r="F364">
        <v>0</v>
      </c>
      <c r="G364">
        <v>0</v>
      </c>
      <c r="H364">
        <v>0</v>
      </c>
      <c r="I364" s="1">
        <v>0</v>
      </c>
      <c r="J364">
        <v>0</v>
      </c>
      <c r="K364">
        <v>0</v>
      </c>
      <c r="L364">
        <v>0</v>
      </c>
      <c r="M364" s="1">
        <v>0</v>
      </c>
      <c r="N364" s="1">
        <v>0</v>
      </c>
      <c r="O364">
        <v>0</v>
      </c>
      <c r="P364">
        <v>0</v>
      </c>
      <c r="Q364">
        <v>1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>
        <v>1</v>
      </c>
      <c r="AI364" s="1">
        <v>0</v>
      </c>
      <c r="AJ364" s="1">
        <v>0</v>
      </c>
      <c r="AK364">
        <v>1</v>
      </c>
      <c r="AL364">
        <v>1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</row>
    <row r="365" spans="1:83" x14ac:dyDescent="0.3">
      <c r="A365" s="5"/>
      <c r="B365" t="s">
        <v>212</v>
      </c>
      <c r="C365" s="2" t="s">
        <v>86</v>
      </c>
      <c r="D365">
        <v>4</v>
      </c>
      <c r="E365">
        <v>0</v>
      </c>
      <c r="F365">
        <v>0</v>
      </c>
      <c r="G365">
        <v>0</v>
      </c>
      <c r="H365">
        <v>0</v>
      </c>
      <c r="I365" s="1">
        <v>0</v>
      </c>
      <c r="J365">
        <v>0</v>
      </c>
      <c r="K365">
        <v>0</v>
      </c>
      <c r="L365">
        <v>0</v>
      </c>
      <c r="M365" s="1">
        <v>0</v>
      </c>
      <c r="N365" s="1">
        <v>0</v>
      </c>
      <c r="O365">
        <v>0</v>
      </c>
      <c r="P365">
        <v>0</v>
      </c>
      <c r="Q365">
        <v>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>
        <v>0</v>
      </c>
      <c r="AI365" s="1">
        <v>0</v>
      </c>
      <c r="AJ365" s="1">
        <v>0</v>
      </c>
      <c r="AK365" s="1">
        <v>0</v>
      </c>
      <c r="AL365" s="1">
        <v>0</v>
      </c>
      <c r="AM365">
        <v>2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</row>
    <row r="366" spans="1:83" x14ac:dyDescent="0.3">
      <c r="A366" s="5"/>
      <c r="B366" t="s">
        <v>213</v>
      </c>
      <c r="C366" s="2" t="s">
        <v>82</v>
      </c>
      <c r="D366">
        <v>6</v>
      </c>
      <c r="E366">
        <v>0</v>
      </c>
      <c r="F366">
        <v>0</v>
      </c>
      <c r="G366">
        <v>0</v>
      </c>
      <c r="H366">
        <v>0</v>
      </c>
      <c r="I366" s="1">
        <v>0</v>
      </c>
      <c r="J366">
        <v>0</v>
      </c>
      <c r="K366">
        <v>0</v>
      </c>
      <c r="L366">
        <v>0</v>
      </c>
      <c r="M366" s="1">
        <v>0</v>
      </c>
      <c r="N366" s="1">
        <v>0</v>
      </c>
      <c r="O366">
        <v>0</v>
      </c>
      <c r="P366">
        <v>0</v>
      </c>
      <c r="Q366">
        <v>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>
        <v>1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>
        <v>2</v>
      </c>
      <c r="BY366" s="1">
        <v>0</v>
      </c>
      <c r="BZ366" s="1">
        <v>0</v>
      </c>
      <c r="CA366">
        <v>1</v>
      </c>
      <c r="CB366" s="1">
        <v>0</v>
      </c>
      <c r="CC366" s="1">
        <v>0</v>
      </c>
      <c r="CD366" s="1">
        <v>0</v>
      </c>
      <c r="CE366" s="1">
        <v>0</v>
      </c>
    </row>
    <row r="367" spans="1:83" x14ac:dyDescent="0.3">
      <c r="A367" s="5"/>
      <c r="B367" t="s">
        <v>213</v>
      </c>
      <c r="C367" s="2" t="s">
        <v>85</v>
      </c>
      <c r="D367">
        <v>1</v>
      </c>
      <c r="E367">
        <v>0</v>
      </c>
      <c r="F367">
        <v>0</v>
      </c>
      <c r="G367">
        <v>0</v>
      </c>
      <c r="H367">
        <v>0</v>
      </c>
      <c r="I367" s="1">
        <v>0</v>
      </c>
      <c r="J367">
        <v>0</v>
      </c>
      <c r="K367">
        <v>0</v>
      </c>
      <c r="L367">
        <v>0</v>
      </c>
      <c r="M367" s="1">
        <v>0</v>
      </c>
      <c r="N367" s="1">
        <v>0</v>
      </c>
      <c r="O367">
        <v>0</v>
      </c>
      <c r="P367">
        <v>0</v>
      </c>
      <c r="Q367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>
        <v>1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</row>
    <row r="368" spans="1:83" x14ac:dyDescent="0.3">
      <c r="A368" s="5"/>
      <c r="B368" t="s">
        <v>213</v>
      </c>
      <c r="C368" s="2" t="s">
        <v>86</v>
      </c>
      <c r="D368">
        <v>5</v>
      </c>
      <c r="E368">
        <v>0</v>
      </c>
      <c r="F368">
        <v>0</v>
      </c>
      <c r="G368">
        <v>0</v>
      </c>
      <c r="H368">
        <v>0</v>
      </c>
      <c r="I368" s="1">
        <v>0</v>
      </c>
      <c r="J368">
        <v>0</v>
      </c>
      <c r="K368">
        <v>0</v>
      </c>
      <c r="L368">
        <v>0</v>
      </c>
      <c r="M368" s="1">
        <v>0</v>
      </c>
      <c r="N368" s="1">
        <v>0</v>
      </c>
      <c r="O368">
        <v>0</v>
      </c>
      <c r="P368">
        <v>0</v>
      </c>
      <c r="Q368">
        <v>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>
        <v>2</v>
      </c>
      <c r="BY368" s="1">
        <v>0</v>
      </c>
      <c r="BZ368" s="1">
        <v>0</v>
      </c>
      <c r="CA368">
        <v>1</v>
      </c>
      <c r="CB368" s="1">
        <v>0</v>
      </c>
      <c r="CC368" s="1">
        <v>0</v>
      </c>
      <c r="CD368" s="1">
        <v>0</v>
      </c>
      <c r="CE368" s="1">
        <v>0</v>
      </c>
    </row>
    <row r="369" spans="1:83" x14ac:dyDescent="0.3">
      <c r="A369" s="5"/>
      <c r="B369" t="s">
        <v>214</v>
      </c>
      <c r="C369" s="2" t="s">
        <v>82</v>
      </c>
      <c r="D369">
        <v>6</v>
      </c>
      <c r="E369">
        <v>0</v>
      </c>
      <c r="F369">
        <v>0</v>
      </c>
      <c r="G369">
        <v>0</v>
      </c>
      <c r="H369">
        <v>0</v>
      </c>
      <c r="I369" s="1">
        <v>0</v>
      </c>
      <c r="J369">
        <v>0</v>
      </c>
      <c r="K369">
        <v>0</v>
      </c>
      <c r="L369">
        <v>0</v>
      </c>
      <c r="M369" s="1">
        <v>0</v>
      </c>
      <c r="N369" s="1">
        <v>0</v>
      </c>
      <c r="O369">
        <v>0</v>
      </c>
      <c r="P369">
        <v>0</v>
      </c>
      <c r="Q369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>
        <v>1</v>
      </c>
      <c r="AI369" s="1">
        <v>0</v>
      </c>
      <c r="AJ369" s="1">
        <v>0</v>
      </c>
      <c r="AK369">
        <v>4</v>
      </c>
      <c r="AL369" s="1">
        <v>0</v>
      </c>
      <c r="AM369">
        <v>1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</row>
    <row r="370" spans="1:83" x14ac:dyDescent="0.3">
      <c r="A370" s="5"/>
      <c r="B370" t="s">
        <v>214</v>
      </c>
      <c r="C370" s="2" t="s">
        <v>85</v>
      </c>
      <c r="D370">
        <v>5</v>
      </c>
      <c r="E370">
        <v>0</v>
      </c>
      <c r="F370">
        <v>0</v>
      </c>
      <c r="G370">
        <v>0</v>
      </c>
      <c r="H370">
        <v>0</v>
      </c>
      <c r="I370" s="1">
        <v>0</v>
      </c>
      <c r="J370">
        <v>0</v>
      </c>
      <c r="K370">
        <v>0</v>
      </c>
      <c r="L370">
        <v>0</v>
      </c>
      <c r="M370" s="1">
        <v>0</v>
      </c>
      <c r="N370" s="1">
        <v>0</v>
      </c>
      <c r="O370">
        <v>0</v>
      </c>
      <c r="P370">
        <v>0</v>
      </c>
      <c r="Q370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>
        <v>1</v>
      </c>
      <c r="AI370" s="1">
        <v>0</v>
      </c>
      <c r="AJ370" s="1">
        <v>0</v>
      </c>
      <c r="AK370">
        <v>3</v>
      </c>
      <c r="AL370" s="1">
        <v>0</v>
      </c>
      <c r="AM370">
        <v>1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</row>
    <row r="371" spans="1:83" x14ac:dyDescent="0.3">
      <c r="A371" s="5"/>
      <c r="B371" t="s">
        <v>214</v>
      </c>
      <c r="C371" s="2" t="s">
        <v>86</v>
      </c>
      <c r="D371">
        <v>1</v>
      </c>
      <c r="E371">
        <v>0</v>
      </c>
      <c r="F371">
        <v>0</v>
      </c>
      <c r="G371">
        <v>0</v>
      </c>
      <c r="H371">
        <v>0</v>
      </c>
      <c r="I371" s="1">
        <v>0</v>
      </c>
      <c r="J371">
        <v>0</v>
      </c>
      <c r="K371">
        <v>0</v>
      </c>
      <c r="L371">
        <v>0</v>
      </c>
      <c r="M371" s="1">
        <v>0</v>
      </c>
      <c r="N371" s="1">
        <v>0</v>
      </c>
      <c r="O371">
        <v>0</v>
      </c>
      <c r="P371">
        <v>0</v>
      </c>
      <c r="Q37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>
        <v>0</v>
      </c>
      <c r="AI371" s="1">
        <v>0</v>
      </c>
      <c r="AJ371" s="1">
        <v>0</v>
      </c>
      <c r="AK371">
        <v>1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</row>
    <row r="372" spans="1:83" x14ac:dyDescent="0.3">
      <c r="A372" s="5"/>
      <c r="B372" t="s">
        <v>215</v>
      </c>
      <c r="C372" s="2" t="s">
        <v>82</v>
      </c>
      <c r="D372">
        <v>6</v>
      </c>
      <c r="E372">
        <v>0</v>
      </c>
      <c r="F372">
        <v>0</v>
      </c>
      <c r="G372">
        <v>0</v>
      </c>
      <c r="H372">
        <v>0</v>
      </c>
      <c r="I372" s="1">
        <v>0</v>
      </c>
      <c r="J372">
        <v>0</v>
      </c>
      <c r="K372">
        <v>0</v>
      </c>
      <c r="L372">
        <v>0</v>
      </c>
      <c r="M372" s="1">
        <v>0</v>
      </c>
      <c r="N372" s="1">
        <v>0</v>
      </c>
      <c r="O372">
        <v>0</v>
      </c>
      <c r="P372">
        <v>1</v>
      </c>
      <c r="Q372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>
        <v>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>
        <v>0</v>
      </c>
      <c r="AI372" s="1">
        <v>0</v>
      </c>
      <c r="AJ372" s="1">
        <v>0</v>
      </c>
      <c r="AK372" s="1">
        <v>0</v>
      </c>
      <c r="AL372">
        <v>1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>
        <v>1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>
        <v>2</v>
      </c>
    </row>
    <row r="373" spans="1:83" x14ac:dyDescent="0.3">
      <c r="A373" s="5"/>
      <c r="B373" t="s">
        <v>215</v>
      </c>
      <c r="C373" s="2" t="s">
        <v>85</v>
      </c>
      <c r="D373">
        <v>5</v>
      </c>
      <c r="E373">
        <v>0</v>
      </c>
      <c r="F373">
        <v>0</v>
      </c>
      <c r="G373">
        <v>0</v>
      </c>
      <c r="H373">
        <v>0</v>
      </c>
      <c r="I373" s="1">
        <v>0</v>
      </c>
      <c r="J373">
        <v>0</v>
      </c>
      <c r="K373">
        <v>0</v>
      </c>
      <c r="L373">
        <v>0</v>
      </c>
      <c r="M373" s="1">
        <v>0</v>
      </c>
      <c r="N373" s="1">
        <v>0</v>
      </c>
      <c r="O373">
        <v>0</v>
      </c>
      <c r="P373">
        <v>1</v>
      </c>
      <c r="Q373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>
        <v>1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>
        <v>1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>
        <v>2</v>
      </c>
    </row>
    <row r="374" spans="1:83" x14ac:dyDescent="0.3">
      <c r="A374" s="5"/>
      <c r="B374" t="s">
        <v>215</v>
      </c>
      <c r="C374" s="2" t="s">
        <v>86</v>
      </c>
      <c r="D374">
        <v>1</v>
      </c>
      <c r="E374">
        <v>0</v>
      </c>
      <c r="F374">
        <v>0</v>
      </c>
      <c r="G374">
        <v>0</v>
      </c>
      <c r="H374">
        <v>0</v>
      </c>
      <c r="I374" s="1">
        <v>0</v>
      </c>
      <c r="J374">
        <v>0</v>
      </c>
      <c r="K374">
        <v>0</v>
      </c>
      <c r="L374">
        <v>0</v>
      </c>
      <c r="M374" s="1">
        <v>0</v>
      </c>
      <c r="N374" s="1">
        <v>0</v>
      </c>
      <c r="O374">
        <v>0</v>
      </c>
      <c r="P374">
        <v>0</v>
      </c>
      <c r="Q374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>
        <v>0</v>
      </c>
      <c r="AI374" s="1">
        <v>0</v>
      </c>
      <c r="AJ374" s="1">
        <v>0</v>
      </c>
      <c r="AK374" s="1">
        <v>0</v>
      </c>
      <c r="AL374">
        <v>1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</row>
    <row r="375" spans="1:83" x14ac:dyDescent="0.3">
      <c r="A375" s="5"/>
      <c r="B375" t="s">
        <v>216</v>
      </c>
      <c r="C375" s="2" t="s">
        <v>82</v>
      </c>
      <c r="D375">
        <v>6</v>
      </c>
      <c r="E375">
        <v>0</v>
      </c>
      <c r="F375">
        <v>0</v>
      </c>
      <c r="G375">
        <v>1</v>
      </c>
      <c r="H375">
        <v>0</v>
      </c>
      <c r="I375" s="1">
        <v>0</v>
      </c>
      <c r="J375">
        <v>0</v>
      </c>
      <c r="K375">
        <v>0</v>
      </c>
      <c r="L375">
        <v>0</v>
      </c>
      <c r="M375" s="1">
        <v>0</v>
      </c>
      <c r="N375" s="1">
        <v>0</v>
      </c>
      <c r="O375">
        <v>0</v>
      </c>
      <c r="P375">
        <v>0</v>
      </c>
      <c r="Q375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>
        <v>3</v>
      </c>
      <c r="AD375" s="1">
        <v>0</v>
      </c>
      <c r="AE375" s="1">
        <v>0</v>
      </c>
      <c r="AF375" s="1">
        <v>0</v>
      </c>
      <c r="AG375" s="1">
        <v>0</v>
      </c>
      <c r="AH375">
        <v>0</v>
      </c>
      <c r="AI375" s="1">
        <v>0</v>
      </c>
      <c r="AJ375" s="1">
        <v>0</v>
      </c>
      <c r="AK375" s="1">
        <v>0</v>
      </c>
      <c r="AL375" s="1">
        <v>0</v>
      </c>
      <c r="AM375">
        <v>1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>
        <v>1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</row>
    <row r="376" spans="1:83" x14ac:dyDescent="0.3">
      <c r="A376" s="5"/>
      <c r="B376" t="s">
        <v>216</v>
      </c>
      <c r="C376" s="2" t="s">
        <v>85</v>
      </c>
      <c r="D376">
        <v>3</v>
      </c>
      <c r="E376">
        <v>0</v>
      </c>
      <c r="F376">
        <v>0</v>
      </c>
      <c r="G376">
        <v>0</v>
      </c>
      <c r="H376">
        <v>0</v>
      </c>
      <c r="I376" s="1">
        <v>0</v>
      </c>
      <c r="J376">
        <v>0</v>
      </c>
      <c r="K376">
        <v>0</v>
      </c>
      <c r="L376">
        <v>0</v>
      </c>
      <c r="M376" s="1">
        <v>0</v>
      </c>
      <c r="N376" s="1">
        <v>0</v>
      </c>
      <c r="O376">
        <v>0</v>
      </c>
      <c r="P376">
        <v>0</v>
      </c>
      <c r="Q376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>
        <v>3</v>
      </c>
      <c r="AD376" s="1">
        <v>0</v>
      </c>
      <c r="AE376" s="1">
        <v>0</v>
      </c>
      <c r="AF376" s="1">
        <v>0</v>
      </c>
      <c r="AG376" s="1">
        <v>0</v>
      </c>
      <c r="AH376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</row>
    <row r="377" spans="1:83" x14ac:dyDescent="0.3">
      <c r="A377" s="5"/>
      <c r="B377" t="s">
        <v>216</v>
      </c>
      <c r="C377" s="2" t="s">
        <v>86</v>
      </c>
      <c r="D377">
        <v>3</v>
      </c>
      <c r="E377">
        <v>0</v>
      </c>
      <c r="F377">
        <v>0</v>
      </c>
      <c r="G377">
        <v>1</v>
      </c>
      <c r="H377">
        <v>0</v>
      </c>
      <c r="I377" s="1">
        <v>0</v>
      </c>
      <c r="J377">
        <v>0</v>
      </c>
      <c r="K377">
        <v>0</v>
      </c>
      <c r="L377">
        <v>0</v>
      </c>
      <c r="M377" s="1">
        <v>0</v>
      </c>
      <c r="N377" s="1">
        <v>0</v>
      </c>
      <c r="O377">
        <v>0</v>
      </c>
      <c r="P377">
        <v>0</v>
      </c>
      <c r="Q377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>
        <v>0</v>
      </c>
      <c r="AI377" s="1">
        <v>0</v>
      </c>
      <c r="AJ377" s="1">
        <v>0</v>
      </c>
      <c r="AK377" s="1">
        <v>0</v>
      </c>
      <c r="AL377" s="1">
        <v>0</v>
      </c>
      <c r="AM377">
        <v>1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>
        <v>1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</row>
    <row r="378" spans="1:83" x14ac:dyDescent="0.3">
      <c r="A378" s="5"/>
      <c r="B378" t="s">
        <v>217</v>
      </c>
      <c r="C378" s="2" t="s">
        <v>82</v>
      </c>
      <c r="D378">
        <v>6</v>
      </c>
      <c r="E378">
        <v>5</v>
      </c>
      <c r="F378">
        <v>0</v>
      </c>
      <c r="G378">
        <v>0</v>
      </c>
      <c r="H378">
        <v>0</v>
      </c>
      <c r="I378" s="1">
        <v>0</v>
      </c>
      <c r="J378">
        <v>0</v>
      </c>
      <c r="K378">
        <v>0</v>
      </c>
      <c r="L378">
        <v>0</v>
      </c>
      <c r="M378" s="1">
        <v>0</v>
      </c>
      <c r="N378" s="1">
        <v>0</v>
      </c>
      <c r="O378">
        <v>0</v>
      </c>
      <c r="P378">
        <v>0</v>
      </c>
      <c r="Q378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>
        <v>0</v>
      </c>
      <c r="AI378" s="1">
        <v>0</v>
      </c>
      <c r="AJ378" s="1">
        <v>0</v>
      </c>
      <c r="AK378" s="1">
        <v>0</v>
      </c>
      <c r="AL378" s="1">
        <v>0</v>
      </c>
      <c r="AM378">
        <v>1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</row>
    <row r="379" spans="1:83" x14ac:dyDescent="0.3">
      <c r="A379" s="5"/>
      <c r="B379" t="s">
        <v>217</v>
      </c>
      <c r="C379" s="2" t="s">
        <v>85</v>
      </c>
      <c r="D379">
        <v>4</v>
      </c>
      <c r="E379">
        <v>3</v>
      </c>
      <c r="F379">
        <v>0</v>
      </c>
      <c r="G379">
        <v>0</v>
      </c>
      <c r="H379">
        <v>0</v>
      </c>
      <c r="I379" s="1">
        <v>0</v>
      </c>
      <c r="J379">
        <v>0</v>
      </c>
      <c r="K379">
        <v>0</v>
      </c>
      <c r="L379">
        <v>0</v>
      </c>
      <c r="M379" s="1">
        <v>0</v>
      </c>
      <c r="N379" s="1">
        <v>0</v>
      </c>
      <c r="O379">
        <v>0</v>
      </c>
      <c r="P379">
        <v>0</v>
      </c>
      <c r="Q379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>
        <v>0</v>
      </c>
      <c r="AI379" s="1">
        <v>0</v>
      </c>
      <c r="AJ379" s="1">
        <v>0</v>
      </c>
      <c r="AK379" s="1">
        <v>0</v>
      </c>
      <c r="AL379" s="1">
        <v>0</v>
      </c>
      <c r="AM379">
        <v>1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</row>
    <row r="380" spans="1:83" x14ac:dyDescent="0.3">
      <c r="A380" s="5"/>
      <c r="B380" t="s">
        <v>217</v>
      </c>
      <c r="C380" s="2" t="s">
        <v>86</v>
      </c>
      <c r="D380">
        <v>2</v>
      </c>
      <c r="E380">
        <v>2</v>
      </c>
      <c r="F380">
        <v>0</v>
      </c>
      <c r="G380">
        <v>0</v>
      </c>
      <c r="H380">
        <v>0</v>
      </c>
      <c r="I380" s="1">
        <v>0</v>
      </c>
      <c r="J380">
        <v>0</v>
      </c>
      <c r="K380">
        <v>0</v>
      </c>
      <c r="L380">
        <v>0</v>
      </c>
      <c r="M380" s="1">
        <v>0</v>
      </c>
      <c r="N380" s="1">
        <v>0</v>
      </c>
      <c r="O380">
        <v>0</v>
      </c>
      <c r="P380">
        <v>0</v>
      </c>
      <c r="Q380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</row>
    <row r="381" spans="1:83" x14ac:dyDescent="0.3">
      <c r="A381" s="5"/>
      <c r="B381" t="s">
        <v>218</v>
      </c>
      <c r="C381" s="2" t="s">
        <v>82</v>
      </c>
      <c r="D381">
        <v>4</v>
      </c>
      <c r="E381">
        <v>0</v>
      </c>
      <c r="F381">
        <v>0</v>
      </c>
      <c r="G381">
        <v>0</v>
      </c>
      <c r="H381">
        <v>0</v>
      </c>
      <c r="I381" s="1">
        <v>0</v>
      </c>
      <c r="J381">
        <v>0</v>
      </c>
      <c r="K381">
        <v>0</v>
      </c>
      <c r="L381">
        <v>0</v>
      </c>
      <c r="M381" s="1">
        <v>0</v>
      </c>
      <c r="N381" s="1">
        <v>0</v>
      </c>
      <c r="O381">
        <v>0</v>
      </c>
      <c r="P381">
        <v>0</v>
      </c>
      <c r="Q381">
        <v>0</v>
      </c>
      <c r="R381" s="1">
        <v>0</v>
      </c>
      <c r="S381" s="1">
        <v>0</v>
      </c>
      <c r="T381" s="1">
        <v>0</v>
      </c>
      <c r="U381" s="1">
        <v>0</v>
      </c>
      <c r="V381">
        <v>4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</row>
    <row r="382" spans="1:83" x14ac:dyDescent="0.3">
      <c r="A382" s="5"/>
      <c r="B382" t="s">
        <v>218</v>
      </c>
      <c r="C382" s="2" t="s">
        <v>85</v>
      </c>
      <c r="D382">
        <v>4</v>
      </c>
      <c r="E382">
        <v>0</v>
      </c>
      <c r="F382">
        <v>0</v>
      </c>
      <c r="G382">
        <v>0</v>
      </c>
      <c r="H382">
        <v>0</v>
      </c>
      <c r="I382" s="1">
        <v>0</v>
      </c>
      <c r="J382">
        <v>0</v>
      </c>
      <c r="K382">
        <v>0</v>
      </c>
      <c r="L382">
        <v>0</v>
      </c>
      <c r="M382" s="1">
        <v>0</v>
      </c>
      <c r="N382" s="1">
        <v>0</v>
      </c>
      <c r="O382">
        <v>0</v>
      </c>
      <c r="P382">
        <v>0</v>
      </c>
      <c r="Q382">
        <v>0</v>
      </c>
      <c r="R382" s="1">
        <v>0</v>
      </c>
      <c r="S382" s="1">
        <v>0</v>
      </c>
      <c r="T382" s="1">
        <v>0</v>
      </c>
      <c r="U382" s="1">
        <v>0</v>
      </c>
      <c r="V382">
        <v>4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</row>
    <row r="383" spans="1:83" x14ac:dyDescent="0.3">
      <c r="A383" s="5"/>
      <c r="B383" t="s">
        <v>219</v>
      </c>
      <c r="C383" s="2" t="s">
        <v>82</v>
      </c>
      <c r="D383">
        <v>4</v>
      </c>
      <c r="E383">
        <v>0</v>
      </c>
      <c r="F383">
        <v>0</v>
      </c>
      <c r="G383">
        <v>0</v>
      </c>
      <c r="H383">
        <v>0</v>
      </c>
      <c r="I383" s="1">
        <v>0</v>
      </c>
      <c r="J383">
        <v>0</v>
      </c>
      <c r="K383">
        <v>0</v>
      </c>
      <c r="L383">
        <v>0</v>
      </c>
      <c r="M383" s="1">
        <v>0</v>
      </c>
      <c r="N383" s="1">
        <v>0</v>
      </c>
      <c r="O383">
        <v>0</v>
      </c>
      <c r="P383">
        <v>0</v>
      </c>
      <c r="Q383">
        <v>0</v>
      </c>
      <c r="R383" s="1">
        <v>0</v>
      </c>
      <c r="S383" s="1">
        <v>0</v>
      </c>
      <c r="T383" s="1">
        <v>0</v>
      </c>
      <c r="U383" s="1">
        <v>0</v>
      </c>
      <c r="V383">
        <v>4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</row>
    <row r="384" spans="1:83" x14ac:dyDescent="0.3">
      <c r="A384" s="5"/>
      <c r="B384" t="s">
        <v>219</v>
      </c>
      <c r="C384" s="2" t="s">
        <v>85</v>
      </c>
      <c r="D384">
        <v>4</v>
      </c>
      <c r="E384">
        <v>0</v>
      </c>
      <c r="F384">
        <v>0</v>
      </c>
      <c r="G384">
        <v>0</v>
      </c>
      <c r="H384">
        <v>0</v>
      </c>
      <c r="I384" s="1">
        <v>0</v>
      </c>
      <c r="J384">
        <v>0</v>
      </c>
      <c r="K384">
        <v>0</v>
      </c>
      <c r="L384">
        <v>0</v>
      </c>
      <c r="M384" s="1">
        <v>0</v>
      </c>
      <c r="N384" s="1">
        <v>0</v>
      </c>
      <c r="O384">
        <v>0</v>
      </c>
      <c r="P384">
        <v>0</v>
      </c>
      <c r="Q384">
        <v>0</v>
      </c>
      <c r="R384" s="1">
        <v>0</v>
      </c>
      <c r="S384" s="1">
        <v>0</v>
      </c>
      <c r="T384" s="1">
        <v>0</v>
      </c>
      <c r="U384" s="1">
        <v>0</v>
      </c>
      <c r="V384">
        <v>4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</row>
    <row r="385" spans="1:83" x14ac:dyDescent="0.3">
      <c r="A385" s="5"/>
      <c r="B385" t="s">
        <v>220</v>
      </c>
      <c r="C385" s="2" t="s">
        <v>82</v>
      </c>
      <c r="D385">
        <v>3</v>
      </c>
      <c r="E385">
        <v>0</v>
      </c>
      <c r="F385">
        <v>0</v>
      </c>
      <c r="G385">
        <v>0</v>
      </c>
      <c r="H385">
        <v>0</v>
      </c>
      <c r="I385" s="1">
        <v>0</v>
      </c>
      <c r="J385">
        <v>0</v>
      </c>
      <c r="K385">
        <v>0</v>
      </c>
      <c r="L385">
        <v>0</v>
      </c>
      <c r="M385" s="1">
        <v>0</v>
      </c>
      <c r="N385" s="1">
        <v>0</v>
      </c>
      <c r="O385">
        <v>0</v>
      </c>
      <c r="P385">
        <v>0</v>
      </c>
      <c r="Q385">
        <v>0</v>
      </c>
      <c r="R385" s="1">
        <v>0</v>
      </c>
      <c r="S385" s="1">
        <v>0</v>
      </c>
      <c r="T385" s="1">
        <v>0</v>
      </c>
      <c r="U385" s="1">
        <v>0</v>
      </c>
      <c r="V385">
        <v>3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</row>
    <row r="386" spans="1:83" x14ac:dyDescent="0.3">
      <c r="A386" s="5"/>
      <c r="B386" t="s">
        <v>220</v>
      </c>
      <c r="C386" s="2" t="s">
        <v>85</v>
      </c>
      <c r="D386">
        <v>3</v>
      </c>
      <c r="E386">
        <v>0</v>
      </c>
      <c r="F386">
        <v>0</v>
      </c>
      <c r="G386">
        <v>0</v>
      </c>
      <c r="H386">
        <v>0</v>
      </c>
      <c r="I386" s="1">
        <v>0</v>
      </c>
      <c r="J386">
        <v>0</v>
      </c>
      <c r="K386">
        <v>0</v>
      </c>
      <c r="L386">
        <v>0</v>
      </c>
      <c r="M386" s="1">
        <v>0</v>
      </c>
      <c r="N386" s="1">
        <v>0</v>
      </c>
      <c r="O386">
        <v>0</v>
      </c>
      <c r="P386">
        <v>0</v>
      </c>
      <c r="Q386">
        <v>0</v>
      </c>
      <c r="R386" s="1">
        <v>0</v>
      </c>
      <c r="S386" s="1">
        <v>0</v>
      </c>
      <c r="T386" s="1">
        <v>0</v>
      </c>
      <c r="U386" s="1">
        <v>0</v>
      </c>
      <c r="V386">
        <v>3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</row>
    <row r="387" spans="1:83" x14ac:dyDescent="0.3">
      <c r="A387" s="5"/>
      <c r="B387" t="s">
        <v>221</v>
      </c>
      <c r="C387" s="2" t="s">
        <v>82</v>
      </c>
      <c r="D387">
        <v>2</v>
      </c>
      <c r="E387">
        <v>1</v>
      </c>
      <c r="F387">
        <v>0</v>
      </c>
      <c r="G387">
        <v>0</v>
      </c>
      <c r="H387">
        <v>0</v>
      </c>
      <c r="I387" s="1">
        <v>0</v>
      </c>
      <c r="J387">
        <v>0</v>
      </c>
      <c r="K387">
        <v>0</v>
      </c>
      <c r="L387">
        <v>0</v>
      </c>
      <c r="M387" s="1">
        <v>0</v>
      </c>
      <c r="N387" s="1">
        <v>0</v>
      </c>
      <c r="O387">
        <v>0</v>
      </c>
      <c r="P387">
        <v>0</v>
      </c>
      <c r="Q387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>
        <v>1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</row>
    <row r="388" spans="1:83" x14ac:dyDescent="0.3">
      <c r="A388" s="5"/>
      <c r="B388" t="s">
        <v>221</v>
      </c>
      <c r="C388" s="2" t="s">
        <v>85</v>
      </c>
      <c r="D388">
        <v>2</v>
      </c>
      <c r="E388">
        <v>1</v>
      </c>
      <c r="F388">
        <v>0</v>
      </c>
      <c r="G388">
        <v>0</v>
      </c>
      <c r="H388">
        <v>0</v>
      </c>
      <c r="I388" s="1">
        <v>0</v>
      </c>
      <c r="J388">
        <v>0</v>
      </c>
      <c r="K388">
        <v>0</v>
      </c>
      <c r="L388">
        <v>0</v>
      </c>
      <c r="M388" s="1">
        <v>0</v>
      </c>
      <c r="N388" s="1">
        <v>0</v>
      </c>
      <c r="O388">
        <v>0</v>
      </c>
      <c r="P388">
        <v>0</v>
      </c>
      <c r="Q388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>
        <v>1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</row>
    <row r="389" spans="1:83" x14ac:dyDescent="0.3">
      <c r="A389" s="5"/>
      <c r="B389" t="s">
        <v>222</v>
      </c>
      <c r="C389" s="2" t="s">
        <v>82</v>
      </c>
      <c r="D389">
        <v>2</v>
      </c>
      <c r="E389">
        <v>0</v>
      </c>
      <c r="F389">
        <v>0</v>
      </c>
      <c r="G389">
        <v>0</v>
      </c>
      <c r="H389">
        <v>0</v>
      </c>
      <c r="I389" s="1">
        <v>0</v>
      </c>
      <c r="J389">
        <v>0</v>
      </c>
      <c r="K389">
        <v>0</v>
      </c>
      <c r="L389">
        <v>0</v>
      </c>
      <c r="M389" s="1">
        <v>0</v>
      </c>
      <c r="N389" s="1">
        <v>0</v>
      </c>
      <c r="O389">
        <v>0</v>
      </c>
      <c r="P389">
        <v>0</v>
      </c>
      <c r="Q389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>
        <v>0</v>
      </c>
      <c r="AI389" s="1">
        <v>0</v>
      </c>
      <c r="AJ389" s="1">
        <v>0</v>
      </c>
      <c r="AK389" s="1">
        <v>0</v>
      </c>
      <c r="AL389" s="1">
        <v>0</v>
      </c>
      <c r="AM389">
        <v>2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</row>
    <row r="390" spans="1:83" x14ac:dyDescent="0.3">
      <c r="A390" s="5"/>
      <c r="B390" t="s">
        <v>222</v>
      </c>
      <c r="C390" s="2" t="s">
        <v>85</v>
      </c>
      <c r="D390">
        <v>2</v>
      </c>
      <c r="E390">
        <v>0</v>
      </c>
      <c r="F390">
        <v>0</v>
      </c>
      <c r="G390">
        <v>0</v>
      </c>
      <c r="H390">
        <v>0</v>
      </c>
      <c r="I390" s="1">
        <v>0</v>
      </c>
      <c r="J390">
        <v>0</v>
      </c>
      <c r="K390">
        <v>0</v>
      </c>
      <c r="L390">
        <v>0</v>
      </c>
      <c r="M390" s="1">
        <v>0</v>
      </c>
      <c r="N390" s="1">
        <v>0</v>
      </c>
      <c r="O390">
        <v>0</v>
      </c>
      <c r="P390">
        <v>0</v>
      </c>
      <c r="Q390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>
        <v>0</v>
      </c>
      <c r="AI390" s="1">
        <v>0</v>
      </c>
      <c r="AJ390" s="1">
        <v>0</v>
      </c>
      <c r="AK390" s="1">
        <v>0</v>
      </c>
      <c r="AL390" s="1">
        <v>0</v>
      </c>
      <c r="AM390">
        <v>2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</row>
    <row r="391" spans="1:83" x14ac:dyDescent="0.3">
      <c r="A391" s="5"/>
      <c r="B391" t="s">
        <v>223</v>
      </c>
      <c r="C391" s="2" t="s">
        <v>82</v>
      </c>
      <c r="D391">
        <v>1</v>
      </c>
      <c r="E391">
        <v>0</v>
      </c>
      <c r="F391">
        <v>0</v>
      </c>
      <c r="G391">
        <v>0</v>
      </c>
      <c r="H391">
        <v>0</v>
      </c>
      <c r="I391" s="1">
        <v>0</v>
      </c>
      <c r="J391">
        <v>0</v>
      </c>
      <c r="K391">
        <v>0</v>
      </c>
      <c r="L391">
        <v>0</v>
      </c>
      <c r="M391" s="1">
        <v>0</v>
      </c>
      <c r="N391" s="1">
        <v>0</v>
      </c>
      <c r="O391">
        <v>0</v>
      </c>
      <c r="P391">
        <v>0</v>
      </c>
      <c r="Q39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>
        <v>1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</row>
    <row r="392" spans="1:83" x14ac:dyDescent="0.3">
      <c r="A392" s="5"/>
      <c r="B392" t="s">
        <v>223</v>
      </c>
      <c r="C392" s="2" t="s">
        <v>85</v>
      </c>
      <c r="D392">
        <v>1</v>
      </c>
      <c r="E392">
        <v>0</v>
      </c>
      <c r="F392">
        <v>0</v>
      </c>
      <c r="G392">
        <v>0</v>
      </c>
      <c r="H392">
        <v>0</v>
      </c>
      <c r="I392" s="1">
        <v>0</v>
      </c>
      <c r="J392">
        <v>0</v>
      </c>
      <c r="K392">
        <v>0</v>
      </c>
      <c r="L392">
        <v>0</v>
      </c>
      <c r="M392" s="1">
        <v>0</v>
      </c>
      <c r="N392" s="1">
        <v>0</v>
      </c>
      <c r="O392">
        <v>0</v>
      </c>
      <c r="P392">
        <v>0</v>
      </c>
      <c r="Q392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>
        <v>1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</row>
    <row r="393" spans="1:83" x14ac:dyDescent="0.3">
      <c r="A393" s="5"/>
      <c r="B393" t="s">
        <v>224</v>
      </c>
      <c r="C393" s="2" t="s">
        <v>82</v>
      </c>
      <c r="D393">
        <v>1</v>
      </c>
      <c r="E393">
        <v>0</v>
      </c>
      <c r="F393">
        <v>0</v>
      </c>
      <c r="G393">
        <v>0</v>
      </c>
      <c r="H393">
        <v>0</v>
      </c>
      <c r="I393" s="1">
        <v>0</v>
      </c>
      <c r="J393">
        <v>0</v>
      </c>
      <c r="K393">
        <v>0</v>
      </c>
      <c r="L393">
        <v>0</v>
      </c>
      <c r="M393" s="1">
        <v>0</v>
      </c>
      <c r="N393" s="1">
        <v>0</v>
      </c>
      <c r="O393">
        <v>0</v>
      </c>
      <c r="P393">
        <v>0</v>
      </c>
      <c r="Q393">
        <v>1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</row>
    <row r="394" spans="1:83" x14ac:dyDescent="0.3">
      <c r="A394" s="5"/>
      <c r="B394" t="s">
        <v>224</v>
      </c>
      <c r="C394" s="2" t="s">
        <v>85</v>
      </c>
      <c r="D394">
        <v>1</v>
      </c>
      <c r="E394">
        <v>0</v>
      </c>
      <c r="F394">
        <v>0</v>
      </c>
      <c r="G394">
        <v>0</v>
      </c>
      <c r="H394">
        <v>0</v>
      </c>
      <c r="I394" s="1">
        <v>0</v>
      </c>
      <c r="J394">
        <v>0</v>
      </c>
      <c r="K394">
        <v>0</v>
      </c>
      <c r="L394">
        <v>0</v>
      </c>
      <c r="M394" s="1">
        <v>0</v>
      </c>
      <c r="N394" s="1">
        <v>0</v>
      </c>
      <c r="O394">
        <v>0</v>
      </c>
      <c r="P394">
        <v>0</v>
      </c>
      <c r="Q394">
        <v>1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</row>
    <row r="395" spans="1:83" x14ac:dyDescent="0.3">
      <c r="A395" s="5"/>
      <c r="B395" t="s">
        <v>225</v>
      </c>
      <c r="C395" s="2" t="s">
        <v>82</v>
      </c>
      <c r="D395">
        <v>1</v>
      </c>
      <c r="E395">
        <v>0</v>
      </c>
      <c r="F395">
        <v>0</v>
      </c>
      <c r="G395">
        <v>0</v>
      </c>
      <c r="H395">
        <v>0</v>
      </c>
      <c r="I395" s="1">
        <v>0</v>
      </c>
      <c r="J395">
        <v>0</v>
      </c>
      <c r="K395">
        <v>0</v>
      </c>
      <c r="L395">
        <v>0</v>
      </c>
      <c r="M395" s="1">
        <v>0</v>
      </c>
      <c r="N395" s="1">
        <v>0</v>
      </c>
      <c r="O395">
        <v>0</v>
      </c>
      <c r="P395">
        <v>0</v>
      </c>
      <c r="Q395">
        <v>0</v>
      </c>
      <c r="R395" s="1">
        <v>0</v>
      </c>
      <c r="S395" s="1">
        <v>0</v>
      </c>
      <c r="T395" s="1">
        <v>0</v>
      </c>
      <c r="U395" s="1">
        <v>0</v>
      </c>
      <c r="V395">
        <v>1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</row>
    <row r="396" spans="1:83" x14ac:dyDescent="0.3">
      <c r="A396" s="5"/>
      <c r="B396" t="s">
        <v>225</v>
      </c>
      <c r="C396" s="2" t="s">
        <v>86</v>
      </c>
      <c r="D396">
        <v>1</v>
      </c>
      <c r="E396">
        <v>0</v>
      </c>
      <c r="F396">
        <v>0</v>
      </c>
      <c r="G396">
        <v>0</v>
      </c>
      <c r="H396">
        <v>0</v>
      </c>
      <c r="I396" s="1">
        <v>0</v>
      </c>
      <c r="J396">
        <v>0</v>
      </c>
      <c r="K396">
        <v>0</v>
      </c>
      <c r="L396">
        <v>0</v>
      </c>
      <c r="M396" s="1">
        <v>0</v>
      </c>
      <c r="N396" s="1">
        <v>0</v>
      </c>
      <c r="O396">
        <v>0</v>
      </c>
      <c r="P396">
        <v>0</v>
      </c>
      <c r="Q396">
        <v>0</v>
      </c>
      <c r="R396" s="1">
        <v>0</v>
      </c>
      <c r="S396" s="1">
        <v>0</v>
      </c>
      <c r="T396" s="1">
        <v>0</v>
      </c>
      <c r="U396" s="1">
        <v>0</v>
      </c>
      <c r="V396">
        <v>1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</row>
    <row r="397" spans="1:83" x14ac:dyDescent="0.3">
      <c r="A397" s="5"/>
      <c r="B397" t="s">
        <v>226</v>
      </c>
      <c r="C397" s="2" t="s">
        <v>82</v>
      </c>
      <c r="D397">
        <v>1</v>
      </c>
      <c r="E397">
        <v>0</v>
      </c>
      <c r="F397">
        <v>0</v>
      </c>
      <c r="G397">
        <v>0</v>
      </c>
      <c r="H397">
        <v>0</v>
      </c>
      <c r="I397" s="1">
        <v>0</v>
      </c>
      <c r="J397">
        <v>0</v>
      </c>
      <c r="K397">
        <v>0</v>
      </c>
      <c r="L397">
        <v>0</v>
      </c>
      <c r="M397" s="1">
        <v>0</v>
      </c>
      <c r="N397" s="1">
        <v>0</v>
      </c>
      <c r="O397">
        <v>0</v>
      </c>
      <c r="P397">
        <v>0</v>
      </c>
      <c r="Q397">
        <v>1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</row>
    <row r="398" spans="1:83" x14ac:dyDescent="0.3">
      <c r="A398" s="5"/>
      <c r="B398" t="s">
        <v>226</v>
      </c>
      <c r="C398" s="2" t="s">
        <v>85</v>
      </c>
      <c r="D398">
        <v>1</v>
      </c>
      <c r="E398">
        <v>0</v>
      </c>
      <c r="F398">
        <v>0</v>
      </c>
      <c r="G398">
        <v>0</v>
      </c>
      <c r="H398">
        <v>0</v>
      </c>
      <c r="I398" s="1">
        <v>0</v>
      </c>
      <c r="J398">
        <v>0</v>
      </c>
      <c r="K398">
        <v>0</v>
      </c>
      <c r="L398">
        <v>0</v>
      </c>
      <c r="M398" s="1">
        <v>0</v>
      </c>
      <c r="N398" s="1">
        <v>0</v>
      </c>
      <c r="O398">
        <v>0</v>
      </c>
      <c r="P398">
        <v>0</v>
      </c>
      <c r="Q398">
        <v>1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</row>
    <row r="399" spans="1:83" x14ac:dyDescent="0.3">
      <c r="A399" s="5"/>
      <c r="B399" t="s">
        <v>227</v>
      </c>
      <c r="C399" s="2" t="s">
        <v>82</v>
      </c>
      <c r="D399">
        <v>1</v>
      </c>
      <c r="E399">
        <v>0</v>
      </c>
      <c r="F399">
        <v>0</v>
      </c>
      <c r="G399">
        <v>0</v>
      </c>
      <c r="H399">
        <v>1</v>
      </c>
      <c r="I399" s="1">
        <v>0</v>
      </c>
      <c r="J399">
        <v>0</v>
      </c>
      <c r="K399">
        <v>0</v>
      </c>
      <c r="L399">
        <v>0</v>
      </c>
      <c r="M399" s="1">
        <v>0</v>
      </c>
      <c r="N399" s="1">
        <v>0</v>
      </c>
      <c r="O399">
        <v>0</v>
      </c>
      <c r="P399">
        <v>0</v>
      </c>
      <c r="Q399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</row>
    <row r="400" spans="1:83" x14ac:dyDescent="0.3">
      <c r="A400" s="5"/>
      <c r="B400" t="s">
        <v>227</v>
      </c>
      <c r="C400" s="2" t="s">
        <v>85</v>
      </c>
      <c r="D400">
        <v>1</v>
      </c>
      <c r="E400">
        <v>0</v>
      </c>
      <c r="F400">
        <v>0</v>
      </c>
      <c r="G400">
        <v>0</v>
      </c>
      <c r="H400">
        <v>1</v>
      </c>
      <c r="I400" s="1">
        <v>0</v>
      </c>
      <c r="J400">
        <v>0</v>
      </c>
      <c r="K400">
        <v>0</v>
      </c>
      <c r="L400">
        <v>0</v>
      </c>
      <c r="M400" s="1">
        <v>0</v>
      </c>
      <c r="N400" s="1">
        <v>0</v>
      </c>
      <c r="O400">
        <v>0</v>
      </c>
      <c r="P400">
        <v>0</v>
      </c>
      <c r="Q400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</row>
    <row r="401" spans="1:83" x14ac:dyDescent="0.3">
      <c r="A401" s="5"/>
      <c r="B401" t="s">
        <v>228</v>
      </c>
      <c r="C401" s="2" t="s">
        <v>82</v>
      </c>
      <c r="D401">
        <v>1</v>
      </c>
      <c r="E401">
        <v>0</v>
      </c>
      <c r="F401">
        <v>0</v>
      </c>
      <c r="G401">
        <v>0</v>
      </c>
      <c r="H401">
        <v>0</v>
      </c>
      <c r="I401" s="1">
        <v>0</v>
      </c>
      <c r="J401">
        <v>0</v>
      </c>
      <c r="K401">
        <v>0</v>
      </c>
      <c r="L401">
        <v>0</v>
      </c>
      <c r="M401" s="1">
        <v>0</v>
      </c>
      <c r="N401" s="1">
        <v>0</v>
      </c>
      <c r="O401">
        <v>0</v>
      </c>
      <c r="P401">
        <v>0</v>
      </c>
      <c r="Q40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>
        <v>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</row>
    <row r="402" spans="1:83" x14ac:dyDescent="0.3">
      <c r="A402" s="5"/>
      <c r="B402" t="s">
        <v>228</v>
      </c>
      <c r="C402" s="2" t="s">
        <v>86</v>
      </c>
      <c r="D402">
        <v>1</v>
      </c>
      <c r="E402">
        <v>0</v>
      </c>
      <c r="F402">
        <v>0</v>
      </c>
      <c r="G402">
        <v>0</v>
      </c>
      <c r="H402">
        <v>0</v>
      </c>
      <c r="I402" s="1">
        <v>0</v>
      </c>
      <c r="J402">
        <v>0</v>
      </c>
      <c r="K402">
        <v>0</v>
      </c>
      <c r="L402">
        <v>0</v>
      </c>
      <c r="M402" s="1">
        <v>0</v>
      </c>
      <c r="N402" s="1">
        <v>0</v>
      </c>
      <c r="O402">
        <v>0</v>
      </c>
      <c r="P402">
        <v>0</v>
      </c>
      <c r="Q402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>
        <v>1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</row>
    <row r="403" spans="1:83" x14ac:dyDescent="0.3">
      <c r="A403" s="5"/>
      <c r="B403" t="s">
        <v>229</v>
      </c>
      <c r="C403" s="2" t="s">
        <v>82</v>
      </c>
      <c r="D403">
        <v>1</v>
      </c>
      <c r="E403">
        <v>0</v>
      </c>
      <c r="F403">
        <v>0</v>
      </c>
      <c r="G403">
        <v>0</v>
      </c>
      <c r="H403">
        <v>0</v>
      </c>
      <c r="I403" s="1">
        <v>0</v>
      </c>
      <c r="J403">
        <v>0</v>
      </c>
      <c r="K403">
        <v>0</v>
      </c>
      <c r="L403">
        <v>0</v>
      </c>
      <c r="M403" s="1">
        <v>0</v>
      </c>
      <c r="N403" s="1">
        <v>0</v>
      </c>
      <c r="O403">
        <v>0</v>
      </c>
      <c r="P403">
        <v>0</v>
      </c>
      <c r="Q403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>
        <v>0</v>
      </c>
      <c r="AI403" s="1">
        <v>0</v>
      </c>
      <c r="AJ403" s="1">
        <v>0</v>
      </c>
      <c r="AK403">
        <v>1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</row>
    <row r="404" spans="1:83" x14ac:dyDescent="0.3">
      <c r="A404" s="5"/>
      <c r="B404" t="s">
        <v>229</v>
      </c>
      <c r="C404" s="2" t="s">
        <v>85</v>
      </c>
      <c r="D404">
        <v>1</v>
      </c>
      <c r="E404">
        <v>0</v>
      </c>
      <c r="F404">
        <v>0</v>
      </c>
      <c r="G404">
        <v>0</v>
      </c>
      <c r="H404">
        <v>0</v>
      </c>
      <c r="I404" s="1">
        <v>0</v>
      </c>
      <c r="J404">
        <v>0</v>
      </c>
      <c r="K404">
        <v>0</v>
      </c>
      <c r="L404">
        <v>0</v>
      </c>
      <c r="M404" s="1">
        <v>0</v>
      </c>
      <c r="N404" s="1">
        <v>0</v>
      </c>
      <c r="O404">
        <v>0</v>
      </c>
      <c r="P404">
        <v>0</v>
      </c>
      <c r="Q404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>
        <v>0</v>
      </c>
      <c r="AI404" s="1">
        <v>0</v>
      </c>
      <c r="AJ404" s="1">
        <v>0</v>
      </c>
      <c r="AK404">
        <v>1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</row>
  </sheetData>
  <mergeCells count="13">
    <mergeCell ref="A339:A404"/>
    <mergeCell ref="A151:A210"/>
    <mergeCell ref="A211:B213"/>
    <mergeCell ref="A214:A319"/>
    <mergeCell ref="A320:B322"/>
    <mergeCell ref="A323:A335"/>
    <mergeCell ref="A336:B338"/>
    <mergeCell ref="A2:B4"/>
    <mergeCell ref="A5:B7"/>
    <mergeCell ref="A8:A138"/>
    <mergeCell ref="A139:B141"/>
    <mergeCell ref="A142:A147"/>
    <mergeCell ref="A148:B150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2026-03-04T09:16:59Z</dcterms:created>
  <dcterms:modified xsi:type="dcterms:W3CDTF">2026-05-06T10:17:50Z</dcterms:modified>
</cp:coreProperties>
</file>