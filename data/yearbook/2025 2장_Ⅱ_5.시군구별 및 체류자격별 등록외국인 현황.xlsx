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958B451-8FC2-40C9-B6F2-9F64C98C1DC6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" i="1" l="1"/>
  <c r="W3" i="1"/>
  <c r="Y3" i="1"/>
  <c r="AB3" i="1"/>
  <c r="Y4" i="1"/>
  <c r="Z4" i="1"/>
  <c r="AB4" i="1"/>
  <c r="AC4" i="1"/>
  <c r="D4" i="1"/>
  <c r="D3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D763" i="1"/>
  <c r="D762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D706" i="1"/>
  <c r="D705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D661" i="1"/>
  <c r="D660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D610" i="1"/>
  <c r="D609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D601" i="1"/>
  <c r="D600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D3" i="1" s="1"/>
  <c r="AE531" i="1"/>
  <c r="AF531" i="1"/>
  <c r="AG531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D532" i="1"/>
  <c r="D531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D499" i="1"/>
  <c r="D498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D481" i="1"/>
  <c r="D480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D400" i="1"/>
  <c r="D399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D349" i="1"/>
  <c r="D348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D331" i="1"/>
  <c r="D33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F3" i="1" s="1"/>
  <c r="AG300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D301" i="1"/>
  <c r="D300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D283" i="1"/>
  <c r="D282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A3" i="1" s="1"/>
  <c r="AB210" i="1"/>
  <c r="AC210" i="1"/>
  <c r="AC3" i="1" s="1"/>
  <c r="AD210" i="1"/>
  <c r="AE210" i="1"/>
  <c r="AF210" i="1"/>
  <c r="AG210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W4" i="1" s="1"/>
  <c r="X211" i="1"/>
  <c r="Y211" i="1"/>
  <c r="Z211" i="1"/>
  <c r="AA211" i="1"/>
  <c r="AA4" i="1" s="1"/>
  <c r="AB211" i="1"/>
  <c r="AC211" i="1"/>
  <c r="AD211" i="1"/>
  <c r="AE211" i="1"/>
  <c r="AF211" i="1"/>
  <c r="AG211" i="1"/>
  <c r="D211" i="1"/>
  <c r="D210" i="1"/>
  <c r="E141" i="1"/>
  <c r="F141" i="1"/>
  <c r="F3" i="1" s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Z3" i="1" s="1"/>
  <c r="AA141" i="1"/>
  <c r="AB141" i="1"/>
  <c r="AC141" i="1"/>
  <c r="AD141" i="1"/>
  <c r="AE141" i="1"/>
  <c r="AF141" i="1"/>
  <c r="AG141" i="1"/>
  <c r="E142" i="1"/>
  <c r="F142" i="1"/>
  <c r="F4" i="1" s="1"/>
  <c r="G142" i="1"/>
  <c r="H142" i="1"/>
  <c r="H4" i="1" s="1"/>
  <c r="I142" i="1"/>
  <c r="J142" i="1"/>
  <c r="K142" i="1"/>
  <c r="L142" i="1"/>
  <c r="M142" i="1"/>
  <c r="N142" i="1"/>
  <c r="N4" i="1" s="1"/>
  <c r="O142" i="1"/>
  <c r="P142" i="1"/>
  <c r="Q142" i="1"/>
  <c r="R142" i="1"/>
  <c r="S142" i="1"/>
  <c r="T142" i="1"/>
  <c r="U142" i="1"/>
  <c r="U4" i="1" s="1"/>
  <c r="V142" i="1"/>
  <c r="W142" i="1"/>
  <c r="X142" i="1"/>
  <c r="Y142" i="1"/>
  <c r="Z142" i="1"/>
  <c r="AA142" i="1"/>
  <c r="AB142" i="1"/>
  <c r="AC142" i="1"/>
  <c r="AD142" i="1"/>
  <c r="AD4" i="1" s="1"/>
  <c r="AE142" i="1"/>
  <c r="AF142" i="1"/>
  <c r="AF4" i="1" s="1"/>
  <c r="AG142" i="1"/>
  <c r="D142" i="1"/>
  <c r="D141" i="1"/>
  <c r="E6" i="1"/>
  <c r="E3" i="1" s="1"/>
  <c r="F6" i="1"/>
  <c r="G6" i="1"/>
  <c r="G3" i="1" s="1"/>
  <c r="H6" i="1"/>
  <c r="H3" i="1" s="1"/>
  <c r="I6" i="1"/>
  <c r="I3" i="1" s="1"/>
  <c r="J6" i="1"/>
  <c r="J3" i="1" s="1"/>
  <c r="K6" i="1"/>
  <c r="K3" i="1" s="1"/>
  <c r="L6" i="1"/>
  <c r="L3" i="1" s="1"/>
  <c r="M6" i="1"/>
  <c r="M3" i="1" s="1"/>
  <c r="N6" i="1"/>
  <c r="N3" i="1" s="1"/>
  <c r="O6" i="1"/>
  <c r="O3" i="1" s="1"/>
  <c r="P6" i="1"/>
  <c r="P3" i="1" s="1"/>
  <c r="Q6" i="1"/>
  <c r="Q3" i="1" s="1"/>
  <c r="R6" i="1"/>
  <c r="R3" i="1" s="1"/>
  <c r="S6" i="1"/>
  <c r="S3" i="1" s="1"/>
  <c r="T6" i="1"/>
  <c r="T3" i="1" s="1"/>
  <c r="U6" i="1"/>
  <c r="V6" i="1"/>
  <c r="V3" i="1" s="1"/>
  <c r="W6" i="1"/>
  <c r="X6" i="1"/>
  <c r="X3" i="1" s="1"/>
  <c r="Y6" i="1"/>
  <c r="Z6" i="1"/>
  <c r="AA6" i="1"/>
  <c r="AB6" i="1"/>
  <c r="AC6" i="1"/>
  <c r="AD6" i="1"/>
  <c r="AE6" i="1"/>
  <c r="AE3" i="1" s="1"/>
  <c r="AF6" i="1"/>
  <c r="AG6" i="1"/>
  <c r="AG3" i="1" s="1"/>
  <c r="E7" i="1"/>
  <c r="E4" i="1" s="1"/>
  <c r="F7" i="1"/>
  <c r="G7" i="1"/>
  <c r="G4" i="1" s="1"/>
  <c r="H7" i="1"/>
  <c r="I7" i="1"/>
  <c r="I4" i="1" s="1"/>
  <c r="J7" i="1"/>
  <c r="J4" i="1" s="1"/>
  <c r="K7" i="1"/>
  <c r="K4" i="1" s="1"/>
  <c r="L7" i="1"/>
  <c r="L4" i="1" s="1"/>
  <c r="M7" i="1"/>
  <c r="M4" i="1" s="1"/>
  <c r="N7" i="1"/>
  <c r="O7" i="1"/>
  <c r="O4" i="1" s="1"/>
  <c r="P7" i="1"/>
  <c r="P4" i="1" s="1"/>
  <c r="Q7" i="1"/>
  <c r="Q4" i="1" s="1"/>
  <c r="R7" i="1"/>
  <c r="R4" i="1" s="1"/>
  <c r="S7" i="1"/>
  <c r="S4" i="1" s="1"/>
  <c r="T7" i="1"/>
  <c r="T4" i="1" s="1"/>
  <c r="U7" i="1"/>
  <c r="V7" i="1"/>
  <c r="V4" i="1" s="1"/>
  <c r="W7" i="1"/>
  <c r="X7" i="1"/>
  <c r="X4" i="1" s="1"/>
  <c r="Y7" i="1"/>
  <c r="Z7" i="1"/>
  <c r="AA7" i="1"/>
  <c r="AB7" i="1"/>
  <c r="AC7" i="1"/>
  <c r="AD7" i="1"/>
  <c r="AE7" i="1"/>
  <c r="AE4" i="1" s="1"/>
  <c r="AF7" i="1"/>
  <c r="AG7" i="1"/>
  <c r="AG4" i="1" s="1"/>
  <c r="D7" i="1"/>
  <c r="D6" i="1"/>
</calcChain>
</file>

<file path=xl/sharedStrings.xml><?xml version="1.0" encoding="utf-8"?>
<sst xmlns="http://schemas.openxmlformats.org/spreadsheetml/2006/main" count="2454" uniqueCount="282">
  <si>
    <t>시도</t>
  </si>
  <si>
    <t>시군구</t>
  </si>
  <si>
    <t>성별</t>
  </si>
  <si>
    <t>총합계</t>
  </si>
  <si>
    <t>D-1(문화예술)</t>
  </si>
  <si>
    <t>D-2(유학)</t>
  </si>
  <si>
    <t>D-3(기술연수)</t>
  </si>
  <si>
    <t>D-4(일반연수)</t>
  </si>
  <si>
    <t>D-5(취재)</t>
  </si>
  <si>
    <t>D-6(종교)</t>
  </si>
  <si>
    <t>D-7(주재)</t>
  </si>
  <si>
    <t>D-8(기업투자)</t>
  </si>
  <si>
    <t>D-9(무역경영)</t>
  </si>
  <si>
    <t>D-10(구직)</t>
  </si>
  <si>
    <t>E-1(교수)</t>
  </si>
  <si>
    <t>E-2(회화강사)</t>
  </si>
  <si>
    <t>E-3(연구)</t>
  </si>
  <si>
    <t>E-4(기술지도)</t>
  </si>
  <si>
    <t>E-5(전문직업)</t>
  </si>
  <si>
    <t>E-6(예술흥행)</t>
  </si>
  <si>
    <t>E-7(특정활동)</t>
  </si>
  <si>
    <t>E-9(비전문취업)</t>
  </si>
  <si>
    <t>E-10(선원취업)</t>
  </si>
  <si>
    <t>F-1(방문동거)</t>
  </si>
  <si>
    <t>F-2(거주)</t>
  </si>
  <si>
    <t>F-3(동반)</t>
  </si>
  <si>
    <t>F-5(영주)</t>
  </si>
  <si>
    <t>F-6(결혼이민)</t>
  </si>
  <si>
    <t>G-1(기타)</t>
  </si>
  <si>
    <t>H-1(관광취업)</t>
  </si>
  <si>
    <t>H-2(방문취업)</t>
  </si>
  <si>
    <t>기타(other)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</si>
  <si>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</si>
  <si>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</si>
  <si>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</si>
  <si>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</si>
  <si>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</si>
  <si>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</si>
  <si>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</si>
  <si>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</si>
  <si>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</si>
  <si>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</si>
  <si>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</si>
  <si>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</si>
  <si>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</si>
  <si>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</si>
  <si>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</si>
  <si>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</si>
  <si>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</si>
  <si>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</si>
  <si>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</si>
  <si>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</si>
  <si>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</si>
  <si>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</si>
  <si>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</si>
  <si>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</si>
  <si>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</si>
  <si>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</si>
  <si>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</si>
  <si>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</si>
  <si>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</si>
  <si>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</si>
  <si>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</si>
  <si>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</si>
  <si>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</si>
  <si>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</si>
  <si>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</si>
  <si>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</si>
  <si>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</si>
  <si>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</si>
  <si>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</si>
  <si>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</si>
  <si>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</si>
  <si>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</si>
  <si>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</si>
  <si>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</si>
  <si>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</si>
  <si>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</si>
  <si>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</si>
  <si>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</si>
  <si>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</si>
  <si>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</si>
  <si>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</si>
  <si>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</si>
  <si>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</si>
  <si>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</si>
  <si>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</si>
  <si>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</si>
  <si>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</si>
  <si>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</si>
  <si>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</si>
  <si>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</si>
  <si>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</si>
  <si>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</si>
  <si>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</si>
  <si>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</si>
  <si>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</si>
  <si>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</si>
  <si>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</si>
  <si>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</si>
  <si>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</si>
  <si>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</si>
  <si>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</si>
  <si>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</si>
  <si>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</si>
  <si>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</si>
  <si>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</si>
  <si>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</si>
  <si>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</si>
  <si>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</si>
  <si>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</si>
  <si>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</si>
  <si>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</si>
  <si>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</si>
  <si>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</si>
  <si>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</si>
  <si>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</si>
  <si>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</si>
  <si>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</si>
  <si>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</si>
  <si>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</si>
  <si>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</si>
  <si>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</si>
  <si>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</si>
  <si>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</si>
  <si>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</si>
  <si>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</si>
  <si>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</si>
  <si>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</si>
  <si>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</si>
  <si>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</si>
  <si>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</si>
  <si>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</si>
  <si>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</si>
  <si>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</si>
  <si>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</si>
  <si>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</si>
  <si>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</si>
  <si>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</si>
  <si>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</si>
  <si>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</si>
  <si>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</si>
  <si>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</si>
  <si>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</si>
  <si>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</si>
  <si>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</si>
  <si>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</si>
  <si>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</si>
  <si>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</si>
  <si>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</si>
  <si>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</si>
  <si>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</si>
  <si>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</si>
  <si>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</si>
  <si>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</si>
  <si>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</si>
  <si>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</si>
  <si>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</si>
  <si>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</si>
  <si>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</si>
  <si>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</si>
  <si>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</si>
  <si>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</si>
  <si>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</si>
  <si>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</si>
  <si>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</si>
  <si>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</si>
  <si>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</si>
  <si>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</si>
  <si>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</si>
  <si>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</si>
  <si>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</si>
  <si>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</si>
  <si>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</si>
  <si>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</si>
  <si>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</si>
  <si>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</si>
  <si>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</si>
  <si>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</si>
  <si>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</si>
  <si>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</si>
  <si>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</si>
  <si>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</si>
  <si>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</si>
  <si>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</si>
  <si>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</si>
  <si>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</si>
  <si>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</si>
  <si>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</si>
  <si>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</si>
  <si>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</si>
  <si>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</si>
  <si>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</si>
  <si>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</si>
  <si>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</si>
  <si>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</si>
  <si>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</si>
  <si>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</si>
  <si>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</si>
  <si>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</si>
  <si>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</si>
  <si>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</si>
  <si>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</si>
  <si>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</si>
  <si>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</si>
  <si>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</si>
  <si>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</si>
  <si>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</si>
  <si>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</si>
  <si>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</si>
  <si>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</si>
  <si>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</si>
  <si>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</si>
  <si>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</si>
  <si>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</si>
  <si>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</si>
  <si>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</si>
  <si>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</si>
  <si>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</si>
  <si>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</si>
  <si>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</si>
  <si>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</si>
  <si>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</si>
  <si>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</si>
  <si>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</si>
  <si>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</si>
  <si>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</si>
  <si>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</si>
  <si>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</si>
  <si>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</si>
  <si>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</si>
  <si>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</si>
  <si>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</si>
  <si>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</si>
  <si>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</si>
  <si>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</si>
  <si>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</si>
  <si>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</si>
  <si>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</si>
  <si>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</si>
  <si>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</si>
  <si>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</si>
  <si>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</si>
  <si>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</si>
  <si>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</si>
  <si>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</si>
  <si>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</si>
  <si>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</si>
  <si>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</si>
  <si>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</si>
  <si>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</si>
  <si>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</si>
  <si>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</si>
  <si>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</si>
  <si>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</si>
  <si>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</si>
  <si>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</si>
  <si>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</si>
  <si>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</si>
  <si>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</si>
  <si>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</si>
  <si>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</si>
  <si>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</si>
  <si>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</si>
  <si>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</si>
  <si>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</si>
  <si>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</si>
  <si>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</si>
  <si>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</si>
  <si>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</si>
  <si>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</si>
  <si>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</si>
  <si>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</si>
  <si>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</si>
  <si>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</si>
  <si>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</si>
  <si>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</si>
  <si>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</si>
  <si>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</si>
  <si>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</si>
  <si>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</si>
  <si>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E-8(계절근로)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</si>
</sst>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08"/>
  <sheetViews>
    <sheetView tabSelected="1" workbookViewId="0"/>
  </sheetViews>
  <sheetFormatPr defaultRowHeight="16.5" x14ac:dyDescent="0.3"/>
  <cols>
    <col min="4" max="33" width="11.625" customWidth="1"/>
  </cols>
  <sheetData>
    <row r="1" spans="1:3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281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x14ac:dyDescent="0.3">
      <c r="A2" t="s">
        <v>3</v>
      </c>
      <c r="B2" t="s">
        <v>32</v>
      </c>
      <c r="C2" t="s">
        <v>32</v>
      </c>
      <c r="D2" s="1">
        <v>1604920</v>
      </c>
      <c r="E2">
        <v>58</v>
      </c>
      <c r="F2" s="1">
        <v>219127</v>
      </c>
      <c r="G2">
        <v>931</v>
      </c>
      <c r="H2" s="1">
        <v>85238</v>
      </c>
      <c r="I2">
        <v>128</v>
      </c>
      <c r="J2" s="1">
        <v>1778</v>
      </c>
      <c r="K2" s="1">
        <v>1089</v>
      </c>
      <c r="L2" s="1">
        <v>8518</v>
      </c>
      <c r="M2" s="1">
        <v>2650</v>
      </c>
      <c r="N2" s="1">
        <v>21933</v>
      </c>
      <c r="O2" s="1">
        <v>1729</v>
      </c>
      <c r="P2" s="1">
        <v>12864</v>
      </c>
      <c r="Q2" s="1">
        <v>3365</v>
      </c>
      <c r="R2">
        <v>209</v>
      </c>
      <c r="S2">
        <v>221</v>
      </c>
      <c r="T2" s="1">
        <v>4224</v>
      </c>
      <c r="U2" s="1">
        <v>81723</v>
      </c>
      <c r="V2" s="1">
        <v>31609</v>
      </c>
      <c r="W2" s="1">
        <v>336713</v>
      </c>
      <c r="X2" s="1">
        <v>20920</v>
      </c>
      <c r="Y2" s="1">
        <v>73423</v>
      </c>
      <c r="Z2" s="1">
        <v>67842</v>
      </c>
      <c r="AA2" s="1">
        <v>74261</v>
      </c>
      <c r="AB2" s="1">
        <v>220788</v>
      </c>
      <c r="AC2" s="1">
        <v>153213</v>
      </c>
      <c r="AD2" s="1">
        <v>61380</v>
      </c>
      <c r="AE2" s="1">
        <v>3889</v>
      </c>
      <c r="AF2" s="1">
        <v>81082</v>
      </c>
      <c r="AG2" s="1">
        <v>34015</v>
      </c>
    </row>
    <row r="3" spans="1:33" x14ac:dyDescent="0.3">
      <c r="A3" t="s">
        <v>3</v>
      </c>
      <c r="B3" t="s">
        <v>32</v>
      </c>
      <c r="C3" t="s">
        <v>35</v>
      </c>
      <c r="D3" s="1">
        <f>D6+D141+D210+D282+D300+D330+D348+D399+D477+D480+D498+D531+D600+D609+D660+D705+D762</f>
        <v>934620</v>
      </c>
      <c r="E3" s="1">
        <f t="shared" ref="E3:AG3" si="0">E6+E141+E210+E282+E300+E330+E348+E399+E477+E480+E498+E531+E600+E609+E660+E705+E762</f>
        <v>32</v>
      </c>
      <c r="F3" s="1">
        <f t="shared" si="0"/>
        <v>101152</v>
      </c>
      <c r="G3" s="1">
        <f t="shared" si="0"/>
        <v>689</v>
      </c>
      <c r="H3" s="1">
        <f t="shared" si="0"/>
        <v>42324</v>
      </c>
      <c r="I3" s="1">
        <f t="shared" si="0"/>
        <v>87</v>
      </c>
      <c r="J3" s="1">
        <f t="shared" si="0"/>
        <v>989</v>
      </c>
      <c r="K3" s="1">
        <f t="shared" si="0"/>
        <v>908</v>
      </c>
      <c r="L3" s="1">
        <f t="shared" si="0"/>
        <v>7109</v>
      </c>
      <c r="M3" s="1">
        <f t="shared" si="0"/>
        <v>2250</v>
      </c>
      <c r="N3" s="1">
        <f t="shared" si="0"/>
        <v>9430</v>
      </c>
      <c r="O3" s="1">
        <f t="shared" si="0"/>
        <v>1256</v>
      </c>
      <c r="P3" s="1">
        <f t="shared" si="0"/>
        <v>3788</v>
      </c>
      <c r="Q3" s="1">
        <f t="shared" si="0"/>
        <v>2573</v>
      </c>
      <c r="R3" s="1">
        <f t="shared" si="0"/>
        <v>206</v>
      </c>
      <c r="S3" s="1">
        <f t="shared" si="0"/>
        <v>218</v>
      </c>
      <c r="T3" s="1">
        <f t="shared" si="0"/>
        <v>1493</v>
      </c>
      <c r="U3" s="1">
        <f t="shared" si="0"/>
        <v>71465</v>
      </c>
      <c r="V3" s="1">
        <f t="shared" si="0"/>
        <v>18686</v>
      </c>
      <c r="W3" s="1">
        <f t="shared" si="0"/>
        <v>304209</v>
      </c>
      <c r="X3" s="1">
        <f t="shared" si="0"/>
        <v>20912</v>
      </c>
      <c r="Y3" s="1">
        <f t="shared" si="0"/>
        <v>29189</v>
      </c>
      <c r="Z3" s="1">
        <f t="shared" si="0"/>
        <v>29335</v>
      </c>
      <c r="AA3" s="1">
        <f t="shared" si="0"/>
        <v>25589</v>
      </c>
      <c r="AB3" s="1">
        <f t="shared" si="0"/>
        <v>115986</v>
      </c>
      <c r="AC3" s="1">
        <f t="shared" si="0"/>
        <v>32297</v>
      </c>
      <c r="AD3" s="1">
        <f t="shared" si="0"/>
        <v>45277</v>
      </c>
      <c r="AE3" s="1">
        <f t="shared" si="0"/>
        <v>708</v>
      </c>
      <c r="AF3" s="1">
        <f t="shared" si="0"/>
        <v>45575</v>
      </c>
      <c r="AG3" s="1">
        <f t="shared" si="0"/>
        <v>20888</v>
      </c>
    </row>
    <row r="4" spans="1:33" x14ac:dyDescent="0.3">
      <c r="A4" t="s">
        <v>3</v>
      </c>
      <c r="B4" t="s">
        <v>32</v>
      </c>
      <c r="C4" t="s">
        <v>36</v>
      </c>
      <c r="D4" s="1">
        <f>D7+D142+D211+D283+D301+D331+D349+D400+D478+D481+D499+D532+D601+D610+D661+D706+D763</f>
        <v>670300</v>
      </c>
      <c r="E4" s="1">
        <f t="shared" ref="E4:AG4" si="1">E7+E142+E211+E283+E301+E331+E349+E400+E478+E481+E499+E532+E601+E610+E661+E706+E763</f>
        <v>26</v>
      </c>
      <c r="F4" s="1">
        <f t="shared" si="1"/>
        <v>117975</v>
      </c>
      <c r="G4" s="1">
        <f t="shared" si="1"/>
        <v>242</v>
      </c>
      <c r="H4" s="1">
        <f t="shared" si="1"/>
        <v>42914</v>
      </c>
      <c r="I4" s="1">
        <f t="shared" si="1"/>
        <v>41</v>
      </c>
      <c r="J4" s="1">
        <f t="shared" si="1"/>
        <v>789</v>
      </c>
      <c r="K4" s="1">
        <f t="shared" si="1"/>
        <v>181</v>
      </c>
      <c r="L4" s="1">
        <f t="shared" si="1"/>
        <v>1409</v>
      </c>
      <c r="M4" s="1">
        <f t="shared" si="1"/>
        <v>400</v>
      </c>
      <c r="N4" s="1">
        <f t="shared" si="1"/>
        <v>12503</v>
      </c>
      <c r="O4" s="1">
        <f t="shared" si="1"/>
        <v>473</v>
      </c>
      <c r="P4" s="1">
        <f t="shared" si="1"/>
        <v>9076</v>
      </c>
      <c r="Q4" s="1">
        <f t="shared" si="1"/>
        <v>792</v>
      </c>
      <c r="R4" s="1">
        <f t="shared" si="1"/>
        <v>3</v>
      </c>
      <c r="S4" s="1">
        <f t="shared" si="1"/>
        <v>3</v>
      </c>
      <c r="T4" s="1">
        <f t="shared" si="1"/>
        <v>2731</v>
      </c>
      <c r="U4" s="1">
        <f t="shared" si="1"/>
        <v>10258</v>
      </c>
      <c r="V4" s="1">
        <f t="shared" si="1"/>
        <v>12923</v>
      </c>
      <c r="W4" s="1">
        <f t="shared" si="1"/>
        <v>32504</v>
      </c>
      <c r="X4" s="1">
        <f t="shared" si="1"/>
        <v>8</v>
      </c>
      <c r="Y4" s="1">
        <f t="shared" si="1"/>
        <v>44234</v>
      </c>
      <c r="Z4" s="1">
        <f t="shared" si="1"/>
        <v>38507</v>
      </c>
      <c r="AA4" s="1">
        <f t="shared" si="1"/>
        <v>48672</v>
      </c>
      <c r="AB4" s="1">
        <f t="shared" si="1"/>
        <v>104802</v>
      </c>
      <c r="AC4" s="1">
        <f t="shared" si="1"/>
        <v>120916</v>
      </c>
      <c r="AD4" s="1">
        <f t="shared" si="1"/>
        <v>16103</v>
      </c>
      <c r="AE4" s="1">
        <f t="shared" si="1"/>
        <v>3181</v>
      </c>
      <c r="AF4" s="1">
        <f t="shared" si="1"/>
        <v>35507</v>
      </c>
      <c r="AG4" s="1">
        <f t="shared" si="1"/>
        <v>13127</v>
      </c>
    </row>
    <row r="5" spans="1:33" x14ac:dyDescent="0.3">
      <c r="A5" t="s">
        <v>33</v>
      </c>
      <c r="B5" t="s">
        <v>32</v>
      </c>
      <c r="C5" t="s">
        <v>32</v>
      </c>
      <c r="D5" s="1">
        <v>492819</v>
      </c>
      <c r="E5">
        <v>10</v>
      </c>
      <c r="F5" s="1">
        <v>34993</v>
      </c>
      <c r="G5">
        <v>211</v>
      </c>
      <c r="H5" s="1">
        <v>16063</v>
      </c>
      <c r="I5">
        <v>5</v>
      </c>
      <c r="J5">
        <v>506</v>
      </c>
      <c r="K5">
        <v>163</v>
      </c>
      <c r="L5" s="1">
        <v>1837</v>
      </c>
      <c r="M5">
        <v>318</v>
      </c>
      <c r="N5" s="1">
        <v>3513</v>
      </c>
      <c r="O5">
        <v>308</v>
      </c>
      <c r="P5" s="1">
        <v>2974</v>
      </c>
      <c r="Q5">
        <v>648</v>
      </c>
      <c r="R5">
        <v>9</v>
      </c>
      <c r="S5">
        <v>1</v>
      </c>
      <c r="T5" s="1">
        <v>1211</v>
      </c>
      <c r="U5" s="1">
        <v>21666</v>
      </c>
      <c r="V5" s="1">
        <v>1061</v>
      </c>
      <c r="W5" s="1">
        <v>120292</v>
      </c>
      <c r="X5">
        <v>10</v>
      </c>
      <c r="Y5" s="1">
        <v>23427</v>
      </c>
      <c r="Z5" s="1">
        <v>23853</v>
      </c>
      <c r="AA5" s="1">
        <v>24051</v>
      </c>
      <c r="AB5" s="1">
        <v>95349</v>
      </c>
      <c r="AC5" s="1">
        <v>46899</v>
      </c>
      <c r="AD5" s="1">
        <v>21044</v>
      </c>
      <c r="AE5">
        <v>374</v>
      </c>
      <c r="AF5" s="1">
        <v>38307</v>
      </c>
      <c r="AG5" s="1">
        <v>13716</v>
      </c>
    </row>
    <row r="6" spans="1:33" x14ac:dyDescent="0.3">
      <c r="A6" t="s">
        <v>33</v>
      </c>
      <c r="B6" t="s">
        <v>32</v>
      </c>
      <c r="C6" t="s">
        <v>35</v>
      </c>
      <c r="D6" s="1">
        <f>D9+D12+D15+D18+D21+D24+D27+D30+D33+D36+D39+D42+D45+D48+D51+D54+D57+D60+D63+D66+D69+D72+D75+D78+D81+D84+D87+D90+D93+D96+D99+D102+D105+D108+D111+D114+D117+D120+D123+D126+D129+D132+D135+D138</f>
        <v>296304</v>
      </c>
      <c r="E6" s="1">
        <f t="shared" ref="E6:AG6" si="2">E9+E12+E15+E18+E21+E24+E27+E30+E33+E36+E39+E42+E45+E48+E51+E54+E57+E60+E63+E66+E69+E72+E75+E78+E81+E84+E87+E90+E93+E96+E99+E102+E105+E108+E111+E114+E117+E120+E123+E126+E129+E132+E135+E138</f>
        <v>3</v>
      </c>
      <c r="F6" s="1">
        <f t="shared" si="2"/>
        <v>17130</v>
      </c>
      <c r="G6" s="1">
        <f t="shared" si="2"/>
        <v>147</v>
      </c>
      <c r="H6" s="1">
        <f t="shared" si="2"/>
        <v>8087</v>
      </c>
      <c r="I6" s="1">
        <f t="shared" si="2"/>
        <v>3</v>
      </c>
      <c r="J6" s="1">
        <f t="shared" si="2"/>
        <v>293</v>
      </c>
      <c r="K6" s="1">
        <f t="shared" si="2"/>
        <v>136</v>
      </c>
      <c r="L6" s="1">
        <f t="shared" si="2"/>
        <v>1539</v>
      </c>
      <c r="M6" s="1">
        <f t="shared" si="2"/>
        <v>246</v>
      </c>
      <c r="N6" s="1">
        <f t="shared" si="2"/>
        <v>1587</v>
      </c>
      <c r="O6" s="1">
        <f t="shared" si="2"/>
        <v>227</v>
      </c>
      <c r="P6" s="1">
        <f t="shared" si="2"/>
        <v>872</v>
      </c>
      <c r="Q6" s="1">
        <f t="shared" si="2"/>
        <v>521</v>
      </c>
      <c r="R6" s="1">
        <f t="shared" si="2"/>
        <v>9</v>
      </c>
      <c r="S6" s="1">
        <f t="shared" si="2"/>
        <v>1</v>
      </c>
      <c r="T6" s="1">
        <f t="shared" si="2"/>
        <v>338</v>
      </c>
      <c r="U6" s="1">
        <f t="shared" si="2"/>
        <v>19748</v>
      </c>
      <c r="V6" s="1">
        <f t="shared" si="2"/>
        <v>701</v>
      </c>
      <c r="W6" s="1">
        <f t="shared" si="2"/>
        <v>108273</v>
      </c>
      <c r="X6" s="1">
        <f t="shared" si="2"/>
        <v>10</v>
      </c>
      <c r="Y6" s="1">
        <f t="shared" si="2"/>
        <v>9462</v>
      </c>
      <c r="Z6" s="1">
        <f t="shared" si="2"/>
        <v>9951</v>
      </c>
      <c r="AA6" s="1">
        <f t="shared" si="2"/>
        <v>8393</v>
      </c>
      <c r="AB6" s="1">
        <f t="shared" si="2"/>
        <v>51657</v>
      </c>
      <c r="AC6" s="1">
        <f t="shared" si="2"/>
        <v>10977</v>
      </c>
      <c r="AD6" s="1">
        <f t="shared" si="2"/>
        <v>15741</v>
      </c>
      <c r="AE6" s="1">
        <f t="shared" si="2"/>
        <v>88</v>
      </c>
      <c r="AF6" s="1">
        <f t="shared" si="2"/>
        <v>21497</v>
      </c>
      <c r="AG6" s="1">
        <f t="shared" si="2"/>
        <v>8667</v>
      </c>
    </row>
    <row r="7" spans="1:33" x14ac:dyDescent="0.3">
      <c r="A7" t="s">
        <v>33</v>
      </c>
      <c r="B7" t="s">
        <v>32</v>
      </c>
      <c r="C7" t="s">
        <v>36</v>
      </c>
      <c r="D7" s="1">
        <f>D10+D13+D16+D19+D22+D25+D28+D31+D34+D37+D40+D43+D46+D49+D52+D55+D58+D61+D64+D67+D70+D73+D76+D79+D82+D85+D88+D91+D94+D97+D100+D103+D106+D109+D112+D115+D118+D121+D124+D127+D130+D133+D136+D139</f>
        <v>196515</v>
      </c>
      <c r="E7" s="1">
        <f t="shared" ref="E7:AG7" si="3">E10+E13+E16+E19+E22+E25+E28+E31+E34+E37+E40+E43+E46+E49+E52+E55+E58+E61+E64+E67+E70+E73+E76+E79+E82+E85+E88+E91+E94+E97+E100+E103+E106+E109+E112+E115+E118+E121+E124+E127+E130+E133+E136+E139</f>
        <v>7</v>
      </c>
      <c r="F7" s="1">
        <f t="shared" si="3"/>
        <v>17863</v>
      </c>
      <c r="G7" s="1">
        <f t="shared" si="3"/>
        <v>64</v>
      </c>
      <c r="H7" s="1">
        <f t="shared" si="3"/>
        <v>7976</v>
      </c>
      <c r="I7" s="1">
        <f t="shared" si="3"/>
        <v>2</v>
      </c>
      <c r="J7" s="1">
        <f t="shared" si="3"/>
        <v>213</v>
      </c>
      <c r="K7" s="1">
        <f t="shared" si="3"/>
        <v>27</v>
      </c>
      <c r="L7" s="1">
        <f t="shared" si="3"/>
        <v>298</v>
      </c>
      <c r="M7" s="1">
        <f t="shared" si="3"/>
        <v>72</v>
      </c>
      <c r="N7" s="1">
        <f t="shared" si="3"/>
        <v>1926</v>
      </c>
      <c r="O7" s="1">
        <f t="shared" si="3"/>
        <v>81</v>
      </c>
      <c r="P7" s="1">
        <f t="shared" si="3"/>
        <v>2102</v>
      </c>
      <c r="Q7" s="1">
        <f t="shared" si="3"/>
        <v>127</v>
      </c>
      <c r="R7" s="1">
        <f t="shared" si="3"/>
        <v>0</v>
      </c>
      <c r="S7" s="1">
        <f t="shared" si="3"/>
        <v>0</v>
      </c>
      <c r="T7" s="1">
        <f t="shared" si="3"/>
        <v>873</v>
      </c>
      <c r="U7" s="1">
        <f t="shared" si="3"/>
        <v>1918</v>
      </c>
      <c r="V7" s="1">
        <f t="shared" si="3"/>
        <v>360</v>
      </c>
      <c r="W7" s="1">
        <f t="shared" si="3"/>
        <v>12019</v>
      </c>
      <c r="X7" s="1">
        <f t="shared" si="3"/>
        <v>0</v>
      </c>
      <c r="Y7" s="1">
        <f t="shared" si="3"/>
        <v>13965</v>
      </c>
      <c r="Z7" s="1">
        <f t="shared" si="3"/>
        <v>13902</v>
      </c>
      <c r="AA7" s="1">
        <f t="shared" si="3"/>
        <v>15658</v>
      </c>
      <c r="AB7" s="1">
        <f t="shared" si="3"/>
        <v>43692</v>
      </c>
      <c r="AC7" s="1">
        <f t="shared" si="3"/>
        <v>35922</v>
      </c>
      <c r="AD7" s="1">
        <f t="shared" si="3"/>
        <v>5303</v>
      </c>
      <c r="AE7" s="1">
        <f t="shared" si="3"/>
        <v>286</v>
      </c>
      <c r="AF7" s="1">
        <f t="shared" si="3"/>
        <v>16810</v>
      </c>
      <c r="AG7" s="1">
        <f t="shared" si="3"/>
        <v>5049</v>
      </c>
    </row>
    <row r="8" spans="1:33" x14ac:dyDescent="0.3">
      <c r="A8" t="s">
        <v>33</v>
      </c>
      <c r="B8" t="s">
        <v>34</v>
      </c>
      <c r="C8" t="s">
        <v>32</v>
      </c>
      <c r="D8" s="1">
        <v>1370</v>
      </c>
      <c r="E8">
        <v>0</v>
      </c>
      <c r="F8">
        <v>50</v>
      </c>
      <c r="G8">
        <v>0</v>
      </c>
      <c r="H8">
        <v>43</v>
      </c>
      <c r="I8">
        <v>0</v>
      </c>
      <c r="J8">
        <v>12</v>
      </c>
      <c r="K8">
        <v>0</v>
      </c>
      <c r="L8">
        <v>1</v>
      </c>
      <c r="M8">
        <v>0</v>
      </c>
      <c r="N8">
        <v>15</v>
      </c>
      <c r="O8">
        <v>1</v>
      </c>
      <c r="P8">
        <v>20</v>
      </c>
      <c r="Q8">
        <v>0</v>
      </c>
      <c r="R8">
        <v>0</v>
      </c>
      <c r="S8">
        <v>0</v>
      </c>
      <c r="T8">
        <v>7</v>
      </c>
      <c r="U8">
        <v>62</v>
      </c>
      <c r="V8">
        <v>3</v>
      </c>
      <c r="W8">
        <v>212</v>
      </c>
      <c r="X8">
        <v>0</v>
      </c>
      <c r="Y8">
        <v>73</v>
      </c>
      <c r="Z8">
        <v>126</v>
      </c>
      <c r="AA8">
        <v>91</v>
      </c>
      <c r="AB8">
        <v>283</v>
      </c>
      <c r="AC8">
        <v>275</v>
      </c>
      <c r="AD8">
        <v>27</v>
      </c>
      <c r="AE8">
        <v>2</v>
      </c>
      <c r="AF8">
        <v>62</v>
      </c>
      <c r="AG8">
        <v>5</v>
      </c>
    </row>
    <row r="9" spans="1:33" x14ac:dyDescent="0.3">
      <c r="A9" t="s">
        <v>33</v>
      </c>
      <c r="B9" t="s">
        <v>34</v>
      </c>
      <c r="C9" t="s">
        <v>35</v>
      </c>
      <c r="D9">
        <v>619</v>
      </c>
      <c r="E9">
        <v>0</v>
      </c>
      <c r="F9">
        <v>29</v>
      </c>
      <c r="G9">
        <v>0</v>
      </c>
      <c r="H9">
        <v>14</v>
      </c>
      <c r="I9">
        <v>0</v>
      </c>
      <c r="J9">
        <v>7</v>
      </c>
      <c r="K9">
        <v>0</v>
      </c>
      <c r="L9">
        <v>0</v>
      </c>
      <c r="M9">
        <v>0</v>
      </c>
      <c r="N9">
        <v>6</v>
      </c>
      <c r="O9">
        <v>0</v>
      </c>
      <c r="P9">
        <v>4</v>
      </c>
      <c r="Q9">
        <v>0</v>
      </c>
      <c r="R9">
        <v>0</v>
      </c>
      <c r="S9">
        <v>0</v>
      </c>
      <c r="T9">
        <v>3</v>
      </c>
      <c r="U9">
        <v>53</v>
      </c>
      <c r="V9">
        <v>3</v>
      </c>
      <c r="W9">
        <v>182</v>
      </c>
      <c r="X9">
        <v>0</v>
      </c>
      <c r="Y9">
        <v>28</v>
      </c>
      <c r="Z9">
        <v>59</v>
      </c>
      <c r="AA9">
        <v>34</v>
      </c>
      <c r="AB9">
        <v>90</v>
      </c>
      <c r="AC9">
        <v>46</v>
      </c>
      <c r="AD9">
        <v>24</v>
      </c>
      <c r="AE9">
        <v>1</v>
      </c>
      <c r="AF9">
        <v>32</v>
      </c>
      <c r="AG9">
        <v>4</v>
      </c>
    </row>
    <row r="10" spans="1:33" x14ac:dyDescent="0.3">
      <c r="A10" t="s">
        <v>33</v>
      </c>
      <c r="B10" t="s">
        <v>34</v>
      </c>
      <c r="C10" t="s">
        <v>36</v>
      </c>
      <c r="D10">
        <v>751</v>
      </c>
      <c r="E10">
        <v>0</v>
      </c>
      <c r="F10">
        <v>21</v>
      </c>
      <c r="G10">
        <v>0</v>
      </c>
      <c r="H10">
        <v>29</v>
      </c>
      <c r="I10">
        <v>0</v>
      </c>
      <c r="J10">
        <v>5</v>
      </c>
      <c r="K10">
        <v>0</v>
      </c>
      <c r="L10">
        <v>1</v>
      </c>
      <c r="M10">
        <v>0</v>
      </c>
      <c r="N10">
        <v>9</v>
      </c>
      <c r="O10">
        <v>1</v>
      </c>
      <c r="P10">
        <v>16</v>
      </c>
      <c r="Q10">
        <v>0</v>
      </c>
      <c r="R10">
        <v>0</v>
      </c>
      <c r="S10">
        <v>0</v>
      </c>
      <c r="T10">
        <v>4</v>
      </c>
      <c r="U10">
        <v>9</v>
      </c>
      <c r="V10" s="1">
        <v>0</v>
      </c>
      <c r="W10">
        <v>30</v>
      </c>
      <c r="X10">
        <v>0</v>
      </c>
      <c r="Y10">
        <v>45</v>
      </c>
      <c r="Z10">
        <v>67</v>
      </c>
      <c r="AA10">
        <v>57</v>
      </c>
      <c r="AB10">
        <v>193</v>
      </c>
      <c r="AC10">
        <v>229</v>
      </c>
      <c r="AD10">
        <v>3</v>
      </c>
      <c r="AE10">
        <v>1</v>
      </c>
      <c r="AF10">
        <v>30</v>
      </c>
      <c r="AG10">
        <v>1</v>
      </c>
    </row>
    <row r="11" spans="1:33" x14ac:dyDescent="0.3">
      <c r="A11" t="s">
        <v>33</v>
      </c>
      <c r="B11" t="s">
        <v>37</v>
      </c>
      <c r="C11" t="s">
        <v>32</v>
      </c>
      <c r="D11" s="1">
        <v>5965</v>
      </c>
      <c r="E11">
        <v>1</v>
      </c>
      <c r="F11" s="1">
        <v>1076</v>
      </c>
      <c r="G11">
        <v>1</v>
      </c>
      <c r="H11">
        <v>87</v>
      </c>
      <c r="I11">
        <v>1</v>
      </c>
      <c r="J11">
        <v>1</v>
      </c>
      <c r="K11">
        <v>2</v>
      </c>
      <c r="L11">
        <v>37</v>
      </c>
      <c r="M11">
        <v>6</v>
      </c>
      <c r="N11">
        <v>57</v>
      </c>
      <c r="O11">
        <v>10</v>
      </c>
      <c r="P11">
        <v>56</v>
      </c>
      <c r="Q11">
        <v>5</v>
      </c>
      <c r="R11">
        <v>0</v>
      </c>
      <c r="S11">
        <v>0</v>
      </c>
      <c r="T11">
        <v>8</v>
      </c>
      <c r="U11">
        <v>289</v>
      </c>
      <c r="V11">
        <v>61</v>
      </c>
      <c r="W11">
        <v>565</v>
      </c>
      <c r="X11">
        <v>0</v>
      </c>
      <c r="Y11">
        <v>260</v>
      </c>
      <c r="Z11">
        <v>273</v>
      </c>
      <c r="AA11">
        <v>191</v>
      </c>
      <c r="AB11" s="1">
        <v>1118</v>
      </c>
      <c r="AC11" s="1">
        <v>1259</v>
      </c>
      <c r="AD11">
        <v>204</v>
      </c>
      <c r="AE11">
        <v>18</v>
      </c>
      <c r="AF11">
        <v>291</v>
      </c>
      <c r="AG11">
        <v>88</v>
      </c>
    </row>
    <row r="12" spans="1:33" x14ac:dyDescent="0.3">
      <c r="A12" t="s">
        <v>33</v>
      </c>
      <c r="B12" t="s">
        <v>37</v>
      </c>
      <c r="C12" t="s">
        <v>35</v>
      </c>
      <c r="D12" s="1">
        <v>2803</v>
      </c>
      <c r="E12">
        <v>1</v>
      </c>
      <c r="F12">
        <v>575</v>
      </c>
      <c r="G12">
        <v>1</v>
      </c>
      <c r="H12">
        <v>57</v>
      </c>
      <c r="I12">
        <v>1</v>
      </c>
      <c r="J12">
        <v>1</v>
      </c>
      <c r="K12">
        <v>2</v>
      </c>
      <c r="L12">
        <v>31</v>
      </c>
      <c r="M12">
        <v>6</v>
      </c>
      <c r="N12">
        <v>26</v>
      </c>
      <c r="O12">
        <v>9</v>
      </c>
      <c r="P12">
        <v>17</v>
      </c>
      <c r="Q12">
        <v>4</v>
      </c>
      <c r="R12">
        <v>0</v>
      </c>
      <c r="S12">
        <v>0</v>
      </c>
      <c r="T12">
        <v>2</v>
      </c>
      <c r="U12">
        <v>154</v>
      </c>
      <c r="V12">
        <v>44</v>
      </c>
      <c r="W12">
        <v>454</v>
      </c>
      <c r="X12">
        <v>0</v>
      </c>
      <c r="Y12">
        <v>94</v>
      </c>
      <c r="Z12">
        <v>103</v>
      </c>
      <c r="AA12">
        <v>76</v>
      </c>
      <c r="AB12">
        <v>509</v>
      </c>
      <c r="AC12">
        <v>230</v>
      </c>
      <c r="AD12">
        <v>158</v>
      </c>
      <c r="AE12">
        <v>6</v>
      </c>
      <c r="AF12">
        <v>165</v>
      </c>
      <c r="AG12">
        <v>77</v>
      </c>
    </row>
    <row r="13" spans="1:33" x14ac:dyDescent="0.3">
      <c r="A13" t="s">
        <v>33</v>
      </c>
      <c r="B13" t="s">
        <v>37</v>
      </c>
      <c r="C13" t="s">
        <v>36</v>
      </c>
      <c r="D13" s="1">
        <v>3162</v>
      </c>
      <c r="E13">
        <v>0</v>
      </c>
      <c r="F13">
        <v>501</v>
      </c>
      <c r="G13">
        <v>0</v>
      </c>
      <c r="H13">
        <v>30</v>
      </c>
      <c r="I13">
        <v>0</v>
      </c>
      <c r="J13">
        <v>0</v>
      </c>
      <c r="K13">
        <v>0</v>
      </c>
      <c r="L13">
        <v>6</v>
      </c>
      <c r="M13">
        <v>0</v>
      </c>
      <c r="N13">
        <v>31</v>
      </c>
      <c r="O13">
        <v>1</v>
      </c>
      <c r="P13">
        <v>39</v>
      </c>
      <c r="Q13">
        <v>1</v>
      </c>
      <c r="R13">
        <v>0</v>
      </c>
      <c r="S13">
        <v>0</v>
      </c>
      <c r="T13">
        <v>6</v>
      </c>
      <c r="U13">
        <v>135</v>
      </c>
      <c r="V13">
        <v>17</v>
      </c>
      <c r="W13">
        <v>111</v>
      </c>
      <c r="X13">
        <v>0</v>
      </c>
      <c r="Y13">
        <v>166</v>
      </c>
      <c r="Z13">
        <v>170</v>
      </c>
      <c r="AA13">
        <v>115</v>
      </c>
      <c r="AB13">
        <v>609</v>
      </c>
      <c r="AC13" s="1">
        <v>1029</v>
      </c>
      <c r="AD13">
        <v>46</v>
      </c>
      <c r="AE13">
        <v>12</v>
      </c>
      <c r="AF13">
        <v>126</v>
      </c>
      <c r="AG13">
        <v>11</v>
      </c>
    </row>
    <row r="14" spans="1:33" x14ac:dyDescent="0.3">
      <c r="A14" t="s">
        <v>33</v>
      </c>
      <c r="B14" t="s">
        <v>38</v>
      </c>
      <c r="C14" t="s">
        <v>32</v>
      </c>
      <c r="D14" s="1">
        <v>4710</v>
      </c>
      <c r="E14">
        <v>0</v>
      </c>
      <c r="F14">
        <v>177</v>
      </c>
      <c r="G14">
        <v>0</v>
      </c>
      <c r="H14">
        <v>46</v>
      </c>
      <c r="I14">
        <v>0</v>
      </c>
      <c r="J14">
        <v>4</v>
      </c>
      <c r="K14">
        <v>2</v>
      </c>
      <c r="L14">
        <v>27</v>
      </c>
      <c r="M14">
        <v>4</v>
      </c>
      <c r="N14">
        <v>31</v>
      </c>
      <c r="O14">
        <v>14</v>
      </c>
      <c r="P14">
        <v>121</v>
      </c>
      <c r="Q14">
        <v>12</v>
      </c>
      <c r="R14">
        <v>0</v>
      </c>
      <c r="S14">
        <v>1</v>
      </c>
      <c r="T14">
        <v>34</v>
      </c>
      <c r="U14">
        <v>260</v>
      </c>
      <c r="V14">
        <v>48</v>
      </c>
      <c r="W14" s="1">
        <v>1347</v>
      </c>
      <c r="X14">
        <v>1</v>
      </c>
      <c r="Y14">
        <v>178</v>
      </c>
      <c r="Z14">
        <v>205</v>
      </c>
      <c r="AA14">
        <v>192</v>
      </c>
      <c r="AB14">
        <v>764</v>
      </c>
      <c r="AC14">
        <v>806</v>
      </c>
      <c r="AD14">
        <v>182</v>
      </c>
      <c r="AE14">
        <v>9</v>
      </c>
      <c r="AF14">
        <v>215</v>
      </c>
      <c r="AG14">
        <v>30</v>
      </c>
    </row>
    <row r="15" spans="1:33" x14ac:dyDescent="0.3">
      <c r="A15" t="s">
        <v>33</v>
      </c>
      <c r="B15" t="s">
        <v>38</v>
      </c>
      <c r="C15" t="s">
        <v>35</v>
      </c>
      <c r="D15" s="1">
        <v>2726</v>
      </c>
      <c r="E15">
        <v>0</v>
      </c>
      <c r="F15">
        <v>74</v>
      </c>
      <c r="G15">
        <v>0</v>
      </c>
      <c r="H15">
        <v>24</v>
      </c>
      <c r="I15">
        <v>0</v>
      </c>
      <c r="J15">
        <v>2</v>
      </c>
      <c r="K15">
        <v>2</v>
      </c>
      <c r="L15">
        <v>23</v>
      </c>
      <c r="M15">
        <v>4</v>
      </c>
      <c r="N15">
        <v>9</v>
      </c>
      <c r="O15">
        <v>12</v>
      </c>
      <c r="P15">
        <v>45</v>
      </c>
      <c r="Q15">
        <v>8</v>
      </c>
      <c r="R15">
        <v>0</v>
      </c>
      <c r="S15">
        <v>1</v>
      </c>
      <c r="T15">
        <v>24</v>
      </c>
      <c r="U15">
        <v>227</v>
      </c>
      <c r="V15">
        <v>28</v>
      </c>
      <c r="W15" s="1">
        <v>1217</v>
      </c>
      <c r="X15">
        <v>1</v>
      </c>
      <c r="Y15">
        <v>69</v>
      </c>
      <c r="Z15">
        <v>81</v>
      </c>
      <c r="AA15">
        <v>72</v>
      </c>
      <c r="AB15">
        <v>358</v>
      </c>
      <c r="AC15">
        <v>196</v>
      </c>
      <c r="AD15">
        <v>130</v>
      </c>
      <c r="AE15">
        <v>3</v>
      </c>
      <c r="AF15">
        <v>95</v>
      </c>
      <c r="AG15">
        <v>21</v>
      </c>
    </row>
    <row r="16" spans="1:33" x14ac:dyDescent="0.3">
      <c r="A16" t="s">
        <v>33</v>
      </c>
      <c r="B16" t="s">
        <v>38</v>
      </c>
      <c r="C16" t="s">
        <v>36</v>
      </c>
      <c r="D16" s="1">
        <v>1984</v>
      </c>
      <c r="E16">
        <v>0</v>
      </c>
      <c r="F16">
        <v>103</v>
      </c>
      <c r="G16">
        <v>0</v>
      </c>
      <c r="H16">
        <v>22</v>
      </c>
      <c r="I16">
        <v>0</v>
      </c>
      <c r="J16">
        <v>2</v>
      </c>
      <c r="K16">
        <v>0</v>
      </c>
      <c r="L16">
        <v>4</v>
      </c>
      <c r="M16">
        <v>0</v>
      </c>
      <c r="N16">
        <v>22</v>
      </c>
      <c r="O16">
        <v>2</v>
      </c>
      <c r="P16">
        <v>76</v>
      </c>
      <c r="Q16">
        <v>4</v>
      </c>
      <c r="R16">
        <v>0</v>
      </c>
      <c r="S16">
        <v>0</v>
      </c>
      <c r="T16">
        <v>10</v>
      </c>
      <c r="U16">
        <v>33</v>
      </c>
      <c r="V16">
        <v>20</v>
      </c>
      <c r="W16">
        <v>130</v>
      </c>
      <c r="X16">
        <v>0</v>
      </c>
      <c r="Y16">
        <v>109</v>
      </c>
      <c r="Z16">
        <v>124</v>
      </c>
      <c r="AA16">
        <v>120</v>
      </c>
      <c r="AB16">
        <v>406</v>
      </c>
      <c r="AC16">
        <v>610</v>
      </c>
      <c r="AD16">
        <v>52</v>
      </c>
      <c r="AE16">
        <v>6</v>
      </c>
      <c r="AF16">
        <v>120</v>
      </c>
      <c r="AG16">
        <v>9</v>
      </c>
    </row>
    <row r="17" spans="1:33" x14ac:dyDescent="0.3">
      <c r="A17" t="s">
        <v>33</v>
      </c>
      <c r="B17" t="s">
        <v>39</v>
      </c>
      <c r="C17" t="s">
        <v>32</v>
      </c>
      <c r="D17" s="1">
        <v>3713</v>
      </c>
      <c r="E17">
        <v>0</v>
      </c>
      <c r="F17">
        <v>202</v>
      </c>
      <c r="G17">
        <v>0</v>
      </c>
      <c r="H17">
        <v>99</v>
      </c>
      <c r="I17">
        <v>0</v>
      </c>
      <c r="J17">
        <v>1</v>
      </c>
      <c r="K17">
        <v>0</v>
      </c>
      <c r="L17">
        <v>28</v>
      </c>
      <c r="M17">
        <v>5</v>
      </c>
      <c r="N17">
        <v>53</v>
      </c>
      <c r="O17">
        <v>4</v>
      </c>
      <c r="P17">
        <v>43</v>
      </c>
      <c r="Q17">
        <v>2</v>
      </c>
      <c r="R17">
        <v>0</v>
      </c>
      <c r="S17">
        <v>0</v>
      </c>
      <c r="T17">
        <v>9</v>
      </c>
      <c r="U17">
        <v>88</v>
      </c>
      <c r="V17">
        <v>37</v>
      </c>
      <c r="W17">
        <v>363</v>
      </c>
      <c r="X17">
        <v>0</v>
      </c>
      <c r="Y17">
        <v>192</v>
      </c>
      <c r="Z17">
        <v>226</v>
      </c>
      <c r="AA17">
        <v>239</v>
      </c>
      <c r="AB17">
        <v>855</v>
      </c>
      <c r="AC17">
        <v>588</v>
      </c>
      <c r="AD17">
        <v>304</v>
      </c>
      <c r="AE17">
        <v>8</v>
      </c>
      <c r="AF17">
        <v>337</v>
      </c>
      <c r="AG17">
        <v>30</v>
      </c>
    </row>
    <row r="18" spans="1:33" x14ac:dyDescent="0.3">
      <c r="A18" t="s">
        <v>33</v>
      </c>
      <c r="B18" t="s">
        <v>39</v>
      </c>
      <c r="C18" t="s">
        <v>35</v>
      </c>
      <c r="D18" s="1">
        <v>1850</v>
      </c>
      <c r="E18">
        <v>0</v>
      </c>
      <c r="F18">
        <v>112</v>
      </c>
      <c r="G18">
        <v>0</v>
      </c>
      <c r="H18">
        <v>53</v>
      </c>
      <c r="I18">
        <v>0</v>
      </c>
      <c r="J18">
        <v>1</v>
      </c>
      <c r="K18">
        <v>0</v>
      </c>
      <c r="L18">
        <v>21</v>
      </c>
      <c r="M18">
        <v>2</v>
      </c>
      <c r="N18">
        <v>26</v>
      </c>
      <c r="O18">
        <v>2</v>
      </c>
      <c r="P18">
        <v>16</v>
      </c>
      <c r="Q18">
        <v>1</v>
      </c>
      <c r="R18">
        <v>0</v>
      </c>
      <c r="S18">
        <v>0</v>
      </c>
      <c r="T18">
        <v>6</v>
      </c>
      <c r="U18">
        <v>75</v>
      </c>
      <c r="V18">
        <v>27</v>
      </c>
      <c r="W18">
        <v>295</v>
      </c>
      <c r="X18">
        <v>0</v>
      </c>
      <c r="Y18">
        <v>75</v>
      </c>
      <c r="Z18">
        <v>99</v>
      </c>
      <c r="AA18">
        <v>111</v>
      </c>
      <c r="AB18">
        <v>399</v>
      </c>
      <c r="AC18">
        <v>122</v>
      </c>
      <c r="AD18">
        <v>206</v>
      </c>
      <c r="AE18">
        <v>3</v>
      </c>
      <c r="AF18">
        <v>174</v>
      </c>
      <c r="AG18">
        <v>24</v>
      </c>
    </row>
    <row r="19" spans="1:33" x14ac:dyDescent="0.3">
      <c r="A19" t="s">
        <v>33</v>
      </c>
      <c r="B19" t="s">
        <v>39</v>
      </c>
      <c r="C19" t="s">
        <v>36</v>
      </c>
      <c r="D19" s="1">
        <v>1863</v>
      </c>
      <c r="E19">
        <v>0</v>
      </c>
      <c r="F19">
        <v>90</v>
      </c>
      <c r="G19">
        <v>0</v>
      </c>
      <c r="H19">
        <v>46</v>
      </c>
      <c r="I19">
        <v>0</v>
      </c>
      <c r="J19">
        <v>0</v>
      </c>
      <c r="K19">
        <v>0</v>
      </c>
      <c r="L19">
        <v>7</v>
      </c>
      <c r="M19">
        <v>3</v>
      </c>
      <c r="N19">
        <v>27</v>
      </c>
      <c r="O19">
        <v>2</v>
      </c>
      <c r="P19">
        <v>27</v>
      </c>
      <c r="Q19">
        <v>1</v>
      </c>
      <c r="R19">
        <v>0</v>
      </c>
      <c r="S19">
        <v>0</v>
      </c>
      <c r="T19">
        <v>3</v>
      </c>
      <c r="U19">
        <v>13</v>
      </c>
      <c r="V19">
        <v>10</v>
      </c>
      <c r="W19">
        <v>68</v>
      </c>
      <c r="X19">
        <v>0</v>
      </c>
      <c r="Y19">
        <v>117</v>
      </c>
      <c r="Z19">
        <v>127</v>
      </c>
      <c r="AA19">
        <v>128</v>
      </c>
      <c r="AB19">
        <v>456</v>
      </c>
      <c r="AC19">
        <v>466</v>
      </c>
      <c r="AD19">
        <v>98</v>
      </c>
      <c r="AE19">
        <v>5</v>
      </c>
      <c r="AF19">
        <v>163</v>
      </c>
      <c r="AG19">
        <v>6</v>
      </c>
    </row>
    <row r="20" spans="1:33" x14ac:dyDescent="0.3">
      <c r="A20" t="s">
        <v>33</v>
      </c>
      <c r="B20" t="s">
        <v>40</v>
      </c>
      <c r="C20" t="s">
        <v>32</v>
      </c>
      <c r="D20">
        <v>235</v>
      </c>
      <c r="E20">
        <v>0</v>
      </c>
      <c r="F20">
        <v>3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3</v>
      </c>
      <c r="O20">
        <v>0</v>
      </c>
      <c r="P20">
        <v>1</v>
      </c>
      <c r="Q20">
        <v>0</v>
      </c>
      <c r="R20">
        <v>0</v>
      </c>
      <c r="S20">
        <v>0</v>
      </c>
      <c r="T20">
        <v>4</v>
      </c>
      <c r="U20">
        <v>12</v>
      </c>
      <c r="V20">
        <v>0</v>
      </c>
      <c r="W20">
        <v>18</v>
      </c>
      <c r="X20">
        <v>0</v>
      </c>
      <c r="Y20">
        <v>19</v>
      </c>
      <c r="Z20">
        <v>9</v>
      </c>
      <c r="AA20">
        <v>2</v>
      </c>
      <c r="AB20">
        <v>44</v>
      </c>
      <c r="AC20">
        <v>106</v>
      </c>
      <c r="AD20">
        <v>4</v>
      </c>
      <c r="AE20">
        <v>1</v>
      </c>
      <c r="AF20">
        <v>4</v>
      </c>
      <c r="AG20">
        <v>2</v>
      </c>
    </row>
    <row r="21" spans="1:33" x14ac:dyDescent="0.3">
      <c r="A21" t="s">
        <v>33</v>
      </c>
      <c r="B21" t="s">
        <v>40</v>
      </c>
      <c r="C21" t="s">
        <v>35</v>
      </c>
      <c r="D21">
        <v>91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2</v>
      </c>
      <c r="U21">
        <v>10</v>
      </c>
      <c r="V21">
        <v>0</v>
      </c>
      <c r="W21">
        <v>16</v>
      </c>
      <c r="X21">
        <v>0</v>
      </c>
      <c r="Y21">
        <v>8</v>
      </c>
      <c r="Z21">
        <v>3</v>
      </c>
      <c r="AA21">
        <v>1</v>
      </c>
      <c r="AB21">
        <v>16</v>
      </c>
      <c r="AC21">
        <v>28</v>
      </c>
      <c r="AD21">
        <v>3</v>
      </c>
      <c r="AE21">
        <v>0</v>
      </c>
      <c r="AF21">
        <v>1</v>
      </c>
      <c r="AG21">
        <v>0</v>
      </c>
    </row>
    <row r="22" spans="1:33" x14ac:dyDescent="0.3">
      <c r="A22" t="s">
        <v>33</v>
      </c>
      <c r="B22" t="s">
        <v>40</v>
      </c>
      <c r="C22" t="s">
        <v>36</v>
      </c>
      <c r="D22">
        <v>144</v>
      </c>
      <c r="E22">
        <v>0</v>
      </c>
      <c r="F22">
        <v>2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2</v>
      </c>
      <c r="U22">
        <v>2</v>
      </c>
      <c r="V22">
        <v>0</v>
      </c>
      <c r="W22">
        <v>2</v>
      </c>
      <c r="X22">
        <v>0</v>
      </c>
      <c r="Y22">
        <v>11</v>
      </c>
      <c r="Z22">
        <v>6</v>
      </c>
      <c r="AA22">
        <v>1</v>
      </c>
      <c r="AB22">
        <v>28</v>
      </c>
      <c r="AC22">
        <v>78</v>
      </c>
      <c r="AD22">
        <v>1</v>
      </c>
      <c r="AE22">
        <v>1</v>
      </c>
      <c r="AF22">
        <v>3</v>
      </c>
      <c r="AG22">
        <v>2</v>
      </c>
    </row>
    <row r="23" spans="1:33" x14ac:dyDescent="0.3">
      <c r="A23" t="s">
        <v>33</v>
      </c>
      <c r="B23" t="s">
        <v>41</v>
      </c>
      <c r="C23" t="s">
        <v>32</v>
      </c>
      <c r="D23" s="1">
        <v>3010</v>
      </c>
      <c r="E23">
        <v>0</v>
      </c>
      <c r="F23">
        <v>52</v>
      </c>
      <c r="G23">
        <v>5</v>
      </c>
      <c r="H23">
        <v>30</v>
      </c>
      <c r="I23">
        <v>1</v>
      </c>
      <c r="J23">
        <v>2</v>
      </c>
      <c r="K23">
        <v>2</v>
      </c>
      <c r="L23">
        <v>22</v>
      </c>
      <c r="M23">
        <v>0</v>
      </c>
      <c r="N23">
        <v>10</v>
      </c>
      <c r="O23">
        <v>4</v>
      </c>
      <c r="P23">
        <v>27</v>
      </c>
      <c r="Q23">
        <v>2</v>
      </c>
      <c r="R23">
        <v>0</v>
      </c>
      <c r="S23">
        <v>0</v>
      </c>
      <c r="T23">
        <v>4</v>
      </c>
      <c r="U23">
        <v>55</v>
      </c>
      <c r="V23">
        <v>15</v>
      </c>
      <c r="W23">
        <v>206</v>
      </c>
      <c r="X23">
        <v>0</v>
      </c>
      <c r="Y23">
        <v>166</v>
      </c>
      <c r="Z23">
        <v>197</v>
      </c>
      <c r="AA23">
        <v>87</v>
      </c>
      <c r="AB23" s="1">
        <v>1100</v>
      </c>
      <c r="AC23">
        <v>580</v>
      </c>
      <c r="AD23">
        <v>83</v>
      </c>
      <c r="AE23">
        <v>5</v>
      </c>
      <c r="AF23">
        <v>338</v>
      </c>
      <c r="AG23">
        <v>17</v>
      </c>
    </row>
    <row r="24" spans="1:33" x14ac:dyDescent="0.3">
      <c r="A24" t="s">
        <v>33</v>
      </c>
      <c r="B24" t="s">
        <v>41</v>
      </c>
      <c r="C24" t="s">
        <v>35</v>
      </c>
      <c r="D24" s="1">
        <v>1467</v>
      </c>
      <c r="E24">
        <v>0</v>
      </c>
      <c r="F24">
        <v>21</v>
      </c>
      <c r="G24">
        <v>2</v>
      </c>
      <c r="H24">
        <v>10</v>
      </c>
      <c r="I24">
        <v>1</v>
      </c>
      <c r="J24">
        <v>2</v>
      </c>
      <c r="K24">
        <v>2</v>
      </c>
      <c r="L24">
        <v>16</v>
      </c>
      <c r="M24">
        <v>0</v>
      </c>
      <c r="N24">
        <v>2</v>
      </c>
      <c r="O24">
        <v>3</v>
      </c>
      <c r="P24">
        <v>9</v>
      </c>
      <c r="Q24">
        <v>2</v>
      </c>
      <c r="R24">
        <v>0</v>
      </c>
      <c r="S24">
        <v>0</v>
      </c>
      <c r="T24">
        <v>3</v>
      </c>
      <c r="U24">
        <v>48</v>
      </c>
      <c r="V24">
        <v>7</v>
      </c>
      <c r="W24">
        <v>201</v>
      </c>
      <c r="X24">
        <v>0</v>
      </c>
      <c r="Y24">
        <v>64</v>
      </c>
      <c r="Z24">
        <v>74</v>
      </c>
      <c r="AA24">
        <v>25</v>
      </c>
      <c r="AB24">
        <v>572</v>
      </c>
      <c r="AC24">
        <v>127</v>
      </c>
      <c r="AD24">
        <v>67</v>
      </c>
      <c r="AE24">
        <v>0</v>
      </c>
      <c r="AF24">
        <v>199</v>
      </c>
      <c r="AG24">
        <v>10</v>
      </c>
    </row>
    <row r="25" spans="1:33" x14ac:dyDescent="0.3">
      <c r="A25" t="s">
        <v>33</v>
      </c>
      <c r="B25" t="s">
        <v>41</v>
      </c>
      <c r="C25" t="s">
        <v>36</v>
      </c>
      <c r="D25" s="1">
        <v>1543</v>
      </c>
      <c r="E25">
        <v>0</v>
      </c>
      <c r="F25">
        <v>31</v>
      </c>
      <c r="G25">
        <v>3</v>
      </c>
      <c r="H25">
        <v>20</v>
      </c>
      <c r="I25">
        <v>0</v>
      </c>
      <c r="J25">
        <v>0</v>
      </c>
      <c r="K25">
        <v>0</v>
      </c>
      <c r="L25">
        <v>6</v>
      </c>
      <c r="M25">
        <v>0</v>
      </c>
      <c r="N25">
        <v>8</v>
      </c>
      <c r="O25">
        <v>1</v>
      </c>
      <c r="P25">
        <v>18</v>
      </c>
      <c r="Q25">
        <v>0</v>
      </c>
      <c r="R25">
        <v>0</v>
      </c>
      <c r="S25">
        <v>0</v>
      </c>
      <c r="T25">
        <v>1</v>
      </c>
      <c r="U25">
        <v>7</v>
      </c>
      <c r="V25">
        <v>8</v>
      </c>
      <c r="W25">
        <v>5</v>
      </c>
      <c r="X25">
        <v>0</v>
      </c>
      <c r="Y25">
        <v>102</v>
      </c>
      <c r="Z25">
        <v>123</v>
      </c>
      <c r="AA25">
        <v>62</v>
      </c>
      <c r="AB25">
        <v>528</v>
      </c>
      <c r="AC25">
        <v>453</v>
      </c>
      <c r="AD25">
        <v>16</v>
      </c>
      <c r="AE25">
        <v>5</v>
      </c>
      <c r="AF25">
        <v>139</v>
      </c>
      <c r="AG25">
        <v>7</v>
      </c>
    </row>
    <row r="26" spans="1:33" x14ac:dyDescent="0.3">
      <c r="A26" t="s">
        <v>33</v>
      </c>
      <c r="B26" t="s">
        <v>42</v>
      </c>
      <c r="C26" t="s">
        <v>32</v>
      </c>
      <c r="D26" s="1">
        <v>15502</v>
      </c>
      <c r="E26">
        <v>0</v>
      </c>
      <c r="F26">
        <v>551</v>
      </c>
      <c r="G26">
        <v>3</v>
      </c>
      <c r="H26">
        <v>503</v>
      </c>
      <c r="I26">
        <v>0</v>
      </c>
      <c r="J26">
        <v>5</v>
      </c>
      <c r="K26">
        <v>4</v>
      </c>
      <c r="L26">
        <v>28</v>
      </c>
      <c r="M26">
        <v>7</v>
      </c>
      <c r="N26">
        <v>53</v>
      </c>
      <c r="O26">
        <v>1</v>
      </c>
      <c r="P26">
        <v>21</v>
      </c>
      <c r="Q26">
        <v>1</v>
      </c>
      <c r="R26">
        <v>0</v>
      </c>
      <c r="S26">
        <v>0</v>
      </c>
      <c r="T26">
        <v>5</v>
      </c>
      <c r="U26" s="1">
        <v>1031</v>
      </c>
      <c r="V26">
        <v>9</v>
      </c>
      <c r="W26" s="1">
        <v>7215</v>
      </c>
      <c r="X26">
        <v>0</v>
      </c>
      <c r="Y26">
        <v>600</v>
      </c>
      <c r="Z26">
        <v>453</v>
      </c>
      <c r="AA26">
        <v>721</v>
      </c>
      <c r="AB26" s="1">
        <v>1750</v>
      </c>
      <c r="AC26" s="1">
        <v>1394</v>
      </c>
      <c r="AD26">
        <v>480</v>
      </c>
      <c r="AE26">
        <v>14</v>
      </c>
      <c r="AF26">
        <v>559</v>
      </c>
      <c r="AG26">
        <v>94</v>
      </c>
    </row>
    <row r="27" spans="1:33" x14ac:dyDescent="0.3">
      <c r="A27" t="s">
        <v>33</v>
      </c>
      <c r="B27" t="s">
        <v>42</v>
      </c>
      <c r="C27" t="s">
        <v>35</v>
      </c>
      <c r="D27" s="1">
        <v>10601</v>
      </c>
      <c r="E27">
        <v>0</v>
      </c>
      <c r="F27">
        <v>295</v>
      </c>
      <c r="G27">
        <v>2</v>
      </c>
      <c r="H27">
        <v>289</v>
      </c>
      <c r="I27">
        <v>0</v>
      </c>
      <c r="J27">
        <v>4</v>
      </c>
      <c r="K27">
        <v>4</v>
      </c>
      <c r="L27">
        <v>24</v>
      </c>
      <c r="M27">
        <v>3</v>
      </c>
      <c r="N27">
        <v>22</v>
      </c>
      <c r="O27">
        <v>1</v>
      </c>
      <c r="P27">
        <v>7</v>
      </c>
      <c r="Q27">
        <v>1</v>
      </c>
      <c r="R27">
        <v>0</v>
      </c>
      <c r="S27">
        <v>0</v>
      </c>
      <c r="T27">
        <v>4</v>
      </c>
      <c r="U27">
        <v>971</v>
      </c>
      <c r="V27">
        <v>6</v>
      </c>
      <c r="W27" s="1">
        <v>6407</v>
      </c>
      <c r="X27">
        <v>0</v>
      </c>
      <c r="Y27">
        <v>252</v>
      </c>
      <c r="Z27">
        <v>195</v>
      </c>
      <c r="AA27">
        <v>229</v>
      </c>
      <c r="AB27">
        <v>877</v>
      </c>
      <c r="AC27">
        <v>279</v>
      </c>
      <c r="AD27">
        <v>356</v>
      </c>
      <c r="AE27">
        <v>2</v>
      </c>
      <c r="AF27">
        <v>288</v>
      </c>
      <c r="AG27">
        <v>83</v>
      </c>
    </row>
    <row r="28" spans="1:33" x14ac:dyDescent="0.3">
      <c r="A28" t="s">
        <v>33</v>
      </c>
      <c r="B28" t="s">
        <v>42</v>
      </c>
      <c r="C28" t="s">
        <v>36</v>
      </c>
      <c r="D28" s="1">
        <v>4901</v>
      </c>
      <c r="E28">
        <v>0</v>
      </c>
      <c r="F28">
        <v>256</v>
      </c>
      <c r="G28">
        <v>1</v>
      </c>
      <c r="H28">
        <v>214</v>
      </c>
      <c r="I28">
        <v>0</v>
      </c>
      <c r="J28">
        <v>1</v>
      </c>
      <c r="K28">
        <v>0</v>
      </c>
      <c r="L28">
        <v>4</v>
      </c>
      <c r="M28">
        <v>4</v>
      </c>
      <c r="N28">
        <v>31</v>
      </c>
      <c r="O28">
        <v>0</v>
      </c>
      <c r="P28">
        <v>14</v>
      </c>
      <c r="Q28">
        <v>0</v>
      </c>
      <c r="R28">
        <v>0</v>
      </c>
      <c r="S28">
        <v>0</v>
      </c>
      <c r="T28">
        <v>1</v>
      </c>
      <c r="U28">
        <v>60</v>
      </c>
      <c r="V28">
        <v>3</v>
      </c>
      <c r="W28">
        <v>808</v>
      </c>
      <c r="X28">
        <v>0</v>
      </c>
      <c r="Y28">
        <v>348</v>
      </c>
      <c r="Z28">
        <v>258</v>
      </c>
      <c r="AA28">
        <v>492</v>
      </c>
      <c r="AB28">
        <v>873</v>
      </c>
      <c r="AC28" s="1">
        <v>1115</v>
      </c>
      <c r="AD28">
        <v>124</v>
      </c>
      <c r="AE28">
        <v>12</v>
      </c>
      <c r="AF28">
        <v>271</v>
      </c>
      <c r="AG28">
        <v>11</v>
      </c>
    </row>
    <row r="29" spans="1:33" x14ac:dyDescent="0.3">
      <c r="A29" t="s">
        <v>33</v>
      </c>
      <c r="B29" t="s">
        <v>43</v>
      </c>
      <c r="C29" t="s">
        <v>32</v>
      </c>
      <c r="D29" s="1">
        <v>1688</v>
      </c>
      <c r="E29">
        <v>0</v>
      </c>
      <c r="F29">
        <v>152</v>
      </c>
      <c r="G29">
        <v>0</v>
      </c>
      <c r="H29">
        <v>38</v>
      </c>
      <c r="I29">
        <v>0</v>
      </c>
      <c r="J29">
        <v>4</v>
      </c>
      <c r="K29">
        <v>0</v>
      </c>
      <c r="L29">
        <v>12</v>
      </c>
      <c r="M29">
        <v>7</v>
      </c>
      <c r="N29">
        <v>30</v>
      </c>
      <c r="O29">
        <v>0</v>
      </c>
      <c r="P29">
        <v>46</v>
      </c>
      <c r="Q29">
        <v>4</v>
      </c>
      <c r="R29">
        <v>0</v>
      </c>
      <c r="S29">
        <v>0</v>
      </c>
      <c r="T29">
        <v>5</v>
      </c>
      <c r="U29">
        <v>76</v>
      </c>
      <c r="V29">
        <v>0</v>
      </c>
      <c r="W29">
        <v>237</v>
      </c>
      <c r="X29">
        <v>0</v>
      </c>
      <c r="Y29">
        <v>95</v>
      </c>
      <c r="Z29">
        <v>71</v>
      </c>
      <c r="AA29">
        <v>107</v>
      </c>
      <c r="AB29">
        <v>304</v>
      </c>
      <c r="AC29">
        <v>348</v>
      </c>
      <c r="AD29">
        <v>52</v>
      </c>
      <c r="AE29">
        <v>17</v>
      </c>
      <c r="AF29">
        <v>78</v>
      </c>
      <c r="AG29">
        <v>5</v>
      </c>
    </row>
    <row r="30" spans="1:33" x14ac:dyDescent="0.3">
      <c r="A30" t="s">
        <v>33</v>
      </c>
      <c r="B30" t="s">
        <v>43</v>
      </c>
      <c r="C30" t="s">
        <v>35</v>
      </c>
      <c r="D30">
        <v>790</v>
      </c>
      <c r="E30">
        <v>0</v>
      </c>
      <c r="F30">
        <v>78</v>
      </c>
      <c r="G30">
        <v>0</v>
      </c>
      <c r="H30">
        <v>21</v>
      </c>
      <c r="I30">
        <v>0</v>
      </c>
      <c r="J30">
        <v>2</v>
      </c>
      <c r="K30">
        <v>0</v>
      </c>
      <c r="L30">
        <v>7</v>
      </c>
      <c r="M30">
        <v>4</v>
      </c>
      <c r="N30">
        <v>16</v>
      </c>
      <c r="O30">
        <v>0</v>
      </c>
      <c r="P30">
        <v>12</v>
      </c>
      <c r="Q30">
        <v>1</v>
      </c>
      <c r="R30">
        <v>0</v>
      </c>
      <c r="S30">
        <v>0</v>
      </c>
      <c r="T30">
        <v>2</v>
      </c>
      <c r="U30">
        <v>48</v>
      </c>
      <c r="V30">
        <v>0</v>
      </c>
      <c r="W30">
        <v>210</v>
      </c>
      <c r="X30">
        <v>0</v>
      </c>
      <c r="Y30">
        <v>40</v>
      </c>
      <c r="Z30">
        <v>29</v>
      </c>
      <c r="AA30">
        <v>48</v>
      </c>
      <c r="AB30">
        <v>124</v>
      </c>
      <c r="AC30">
        <v>63</v>
      </c>
      <c r="AD30">
        <v>28</v>
      </c>
      <c r="AE30">
        <v>10</v>
      </c>
      <c r="AF30">
        <v>44</v>
      </c>
      <c r="AG30">
        <v>3</v>
      </c>
    </row>
    <row r="31" spans="1:33" x14ac:dyDescent="0.3">
      <c r="A31" t="s">
        <v>33</v>
      </c>
      <c r="B31" t="s">
        <v>43</v>
      </c>
      <c r="C31" t="s">
        <v>36</v>
      </c>
      <c r="D31">
        <v>898</v>
      </c>
      <c r="E31">
        <v>0</v>
      </c>
      <c r="F31">
        <v>74</v>
      </c>
      <c r="G31">
        <v>0</v>
      </c>
      <c r="H31">
        <v>17</v>
      </c>
      <c r="I31">
        <v>0</v>
      </c>
      <c r="J31">
        <v>2</v>
      </c>
      <c r="K31">
        <v>0</v>
      </c>
      <c r="L31">
        <v>5</v>
      </c>
      <c r="M31">
        <v>3</v>
      </c>
      <c r="N31">
        <v>14</v>
      </c>
      <c r="O31">
        <v>0</v>
      </c>
      <c r="P31">
        <v>34</v>
      </c>
      <c r="Q31">
        <v>3</v>
      </c>
      <c r="R31">
        <v>0</v>
      </c>
      <c r="S31">
        <v>0</v>
      </c>
      <c r="T31">
        <v>3</v>
      </c>
      <c r="U31">
        <v>28</v>
      </c>
      <c r="V31">
        <v>0</v>
      </c>
      <c r="W31">
        <v>27</v>
      </c>
      <c r="X31">
        <v>0</v>
      </c>
      <c r="Y31">
        <v>55</v>
      </c>
      <c r="Z31">
        <v>42</v>
      </c>
      <c r="AA31">
        <v>59</v>
      </c>
      <c r="AB31">
        <v>180</v>
      </c>
      <c r="AC31">
        <v>285</v>
      </c>
      <c r="AD31">
        <v>24</v>
      </c>
      <c r="AE31">
        <v>7</v>
      </c>
      <c r="AF31">
        <v>34</v>
      </c>
      <c r="AG31">
        <v>2</v>
      </c>
    </row>
    <row r="32" spans="1:33" x14ac:dyDescent="0.3">
      <c r="A32" t="s">
        <v>33</v>
      </c>
      <c r="B32" t="s">
        <v>44</v>
      </c>
      <c r="C32" t="s">
        <v>32</v>
      </c>
      <c r="D32" s="1">
        <v>5945</v>
      </c>
      <c r="E32">
        <v>0</v>
      </c>
      <c r="F32">
        <v>332</v>
      </c>
      <c r="G32">
        <v>1</v>
      </c>
      <c r="H32">
        <v>87</v>
      </c>
      <c r="I32">
        <v>0</v>
      </c>
      <c r="J32">
        <v>1</v>
      </c>
      <c r="K32">
        <v>0</v>
      </c>
      <c r="L32">
        <v>15</v>
      </c>
      <c r="M32">
        <v>6</v>
      </c>
      <c r="N32">
        <v>52</v>
      </c>
      <c r="O32">
        <v>6</v>
      </c>
      <c r="P32">
        <v>36</v>
      </c>
      <c r="Q32">
        <v>1</v>
      </c>
      <c r="R32">
        <v>0</v>
      </c>
      <c r="S32">
        <v>0</v>
      </c>
      <c r="T32">
        <v>8</v>
      </c>
      <c r="U32">
        <v>136</v>
      </c>
      <c r="V32">
        <v>0</v>
      </c>
      <c r="W32">
        <v>617</v>
      </c>
      <c r="X32">
        <v>0</v>
      </c>
      <c r="Y32">
        <v>318</v>
      </c>
      <c r="Z32">
        <v>409</v>
      </c>
      <c r="AA32">
        <v>227</v>
      </c>
      <c r="AB32" s="1">
        <v>1993</v>
      </c>
      <c r="AC32">
        <v>833</v>
      </c>
      <c r="AD32">
        <v>180</v>
      </c>
      <c r="AE32">
        <v>7</v>
      </c>
      <c r="AF32">
        <v>658</v>
      </c>
      <c r="AG32">
        <v>22</v>
      </c>
    </row>
    <row r="33" spans="1:33" x14ac:dyDescent="0.3">
      <c r="A33" t="s">
        <v>33</v>
      </c>
      <c r="B33" t="s">
        <v>44</v>
      </c>
      <c r="C33" t="s">
        <v>35</v>
      </c>
      <c r="D33" s="1">
        <v>3059</v>
      </c>
      <c r="E33">
        <v>0</v>
      </c>
      <c r="F33">
        <v>157</v>
      </c>
      <c r="G33">
        <v>0</v>
      </c>
      <c r="H33">
        <v>45</v>
      </c>
      <c r="I33">
        <v>0</v>
      </c>
      <c r="J33">
        <v>1</v>
      </c>
      <c r="K33">
        <v>0</v>
      </c>
      <c r="L33">
        <v>10</v>
      </c>
      <c r="M33">
        <v>2</v>
      </c>
      <c r="N33">
        <v>21</v>
      </c>
      <c r="O33">
        <v>6</v>
      </c>
      <c r="P33">
        <v>15</v>
      </c>
      <c r="Q33">
        <v>0</v>
      </c>
      <c r="R33">
        <v>0</v>
      </c>
      <c r="S33">
        <v>0</v>
      </c>
      <c r="T33">
        <v>3</v>
      </c>
      <c r="U33">
        <v>115</v>
      </c>
      <c r="V33">
        <v>0</v>
      </c>
      <c r="W33">
        <v>522</v>
      </c>
      <c r="X33">
        <v>0</v>
      </c>
      <c r="Y33">
        <v>130</v>
      </c>
      <c r="Z33">
        <v>179</v>
      </c>
      <c r="AA33">
        <v>102</v>
      </c>
      <c r="AB33" s="1">
        <v>1030</v>
      </c>
      <c r="AC33">
        <v>236</v>
      </c>
      <c r="AD33">
        <v>115</v>
      </c>
      <c r="AE33">
        <v>2</v>
      </c>
      <c r="AF33">
        <v>352</v>
      </c>
      <c r="AG33">
        <v>16</v>
      </c>
    </row>
    <row r="34" spans="1:33" x14ac:dyDescent="0.3">
      <c r="A34" t="s">
        <v>33</v>
      </c>
      <c r="B34" t="s">
        <v>44</v>
      </c>
      <c r="C34" t="s">
        <v>36</v>
      </c>
      <c r="D34" s="1">
        <v>2886</v>
      </c>
      <c r="E34">
        <v>0</v>
      </c>
      <c r="F34">
        <v>175</v>
      </c>
      <c r="G34">
        <v>1</v>
      </c>
      <c r="H34">
        <v>42</v>
      </c>
      <c r="I34">
        <v>0</v>
      </c>
      <c r="J34">
        <v>0</v>
      </c>
      <c r="K34">
        <v>0</v>
      </c>
      <c r="L34">
        <v>5</v>
      </c>
      <c r="M34">
        <v>4</v>
      </c>
      <c r="N34">
        <v>31</v>
      </c>
      <c r="O34">
        <v>0</v>
      </c>
      <c r="P34">
        <v>21</v>
      </c>
      <c r="Q34">
        <v>1</v>
      </c>
      <c r="R34">
        <v>0</v>
      </c>
      <c r="S34">
        <v>0</v>
      </c>
      <c r="T34">
        <v>5</v>
      </c>
      <c r="U34">
        <v>21</v>
      </c>
      <c r="V34">
        <v>0</v>
      </c>
      <c r="W34">
        <v>95</v>
      </c>
      <c r="X34">
        <v>0</v>
      </c>
      <c r="Y34">
        <v>188</v>
      </c>
      <c r="Z34">
        <v>230</v>
      </c>
      <c r="AA34">
        <v>125</v>
      </c>
      <c r="AB34">
        <v>963</v>
      </c>
      <c r="AC34">
        <v>597</v>
      </c>
      <c r="AD34">
        <v>65</v>
      </c>
      <c r="AE34">
        <v>5</v>
      </c>
      <c r="AF34">
        <v>306</v>
      </c>
      <c r="AG34">
        <v>6</v>
      </c>
    </row>
    <row r="35" spans="1:33" x14ac:dyDescent="0.3">
      <c r="A35" t="s">
        <v>33</v>
      </c>
      <c r="B35" t="s">
        <v>45</v>
      </c>
      <c r="C35" t="s">
        <v>32</v>
      </c>
      <c r="D35" s="1">
        <v>26363</v>
      </c>
      <c r="E35">
        <v>0</v>
      </c>
      <c r="F35">
        <v>564</v>
      </c>
      <c r="G35">
        <v>13</v>
      </c>
      <c r="H35">
        <v>191</v>
      </c>
      <c r="I35">
        <v>0</v>
      </c>
      <c r="J35">
        <v>4</v>
      </c>
      <c r="K35">
        <v>3</v>
      </c>
      <c r="L35">
        <v>99</v>
      </c>
      <c r="M35">
        <v>14</v>
      </c>
      <c r="N35">
        <v>83</v>
      </c>
      <c r="O35">
        <v>0</v>
      </c>
      <c r="P35">
        <v>116</v>
      </c>
      <c r="Q35">
        <v>0</v>
      </c>
      <c r="R35">
        <v>0</v>
      </c>
      <c r="S35">
        <v>0</v>
      </c>
      <c r="T35">
        <v>24</v>
      </c>
      <c r="U35" s="1">
        <v>2161</v>
      </c>
      <c r="V35">
        <v>26</v>
      </c>
      <c r="W35" s="1">
        <v>13143</v>
      </c>
      <c r="X35">
        <v>4</v>
      </c>
      <c r="Y35">
        <v>853</v>
      </c>
      <c r="Z35">
        <v>884</v>
      </c>
      <c r="AA35" s="1">
        <v>1300</v>
      </c>
      <c r="AB35" s="1">
        <v>2449</v>
      </c>
      <c r="AC35" s="1">
        <v>2019</v>
      </c>
      <c r="AD35" s="1">
        <v>1241</v>
      </c>
      <c r="AE35">
        <v>17</v>
      </c>
      <c r="AF35">
        <v>928</v>
      </c>
      <c r="AG35">
        <v>227</v>
      </c>
    </row>
    <row r="36" spans="1:33" x14ac:dyDescent="0.3">
      <c r="A36" t="s">
        <v>33</v>
      </c>
      <c r="B36" t="s">
        <v>45</v>
      </c>
      <c r="C36" t="s">
        <v>35</v>
      </c>
      <c r="D36" s="1">
        <v>19967</v>
      </c>
      <c r="E36">
        <v>0</v>
      </c>
      <c r="F36">
        <v>319</v>
      </c>
      <c r="G36">
        <v>7</v>
      </c>
      <c r="H36">
        <v>99</v>
      </c>
      <c r="I36">
        <v>0</v>
      </c>
      <c r="J36">
        <v>3</v>
      </c>
      <c r="K36">
        <v>2</v>
      </c>
      <c r="L36">
        <v>84</v>
      </c>
      <c r="M36">
        <v>6</v>
      </c>
      <c r="N36">
        <v>23</v>
      </c>
      <c r="O36">
        <v>0</v>
      </c>
      <c r="P36">
        <v>27</v>
      </c>
      <c r="Q36">
        <v>0</v>
      </c>
      <c r="R36">
        <v>0</v>
      </c>
      <c r="S36">
        <v>0</v>
      </c>
      <c r="T36">
        <v>14</v>
      </c>
      <c r="U36" s="1">
        <v>2096</v>
      </c>
      <c r="V36">
        <v>16</v>
      </c>
      <c r="W36" s="1">
        <v>12674</v>
      </c>
      <c r="X36">
        <v>4</v>
      </c>
      <c r="Y36">
        <v>332</v>
      </c>
      <c r="Z36">
        <v>420</v>
      </c>
      <c r="AA36">
        <v>363</v>
      </c>
      <c r="AB36" s="1">
        <v>1282</v>
      </c>
      <c r="AC36">
        <v>509</v>
      </c>
      <c r="AD36">
        <v>975</v>
      </c>
      <c r="AE36">
        <v>4</v>
      </c>
      <c r="AF36">
        <v>509</v>
      </c>
      <c r="AG36">
        <v>199</v>
      </c>
    </row>
    <row r="37" spans="1:33" x14ac:dyDescent="0.3">
      <c r="A37" t="s">
        <v>33</v>
      </c>
      <c r="B37" t="s">
        <v>45</v>
      </c>
      <c r="C37" t="s">
        <v>36</v>
      </c>
      <c r="D37" s="1">
        <v>6396</v>
      </c>
      <c r="E37">
        <v>0</v>
      </c>
      <c r="F37">
        <v>245</v>
      </c>
      <c r="G37">
        <v>6</v>
      </c>
      <c r="H37">
        <v>92</v>
      </c>
      <c r="I37">
        <v>0</v>
      </c>
      <c r="J37">
        <v>1</v>
      </c>
      <c r="K37">
        <v>1</v>
      </c>
      <c r="L37">
        <v>15</v>
      </c>
      <c r="M37">
        <v>8</v>
      </c>
      <c r="N37">
        <v>60</v>
      </c>
      <c r="O37">
        <v>0</v>
      </c>
      <c r="P37">
        <v>89</v>
      </c>
      <c r="Q37">
        <v>0</v>
      </c>
      <c r="R37">
        <v>0</v>
      </c>
      <c r="S37">
        <v>0</v>
      </c>
      <c r="T37">
        <v>10</v>
      </c>
      <c r="U37">
        <v>65</v>
      </c>
      <c r="V37">
        <v>10</v>
      </c>
      <c r="W37">
        <v>469</v>
      </c>
      <c r="X37">
        <v>0</v>
      </c>
      <c r="Y37">
        <v>521</v>
      </c>
      <c r="Z37">
        <v>464</v>
      </c>
      <c r="AA37">
        <v>937</v>
      </c>
      <c r="AB37" s="1">
        <v>1167</v>
      </c>
      <c r="AC37" s="1">
        <v>1510</v>
      </c>
      <c r="AD37">
        <v>266</v>
      </c>
      <c r="AE37">
        <v>13</v>
      </c>
      <c r="AF37">
        <v>419</v>
      </c>
      <c r="AG37">
        <v>28</v>
      </c>
    </row>
    <row r="38" spans="1:33" x14ac:dyDescent="0.3">
      <c r="A38" t="s">
        <v>33</v>
      </c>
      <c r="B38" t="s">
        <v>46</v>
      </c>
      <c r="C38" t="s">
        <v>32</v>
      </c>
      <c r="D38" s="1">
        <v>10073</v>
      </c>
      <c r="E38">
        <v>1</v>
      </c>
      <c r="F38">
        <v>516</v>
      </c>
      <c r="G38">
        <v>2</v>
      </c>
      <c r="H38">
        <v>723</v>
      </c>
      <c r="I38">
        <v>2</v>
      </c>
      <c r="J38">
        <v>13</v>
      </c>
      <c r="K38">
        <v>1</v>
      </c>
      <c r="L38">
        <v>22</v>
      </c>
      <c r="M38">
        <v>1</v>
      </c>
      <c r="N38">
        <v>50</v>
      </c>
      <c r="O38">
        <v>6</v>
      </c>
      <c r="P38">
        <v>102</v>
      </c>
      <c r="Q38">
        <v>3</v>
      </c>
      <c r="R38">
        <v>0</v>
      </c>
      <c r="S38">
        <v>0</v>
      </c>
      <c r="T38">
        <v>9</v>
      </c>
      <c r="U38">
        <v>547</v>
      </c>
      <c r="V38">
        <v>21</v>
      </c>
      <c r="W38" s="1">
        <v>3650</v>
      </c>
      <c r="X38">
        <v>0</v>
      </c>
      <c r="Y38">
        <v>456</v>
      </c>
      <c r="Z38">
        <v>188</v>
      </c>
      <c r="AA38">
        <v>325</v>
      </c>
      <c r="AB38" s="1">
        <v>1099</v>
      </c>
      <c r="AC38" s="1">
        <v>1632</v>
      </c>
      <c r="AD38">
        <v>421</v>
      </c>
      <c r="AE38">
        <v>16</v>
      </c>
      <c r="AF38">
        <v>182</v>
      </c>
      <c r="AG38">
        <v>85</v>
      </c>
    </row>
    <row r="39" spans="1:33" x14ac:dyDescent="0.3">
      <c r="A39" t="s">
        <v>33</v>
      </c>
      <c r="B39" t="s">
        <v>46</v>
      </c>
      <c r="C39" t="s">
        <v>35</v>
      </c>
      <c r="D39" s="1">
        <v>5910</v>
      </c>
      <c r="E39">
        <v>0</v>
      </c>
      <c r="F39">
        <v>151</v>
      </c>
      <c r="G39">
        <v>2</v>
      </c>
      <c r="H39">
        <v>273</v>
      </c>
      <c r="I39">
        <v>1</v>
      </c>
      <c r="J39">
        <v>10</v>
      </c>
      <c r="K39">
        <v>1</v>
      </c>
      <c r="L39">
        <v>14</v>
      </c>
      <c r="M39">
        <v>1</v>
      </c>
      <c r="N39">
        <v>22</v>
      </c>
      <c r="O39">
        <v>4</v>
      </c>
      <c r="P39">
        <v>31</v>
      </c>
      <c r="Q39">
        <v>2</v>
      </c>
      <c r="R39">
        <v>0</v>
      </c>
      <c r="S39">
        <v>0</v>
      </c>
      <c r="T39">
        <v>6</v>
      </c>
      <c r="U39">
        <v>509</v>
      </c>
      <c r="V39">
        <v>13</v>
      </c>
      <c r="W39" s="1">
        <v>3298</v>
      </c>
      <c r="X39">
        <v>0</v>
      </c>
      <c r="Y39">
        <v>177</v>
      </c>
      <c r="Z39">
        <v>88</v>
      </c>
      <c r="AA39">
        <v>111</v>
      </c>
      <c r="AB39">
        <v>420</v>
      </c>
      <c r="AC39">
        <v>271</v>
      </c>
      <c r="AD39">
        <v>335</v>
      </c>
      <c r="AE39">
        <v>3</v>
      </c>
      <c r="AF39">
        <v>93</v>
      </c>
      <c r="AG39">
        <v>74</v>
      </c>
    </row>
    <row r="40" spans="1:33" x14ac:dyDescent="0.3">
      <c r="A40" t="s">
        <v>33</v>
      </c>
      <c r="B40" t="s">
        <v>46</v>
      </c>
      <c r="C40" t="s">
        <v>36</v>
      </c>
      <c r="D40" s="1">
        <v>4163</v>
      </c>
      <c r="E40">
        <v>1</v>
      </c>
      <c r="F40">
        <v>365</v>
      </c>
      <c r="G40">
        <v>0</v>
      </c>
      <c r="H40">
        <v>450</v>
      </c>
      <c r="I40">
        <v>1</v>
      </c>
      <c r="J40">
        <v>3</v>
      </c>
      <c r="K40">
        <v>0</v>
      </c>
      <c r="L40">
        <v>8</v>
      </c>
      <c r="M40">
        <v>0</v>
      </c>
      <c r="N40">
        <v>28</v>
      </c>
      <c r="O40">
        <v>2</v>
      </c>
      <c r="P40">
        <v>71</v>
      </c>
      <c r="Q40">
        <v>1</v>
      </c>
      <c r="R40">
        <v>0</v>
      </c>
      <c r="S40">
        <v>0</v>
      </c>
      <c r="T40">
        <v>3</v>
      </c>
      <c r="U40">
        <v>38</v>
      </c>
      <c r="V40">
        <v>8</v>
      </c>
      <c r="W40">
        <v>352</v>
      </c>
      <c r="X40">
        <v>0</v>
      </c>
      <c r="Y40">
        <v>279</v>
      </c>
      <c r="Z40">
        <v>100</v>
      </c>
      <c r="AA40">
        <v>214</v>
      </c>
      <c r="AB40">
        <v>679</v>
      </c>
      <c r="AC40" s="1">
        <v>1361</v>
      </c>
      <c r="AD40">
        <v>86</v>
      </c>
      <c r="AE40">
        <v>13</v>
      </c>
      <c r="AF40">
        <v>89</v>
      </c>
      <c r="AG40">
        <v>11</v>
      </c>
    </row>
    <row r="41" spans="1:33" x14ac:dyDescent="0.3">
      <c r="A41" t="s">
        <v>33</v>
      </c>
      <c r="B41" t="s">
        <v>47</v>
      </c>
      <c r="C41" t="s">
        <v>32</v>
      </c>
      <c r="D41" s="1">
        <v>4451</v>
      </c>
      <c r="E41">
        <v>0</v>
      </c>
      <c r="F41">
        <v>275</v>
      </c>
      <c r="G41">
        <v>3</v>
      </c>
      <c r="H41">
        <v>262</v>
      </c>
      <c r="I41">
        <v>0</v>
      </c>
      <c r="J41">
        <v>7</v>
      </c>
      <c r="K41">
        <v>1</v>
      </c>
      <c r="L41">
        <v>43</v>
      </c>
      <c r="M41">
        <v>22</v>
      </c>
      <c r="N41">
        <v>18</v>
      </c>
      <c r="O41">
        <v>0</v>
      </c>
      <c r="P41">
        <v>9</v>
      </c>
      <c r="Q41">
        <v>1</v>
      </c>
      <c r="R41">
        <v>0</v>
      </c>
      <c r="S41">
        <v>0</v>
      </c>
      <c r="T41">
        <v>369</v>
      </c>
      <c r="U41">
        <v>139</v>
      </c>
      <c r="V41">
        <v>2</v>
      </c>
      <c r="W41">
        <v>686</v>
      </c>
      <c r="X41">
        <v>0</v>
      </c>
      <c r="Y41">
        <v>137</v>
      </c>
      <c r="Z41">
        <v>134</v>
      </c>
      <c r="AA41">
        <v>225</v>
      </c>
      <c r="AB41">
        <v>311</v>
      </c>
      <c r="AC41">
        <v>457</v>
      </c>
      <c r="AD41">
        <v>655</v>
      </c>
      <c r="AE41">
        <v>2</v>
      </c>
      <c r="AF41">
        <v>64</v>
      </c>
      <c r="AG41">
        <v>629</v>
      </c>
    </row>
    <row r="42" spans="1:33" x14ac:dyDescent="0.3">
      <c r="A42" t="s">
        <v>33</v>
      </c>
      <c r="B42" t="s">
        <v>47</v>
      </c>
      <c r="C42" t="s">
        <v>35</v>
      </c>
      <c r="D42" s="1">
        <v>2576</v>
      </c>
      <c r="E42">
        <v>0</v>
      </c>
      <c r="F42">
        <v>127</v>
      </c>
      <c r="G42">
        <v>2</v>
      </c>
      <c r="H42">
        <v>179</v>
      </c>
      <c r="I42">
        <v>0</v>
      </c>
      <c r="J42">
        <v>6</v>
      </c>
      <c r="K42">
        <v>1</v>
      </c>
      <c r="L42">
        <v>40</v>
      </c>
      <c r="M42">
        <v>19</v>
      </c>
      <c r="N42">
        <v>10</v>
      </c>
      <c r="O42">
        <v>0</v>
      </c>
      <c r="P42">
        <v>4</v>
      </c>
      <c r="Q42">
        <v>0</v>
      </c>
      <c r="R42">
        <v>0</v>
      </c>
      <c r="S42">
        <v>0</v>
      </c>
      <c r="T42">
        <v>10</v>
      </c>
      <c r="U42">
        <v>136</v>
      </c>
      <c r="V42">
        <v>2</v>
      </c>
      <c r="W42">
        <v>625</v>
      </c>
      <c r="X42">
        <v>0</v>
      </c>
      <c r="Y42">
        <v>63</v>
      </c>
      <c r="Z42">
        <v>68</v>
      </c>
      <c r="AA42">
        <v>73</v>
      </c>
      <c r="AB42">
        <v>151</v>
      </c>
      <c r="AC42">
        <v>110</v>
      </c>
      <c r="AD42">
        <v>482</v>
      </c>
      <c r="AE42">
        <v>0</v>
      </c>
      <c r="AF42">
        <v>29</v>
      </c>
      <c r="AG42">
        <v>439</v>
      </c>
    </row>
    <row r="43" spans="1:33" x14ac:dyDescent="0.3">
      <c r="A43" t="s">
        <v>33</v>
      </c>
      <c r="B43" t="s">
        <v>47</v>
      </c>
      <c r="C43" t="s">
        <v>36</v>
      </c>
      <c r="D43" s="1">
        <v>1875</v>
      </c>
      <c r="E43">
        <v>0</v>
      </c>
      <c r="F43">
        <v>148</v>
      </c>
      <c r="G43">
        <v>1</v>
      </c>
      <c r="H43">
        <v>83</v>
      </c>
      <c r="I43">
        <v>0</v>
      </c>
      <c r="J43">
        <v>1</v>
      </c>
      <c r="K43">
        <v>0</v>
      </c>
      <c r="L43">
        <v>3</v>
      </c>
      <c r="M43">
        <v>3</v>
      </c>
      <c r="N43">
        <v>8</v>
      </c>
      <c r="O43">
        <v>0</v>
      </c>
      <c r="P43">
        <v>5</v>
      </c>
      <c r="Q43">
        <v>1</v>
      </c>
      <c r="R43">
        <v>0</v>
      </c>
      <c r="S43">
        <v>0</v>
      </c>
      <c r="T43">
        <v>359</v>
      </c>
      <c r="U43">
        <v>3</v>
      </c>
      <c r="V43">
        <v>0</v>
      </c>
      <c r="W43">
        <v>61</v>
      </c>
      <c r="X43">
        <v>0</v>
      </c>
      <c r="Y43">
        <v>74</v>
      </c>
      <c r="Z43">
        <v>66</v>
      </c>
      <c r="AA43">
        <v>152</v>
      </c>
      <c r="AB43">
        <v>160</v>
      </c>
      <c r="AC43">
        <v>347</v>
      </c>
      <c r="AD43">
        <v>173</v>
      </c>
      <c r="AE43">
        <v>2</v>
      </c>
      <c r="AF43">
        <v>35</v>
      </c>
      <c r="AG43">
        <v>190</v>
      </c>
    </row>
    <row r="44" spans="1:33" x14ac:dyDescent="0.3">
      <c r="A44" t="s">
        <v>33</v>
      </c>
      <c r="B44" t="s">
        <v>48</v>
      </c>
      <c r="C44" t="s">
        <v>32</v>
      </c>
      <c r="D44" s="1">
        <v>12394</v>
      </c>
      <c r="E44">
        <v>0</v>
      </c>
      <c r="F44">
        <v>372</v>
      </c>
      <c r="G44">
        <v>0</v>
      </c>
      <c r="H44">
        <v>277</v>
      </c>
      <c r="I44">
        <v>0</v>
      </c>
      <c r="J44">
        <v>1</v>
      </c>
      <c r="K44">
        <v>2</v>
      </c>
      <c r="L44">
        <v>11</v>
      </c>
      <c r="M44">
        <v>1</v>
      </c>
      <c r="N44">
        <v>30</v>
      </c>
      <c r="O44">
        <v>1</v>
      </c>
      <c r="P44">
        <v>21</v>
      </c>
      <c r="Q44">
        <v>0</v>
      </c>
      <c r="R44">
        <v>0</v>
      </c>
      <c r="S44">
        <v>0</v>
      </c>
      <c r="T44">
        <v>3</v>
      </c>
      <c r="U44">
        <v>23</v>
      </c>
      <c r="V44">
        <v>0</v>
      </c>
      <c r="W44">
        <v>79</v>
      </c>
      <c r="X44">
        <v>2</v>
      </c>
      <c r="Y44">
        <v>677</v>
      </c>
      <c r="Z44" s="1">
        <v>1266</v>
      </c>
      <c r="AA44">
        <v>381</v>
      </c>
      <c r="AB44" s="1">
        <v>6574</v>
      </c>
      <c r="AC44" s="1">
        <v>1227</v>
      </c>
      <c r="AD44">
        <v>58</v>
      </c>
      <c r="AE44">
        <v>6</v>
      </c>
      <c r="AF44" s="1">
        <v>1366</v>
      </c>
      <c r="AG44">
        <v>16</v>
      </c>
    </row>
    <row r="45" spans="1:33" x14ac:dyDescent="0.3">
      <c r="A45" t="s">
        <v>33</v>
      </c>
      <c r="B45" t="s">
        <v>48</v>
      </c>
      <c r="C45" t="s">
        <v>35</v>
      </c>
      <c r="D45" s="1">
        <v>6336</v>
      </c>
      <c r="E45">
        <v>0</v>
      </c>
      <c r="F45">
        <v>174</v>
      </c>
      <c r="G45">
        <v>0</v>
      </c>
      <c r="H45">
        <v>132</v>
      </c>
      <c r="I45">
        <v>0</v>
      </c>
      <c r="J45">
        <v>0</v>
      </c>
      <c r="K45">
        <v>0</v>
      </c>
      <c r="L45">
        <v>7</v>
      </c>
      <c r="M45">
        <v>1</v>
      </c>
      <c r="N45">
        <v>9</v>
      </c>
      <c r="O45">
        <v>1</v>
      </c>
      <c r="P45">
        <v>7</v>
      </c>
      <c r="Q45">
        <v>0</v>
      </c>
      <c r="R45">
        <v>0</v>
      </c>
      <c r="S45">
        <v>0</v>
      </c>
      <c r="T45">
        <v>0</v>
      </c>
      <c r="U45">
        <v>13</v>
      </c>
      <c r="V45">
        <v>0</v>
      </c>
      <c r="W45">
        <v>72</v>
      </c>
      <c r="X45">
        <v>2</v>
      </c>
      <c r="Y45">
        <v>299</v>
      </c>
      <c r="Z45">
        <v>537</v>
      </c>
      <c r="AA45">
        <v>158</v>
      </c>
      <c r="AB45" s="1">
        <v>3656</v>
      </c>
      <c r="AC45">
        <v>490</v>
      </c>
      <c r="AD45">
        <v>34</v>
      </c>
      <c r="AE45">
        <v>1</v>
      </c>
      <c r="AF45">
        <v>731</v>
      </c>
      <c r="AG45">
        <v>12</v>
      </c>
    </row>
    <row r="46" spans="1:33" x14ac:dyDescent="0.3">
      <c r="A46" t="s">
        <v>33</v>
      </c>
      <c r="B46" t="s">
        <v>48</v>
      </c>
      <c r="C46" t="s">
        <v>36</v>
      </c>
      <c r="D46" s="1">
        <v>6058</v>
      </c>
      <c r="E46">
        <v>0</v>
      </c>
      <c r="F46">
        <v>198</v>
      </c>
      <c r="G46">
        <v>0</v>
      </c>
      <c r="H46">
        <v>145</v>
      </c>
      <c r="I46">
        <v>0</v>
      </c>
      <c r="J46">
        <v>1</v>
      </c>
      <c r="K46">
        <v>2</v>
      </c>
      <c r="L46">
        <v>4</v>
      </c>
      <c r="M46">
        <v>0</v>
      </c>
      <c r="N46">
        <v>21</v>
      </c>
      <c r="O46">
        <v>0</v>
      </c>
      <c r="P46">
        <v>14</v>
      </c>
      <c r="Q46">
        <v>0</v>
      </c>
      <c r="R46">
        <v>0</v>
      </c>
      <c r="S46">
        <v>0</v>
      </c>
      <c r="T46">
        <v>3</v>
      </c>
      <c r="U46">
        <v>10</v>
      </c>
      <c r="V46">
        <v>0</v>
      </c>
      <c r="W46">
        <v>7</v>
      </c>
      <c r="X46">
        <v>0</v>
      </c>
      <c r="Y46">
        <v>378</v>
      </c>
      <c r="Z46">
        <v>729</v>
      </c>
      <c r="AA46">
        <v>223</v>
      </c>
      <c r="AB46" s="1">
        <v>2918</v>
      </c>
      <c r="AC46">
        <v>737</v>
      </c>
      <c r="AD46">
        <v>24</v>
      </c>
      <c r="AE46">
        <v>5</v>
      </c>
      <c r="AF46">
        <v>635</v>
      </c>
      <c r="AG46">
        <v>4</v>
      </c>
    </row>
    <row r="47" spans="1:33" x14ac:dyDescent="0.3">
      <c r="A47" t="s">
        <v>33</v>
      </c>
      <c r="B47" t="s">
        <v>49</v>
      </c>
      <c r="C47" t="s">
        <v>32</v>
      </c>
      <c r="D47" s="1">
        <v>3424</v>
      </c>
      <c r="E47">
        <v>0</v>
      </c>
      <c r="F47">
        <v>66</v>
      </c>
      <c r="G47">
        <v>7</v>
      </c>
      <c r="H47">
        <v>47</v>
      </c>
      <c r="I47">
        <v>0</v>
      </c>
      <c r="J47">
        <v>2</v>
      </c>
      <c r="K47">
        <v>0</v>
      </c>
      <c r="L47">
        <v>4</v>
      </c>
      <c r="M47">
        <v>1</v>
      </c>
      <c r="N47">
        <v>13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160</v>
      </c>
      <c r="V47">
        <v>0</v>
      </c>
      <c r="W47" s="1">
        <v>1048</v>
      </c>
      <c r="X47">
        <v>0</v>
      </c>
      <c r="Y47">
        <v>200</v>
      </c>
      <c r="Z47">
        <v>184</v>
      </c>
      <c r="AA47">
        <v>130</v>
      </c>
      <c r="AB47">
        <v>717</v>
      </c>
      <c r="AC47">
        <v>598</v>
      </c>
      <c r="AD47">
        <v>75</v>
      </c>
      <c r="AE47">
        <v>2</v>
      </c>
      <c r="AF47">
        <v>155</v>
      </c>
      <c r="AG47">
        <v>13</v>
      </c>
    </row>
    <row r="48" spans="1:33" x14ac:dyDescent="0.3">
      <c r="A48" t="s">
        <v>33</v>
      </c>
      <c r="B48" t="s">
        <v>49</v>
      </c>
      <c r="C48" t="s">
        <v>35</v>
      </c>
      <c r="D48" s="1">
        <v>2047</v>
      </c>
      <c r="E48">
        <v>0</v>
      </c>
      <c r="F48">
        <v>24</v>
      </c>
      <c r="G48">
        <v>6</v>
      </c>
      <c r="H48">
        <v>20</v>
      </c>
      <c r="I48">
        <v>0</v>
      </c>
      <c r="J48">
        <v>1</v>
      </c>
      <c r="K48">
        <v>0</v>
      </c>
      <c r="L48">
        <v>3</v>
      </c>
      <c r="M48">
        <v>1</v>
      </c>
      <c r="N48">
        <v>6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152</v>
      </c>
      <c r="V48">
        <v>0</v>
      </c>
      <c r="W48">
        <v>979</v>
      </c>
      <c r="X48">
        <v>0</v>
      </c>
      <c r="Y48">
        <v>87</v>
      </c>
      <c r="Z48">
        <v>82</v>
      </c>
      <c r="AA48">
        <v>62</v>
      </c>
      <c r="AB48">
        <v>347</v>
      </c>
      <c r="AC48">
        <v>123</v>
      </c>
      <c r="AD48">
        <v>59</v>
      </c>
      <c r="AE48">
        <v>0</v>
      </c>
      <c r="AF48">
        <v>83</v>
      </c>
      <c r="AG48">
        <v>11</v>
      </c>
    </row>
    <row r="49" spans="1:33" x14ac:dyDescent="0.3">
      <c r="A49" t="s">
        <v>33</v>
      </c>
      <c r="B49" t="s">
        <v>49</v>
      </c>
      <c r="C49" t="s">
        <v>36</v>
      </c>
      <c r="D49" s="1">
        <v>1377</v>
      </c>
      <c r="E49">
        <v>0</v>
      </c>
      <c r="F49">
        <v>42</v>
      </c>
      <c r="G49">
        <v>1</v>
      </c>
      <c r="H49">
        <v>27</v>
      </c>
      <c r="I49">
        <v>0</v>
      </c>
      <c r="J49">
        <v>1</v>
      </c>
      <c r="K49">
        <v>0</v>
      </c>
      <c r="L49">
        <v>1</v>
      </c>
      <c r="M49">
        <v>0</v>
      </c>
      <c r="N49">
        <v>7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8</v>
      </c>
      <c r="V49">
        <v>0</v>
      </c>
      <c r="W49">
        <v>69</v>
      </c>
      <c r="X49">
        <v>0</v>
      </c>
      <c r="Y49">
        <v>113</v>
      </c>
      <c r="Z49">
        <v>102</v>
      </c>
      <c r="AA49">
        <v>68</v>
      </c>
      <c r="AB49">
        <v>370</v>
      </c>
      <c r="AC49">
        <v>475</v>
      </c>
      <c r="AD49">
        <v>16</v>
      </c>
      <c r="AE49">
        <v>2</v>
      </c>
      <c r="AF49">
        <v>72</v>
      </c>
      <c r="AG49">
        <v>2</v>
      </c>
    </row>
    <row r="50" spans="1:33" x14ac:dyDescent="0.3">
      <c r="A50" t="s">
        <v>33</v>
      </c>
      <c r="B50" t="s">
        <v>50</v>
      </c>
      <c r="C50" t="s">
        <v>32</v>
      </c>
      <c r="D50" s="1">
        <v>15898</v>
      </c>
      <c r="E50">
        <v>0</v>
      </c>
      <c r="F50" s="1">
        <v>1861</v>
      </c>
      <c r="G50">
        <v>4</v>
      </c>
      <c r="H50" s="1">
        <v>1252</v>
      </c>
      <c r="I50">
        <v>0</v>
      </c>
      <c r="J50">
        <v>9</v>
      </c>
      <c r="K50">
        <v>0</v>
      </c>
      <c r="L50">
        <v>32</v>
      </c>
      <c r="M50">
        <v>3</v>
      </c>
      <c r="N50">
        <v>162</v>
      </c>
      <c r="O50">
        <v>3</v>
      </c>
      <c r="P50">
        <v>98</v>
      </c>
      <c r="Q50">
        <v>3</v>
      </c>
      <c r="R50">
        <v>0</v>
      </c>
      <c r="S50">
        <v>0</v>
      </c>
      <c r="T50">
        <v>16</v>
      </c>
      <c r="U50">
        <v>164</v>
      </c>
      <c r="V50">
        <v>3</v>
      </c>
      <c r="W50">
        <v>706</v>
      </c>
      <c r="X50">
        <v>1</v>
      </c>
      <c r="Y50">
        <v>713</v>
      </c>
      <c r="Z50" s="1">
        <v>1269</v>
      </c>
      <c r="AA50">
        <v>484</v>
      </c>
      <c r="AB50" s="1">
        <v>5947</v>
      </c>
      <c r="AC50" s="1">
        <v>1526</v>
      </c>
      <c r="AD50">
        <v>309</v>
      </c>
      <c r="AE50">
        <v>19</v>
      </c>
      <c r="AF50" s="1">
        <v>1263</v>
      </c>
      <c r="AG50">
        <v>51</v>
      </c>
    </row>
    <row r="51" spans="1:33" x14ac:dyDescent="0.3">
      <c r="A51" t="s">
        <v>33</v>
      </c>
      <c r="B51" t="s">
        <v>50</v>
      </c>
      <c r="C51" t="s">
        <v>35</v>
      </c>
      <c r="D51" s="1">
        <v>7884</v>
      </c>
      <c r="E51">
        <v>0</v>
      </c>
      <c r="F51">
        <v>804</v>
      </c>
      <c r="G51">
        <v>1</v>
      </c>
      <c r="H51">
        <v>484</v>
      </c>
      <c r="I51">
        <v>0</v>
      </c>
      <c r="J51">
        <v>8</v>
      </c>
      <c r="K51">
        <v>0</v>
      </c>
      <c r="L51">
        <v>28</v>
      </c>
      <c r="M51">
        <v>2</v>
      </c>
      <c r="N51">
        <v>53</v>
      </c>
      <c r="O51">
        <v>3</v>
      </c>
      <c r="P51">
        <v>33</v>
      </c>
      <c r="Q51">
        <v>2</v>
      </c>
      <c r="R51">
        <v>0</v>
      </c>
      <c r="S51">
        <v>0</v>
      </c>
      <c r="T51">
        <v>10</v>
      </c>
      <c r="U51">
        <v>129</v>
      </c>
      <c r="V51">
        <v>2</v>
      </c>
      <c r="W51">
        <v>634</v>
      </c>
      <c r="X51">
        <v>1</v>
      </c>
      <c r="Y51">
        <v>306</v>
      </c>
      <c r="Z51">
        <v>537</v>
      </c>
      <c r="AA51">
        <v>204</v>
      </c>
      <c r="AB51" s="1">
        <v>3265</v>
      </c>
      <c r="AC51">
        <v>486</v>
      </c>
      <c r="AD51">
        <v>163</v>
      </c>
      <c r="AE51">
        <v>6</v>
      </c>
      <c r="AF51">
        <v>690</v>
      </c>
      <c r="AG51">
        <v>33</v>
      </c>
    </row>
    <row r="52" spans="1:33" x14ac:dyDescent="0.3">
      <c r="A52" t="s">
        <v>33</v>
      </c>
      <c r="B52" t="s">
        <v>50</v>
      </c>
      <c r="C52" t="s">
        <v>36</v>
      </c>
      <c r="D52" s="1">
        <v>8014</v>
      </c>
      <c r="E52">
        <v>0</v>
      </c>
      <c r="F52" s="1">
        <v>1057</v>
      </c>
      <c r="G52">
        <v>3</v>
      </c>
      <c r="H52">
        <v>768</v>
      </c>
      <c r="I52">
        <v>0</v>
      </c>
      <c r="J52">
        <v>1</v>
      </c>
      <c r="K52">
        <v>0</v>
      </c>
      <c r="L52">
        <v>4</v>
      </c>
      <c r="M52">
        <v>1</v>
      </c>
      <c r="N52">
        <v>109</v>
      </c>
      <c r="O52">
        <v>0</v>
      </c>
      <c r="P52">
        <v>65</v>
      </c>
      <c r="Q52">
        <v>1</v>
      </c>
      <c r="R52">
        <v>0</v>
      </c>
      <c r="S52">
        <v>0</v>
      </c>
      <c r="T52">
        <v>6</v>
      </c>
      <c r="U52">
        <v>35</v>
      </c>
      <c r="V52">
        <v>1</v>
      </c>
      <c r="W52">
        <v>72</v>
      </c>
      <c r="X52">
        <v>0</v>
      </c>
      <c r="Y52">
        <v>407</v>
      </c>
      <c r="Z52">
        <v>732</v>
      </c>
      <c r="AA52">
        <v>280</v>
      </c>
      <c r="AB52" s="1">
        <v>2682</v>
      </c>
      <c r="AC52" s="1">
        <v>1040</v>
      </c>
      <c r="AD52">
        <v>146</v>
      </c>
      <c r="AE52">
        <v>13</v>
      </c>
      <c r="AF52">
        <v>573</v>
      </c>
      <c r="AG52">
        <v>18</v>
      </c>
    </row>
    <row r="53" spans="1:33" x14ac:dyDescent="0.3">
      <c r="A53" t="s">
        <v>33</v>
      </c>
      <c r="B53" t="s">
        <v>51</v>
      </c>
      <c r="C53" t="s">
        <v>32</v>
      </c>
      <c r="D53" s="1">
        <v>3106</v>
      </c>
      <c r="E53">
        <v>7</v>
      </c>
      <c r="F53">
        <v>183</v>
      </c>
      <c r="G53">
        <v>0</v>
      </c>
      <c r="H53">
        <v>50</v>
      </c>
      <c r="I53">
        <v>0</v>
      </c>
      <c r="J53">
        <v>4</v>
      </c>
      <c r="K53">
        <v>24</v>
      </c>
      <c r="L53">
        <v>160</v>
      </c>
      <c r="M53">
        <v>2</v>
      </c>
      <c r="N53">
        <v>20</v>
      </c>
      <c r="O53">
        <v>2</v>
      </c>
      <c r="P53">
        <v>299</v>
      </c>
      <c r="Q53">
        <v>33</v>
      </c>
      <c r="R53">
        <v>1</v>
      </c>
      <c r="S53">
        <v>0</v>
      </c>
      <c r="T53">
        <v>77</v>
      </c>
      <c r="U53">
        <v>317</v>
      </c>
      <c r="V53">
        <v>0</v>
      </c>
      <c r="W53">
        <v>25</v>
      </c>
      <c r="X53">
        <v>0</v>
      </c>
      <c r="Y53">
        <v>98</v>
      </c>
      <c r="Z53">
        <v>194</v>
      </c>
      <c r="AA53">
        <v>262</v>
      </c>
      <c r="AB53">
        <v>537</v>
      </c>
      <c r="AC53">
        <v>659</v>
      </c>
      <c r="AD53">
        <v>25</v>
      </c>
      <c r="AE53">
        <v>11</v>
      </c>
      <c r="AF53">
        <v>67</v>
      </c>
      <c r="AG53">
        <v>49</v>
      </c>
    </row>
    <row r="54" spans="1:33" x14ac:dyDescent="0.3">
      <c r="A54" t="s">
        <v>33</v>
      </c>
      <c r="B54" t="s">
        <v>51</v>
      </c>
      <c r="C54" t="s">
        <v>35</v>
      </c>
      <c r="D54" s="1">
        <v>1466</v>
      </c>
      <c r="E54">
        <v>2</v>
      </c>
      <c r="F54">
        <v>49</v>
      </c>
      <c r="G54">
        <v>0</v>
      </c>
      <c r="H54">
        <v>33</v>
      </c>
      <c r="I54">
        <v>0</v>
      </c>
      <c r="J54">
        <v>2</v>
      </c>
      <c r="K54">
        <v>22</v>
      </c>
      <c r="L54">
        <v>144</v>
      </c>
      <c r="M54">
        <v>2</v>
      </c>
      <c r="N54">
        <v>4</v>
      </c>
      <c r="O54">
        <v>2</v>
      </c>
      <c r="P54">
        <v>101</v>
      </c>
      <c r="Q54">
        <v>29</v>
      </c>
      <c r="R54">
        <v>1</v>
      </c>
      <c r="S54">
        <v>0</v>
      </c>
      <c r="T54">
        <v>60</v>
      </c>
      <c r="U54">
        <v>226</v>
      </c>
      <c r="V54">
        <v>0</v>
      </c>
      <c r="W54">
        <v>19</v>
      </c>
      <c r="X54">
        <v>0</v>
      </c>
      <c r="Y54">
        <v>52</v>
      </c>
      <c r="Z54">
        <v>91</v>
      </c>
      <c r="AA54">
        <v>88</v>
      </c>
      <c r="AB54">
        <v>254</v>
      </c>
      <c r="AC54">
        <v>207</v>
      </c>
      <c r="AD54">
        <v>12</v>
      </c>
      <c r="AE54">
        <v>5</v>
      </c>
      <c r="AF54">
        <v>30</v>
      </c>
      <c r="AG54">
        <v>31</v>
      </c>
    </row>
    <row r="55" spans="1:33" x14ac:dyDescent="0.3">
      <c r="A55" t="s">
        <v>33</v>
      </c>
      <c r="B55" t="s">
        <v>51</v>
      </c>
      <c r="C55" t="s">
        <v>36</v>
      </c>
      <c r="D55" s="1">
        <v>1640</v>
      </c>
      <c r="E55">
        <v>5</v>
      </c>
      <c r="F55">
        <v>134</v>
      </c>
      <c r="G55">
        <v>0</v>
      </c>
      <c r="H55">
        <v>17</v>
      </c>
      <c r="I55">
        <v>0</v>
      </c>
      <c r="J55">
        <v>2</v>
      </c>
      <c r="K55">
        <v>2</v>
      </c>
      <c r="L55">
        <v>16</v>
      </c>
      <c r="M55">
        <v>0</v>
      </c>
      <c r="N55">
        <v>16</v>
      </c>
      <c r="O55">
        <v>0</v>
      </c>
      <c r="P55">
        <v>198</v>
      </c>
      <c r="Q55">
        <v>4</v>
      </c>
      <c r="R55">
        <v>0</v>
      </c>
      <c r="S55">
        <v>0</v>
      </c>
      <c r="T55">
        <v>17</v>
      </c>
      <c r="U55">
        <v>91</v>
      </c>
      <c r="V55">
        <v>0</v>
      </c>
      <c r="W55">
        <v>6</v>
      </c>
      <c r="X55">
        <v>0</v>
      </c>
      <c r="Y55">
        <v>46</v>
      </c>
      <c r="Z55">
        <v>103</v>
      </c>
      <c r="AA55">
        <v>174</v>
      </c>
      <c r="AB55">
        <v>283</v>
      </c>
      <c r="AC55">
        <v>452</v>
      </c>
      <c r="AD55">
        <v>13</v>
      </c>
      <c r="AE55">
        <v>6</v>
      </c>
      <c r="AF55">
        <v>37</v>
      </c>
      <c r="AG55">
        <v>18</v>
      </c>
    </row>
    <row r="56" spans="1:33" x14ac:dyDescent="0.3">
      <c r="A56" t="s">
        <v>33</v>
      </c>
      <c r="B56" t="s">
        <v>52</v>
      </c>
      <c r="C56" t="s">
        <v>32</v>
      </c>
      <c r="D56" s="1">
        <v>12270</v>
      </c>
      <c r="E56">
        <v>0</v>
      </c>
      <c r="F56" s="1">
        <v>3429</v>
      </c>
      <c r="G56">
        <v>1</v>
      </c>
      <c r="H56" s="1">
        <v>1092</v>
      </c>
      <c r="I56">
        <v>0</v>
      </c>
      <c r="J56">
        <v>3</v>
      </c>
      <c r="K56">
        <v>6</v>
      </c>
      <c r="L56">
        <v>23</v>
      </c>
      <c r="M56">
        <v>3</v>
      </c>
      <c r="N56">
        <v>304</v>
      </c>
      <c r="O56">
        <v>92</v>
      </c>
      <c r="P56">
        <v>36</v>
      </c>
      <c r="Q56">
        <v>22</v>
      </c>
      <c r="R56">
        <v>1</v>
      </c>
      <c r="S56">
        <v>0</v>
      </c>
      <c r="T56">
        <v>2</v>
      </c>
      <c r="U56">
        <v>223</v>
      </c>
      <c r="V56">
        <v>0</v>
      </c>
      <c r="W56">
        <v>75</v>
      </c>
      <c r="X56">
        <v>0</v>
      </c>
      <c r="Y56">
        <v>410</v>
      </c>
      <c r="Z56">
        <v>655</v>
      </c>
      <c r="AA56">
        <v>412</v>
      </c>
      <c r="AB56" s="1">
        <v>2638</v>
      </c>
      <c r="AC56">
        <v>753</v>
      </c>
      <c r="AD56">
        <v>117</v>
      </c>
      <c r="AE56">
        <v>6</v>
      </c>
      <c r="AF56" s="1">
        <v>1653</v>
      </c>
      <c r="AG56">
        <v>314</v>
      </c>
    </row>
    <row r="57" spans="1:33" x14ac:dyDescent="0.3">
      <c r="A57" t="s">
        <v>33</v>
      </c>
      <c r="B57" t="s">
        <v>52</v>
      </c>
      <c r="C57" t="s">
        <v>35</v>
      </c>
      <c r="D57" s="1">
        <v>5743</v>
      </c>
      <c r="E57">
        <v>0</v>
      </c>
      <c r="F57" s="1">
        <v>1537</v>
      </c>
      <c r="G57">
        <v>1</v>
      </c>
      <c r="H57">
        <v>405</v>
      </c>
      <c r="I57">
        <v>0</v>
      </c>
      <c r="J57">
        <v>2</v>
      </c>
      <c r="K57">
        <v>4</v>
      </c>
      <c r="L57">
        <v>20</v>
      </c>
      <c r="M57">
        <v>3</v>
      </c>
      <c r="N57">
        <v>151</v>
      </c>
      <c r="O57">
        <v>73</v>
      </c>
      <c r="P57">
        <v>11</v>
      </c>
      <c r="Q57">
        <v>17</v>
      </c>
      <c r="R57">
        <v>1</v>
      </c>
      <c r="S57">
        <v>0</v>
      </c>
      <c r="T57">
        <v>2</v>
      </c>
      <c r="U57">
        <v>146</v>
      </c>
      <c r="V57">
        <v>0</v>
      </c>
      <c r="W57">
        <v>68</v>
      </c>
      <c r="X57">
        <v>0</v>
      </c>
      <c r="Y57">
        <v>153</v>
      </c>
      <c r="Z57">
        <v>261</v>
      </c>
      <c r="AA57">
        <v>131</v>
      </c>
      <c r="AB57" s="1">
        <v>1456</v>
      </c>
      <c r="AC57">
        <v>183</v>
      </c>
      <c r="AD57">
        <v>80</v>
      </c>
      <c r="AE57">
        <v>3</v>
      </c>
      <c r="AF57">
        <v>876</v>
      </c>
      <c r="AG57">
        <v>159</v>
      </c>
    </row>
    <row r="58" spans="1:33" x14ac:dyDescent="0.3">
      <c r="A58" t="s">
        <v>33</v>
      </c>
      <c r="B58" t="s">
        <v>52</v>
      </c>
      <c r="C58" t="s">
        <v>36</v>
      </c>
      <c r="D58" s="1">
        <v>6527</v>
      </c>
      <c r="E58">
        <v>0</v>
      </c>
      <c r="F58" s="1">
        <v>1892</v>
      </c>
      <c r="G58">
        <v>0</v>
      </c>
      <c r="H58">
        <v>687</v>
      </c>
      <c r="I58">
        <v>0</v>
      </c>
      <c r="J58">
        <v>1</v>
      </c>
      <c r="K58">
        <v>2</v>
      </c>
      <c r="L58">
        <v>3</v>
      </c>
      <c r="M58">
        <v>0</v>
      </c>
      <c r="N58">
        <v>153</v>
      </c>
      <c r="O58">
        <v>19</v>
      </c>
      <c r="P58">
        <v>25</v>
      </c>
      <c r="Q58">
        <v>5</v>
      </c>
      <c r="R58">
        <v>0</v>
      </c>
      <c r="S58">
        <v>0</v>
      </c>
      <c r="T58">
        <v>0</v>
      </c>
      <c r="U58">
        <v>77</v>
      </c>
      <c r="V58">
        <v>0</v>
      </c>
      <c r="W58">
        <v>7</v>
      </c>
      <c r="X58">
        <v>0</v>
      </c>
      <c r="Y58">
        <v>257</v>
      </c>
      <c r="Z58">
        <v>394</v>
      </c>
      <c r="AA58">
        <v>281</v>
      </c>
      <c r="AB58" s="1">
        <v>1182</v>
      </c>
      <c r="AC58">
        <v>570</v>
      </c>
      <c r="AD58">
        <v>37</v>
      </c>
      <c r="AE58">
        <v>3</v>
      </c>
      <c r="AF58">
        <v>777</v>
      </c>
      <c r="AG58">
        <v>155</v>
      </c>
    </row>
    <row r="59" spans="1:33" x14ac:dyDescent="0.3">
      <c r="A59" t="s">
        <v>33</v>
      </c>
      <c r="B59" t="s">
        <v>53</v>
      </c>
      <c r="C59" t="s">
        <v>32</v>
      </c>
      <c r="D59" s="1">
        <v>2871</v>
      </c>
      <c r="E59">
        <v>0</v>
      </c>
      <c r="F59">
        <v>210</v>
      </c>
      <c r="G59">
        <v>10</v>
      </c>
      <c r="H59">
        <v>136</v>
      </c>
      <c r="I59">
        <v>0</v>
      </c>
      <c r="J59">
        <v>3</v>
      </c>
      <c r="K59">
        <v>0</v>
      </c>
      <c r="L59">
        <v>11</v>
      </c>
      <c r="M59">
        <v>1</v>
      </c>
      <c r="N59">
        <v>29</v>
      </c>
      <c r="O59">
        <v>6</v>
      </c>
      <c r="P59">
        <v>17</v>
      </c>
      <c r="Q59">
        <v>5</v>
      </c>
      <c r="R59">
        <v>0</v>
      </c>
      <c r="S59">
        <v>0</v>
      </c>
      <c r="T59">
        <v>1</v>
      </c>
      <c r="U59">
        <v>92</v>
      </c>
      <c r="V59">
        <v>0</v>
      </c>
      <c r="W59">
        <v>336</v>
      </c>
      <c r="X59">
        <v>0</v>
      </c>
      <c r="Y59">
        <v>170</v>
      </c>
      <c r="Z59">
        <v>172</v>
      </c>
      <c r="AA59">
        <v>74</v>
      </c>
      <c r="AB59">
        <v>719</v>
      </c>
      <c r="AC59">
        <v>537</v>
      </c>
      <c r="AD59">
        <v>50</v>
      </c>
      <c r="AE59">
        <v>4</v>
      </c>
      <c r="AF59">
        <v>274</v>
      </c>
      <c r="AG59">
        <v>14</v>
      </c>
    </row>
    <row r="60" spans="1:33" x14ac:dyDescent="0.3">
      <c r="A60" t="s">
        <v>33</v>
      </c>
      <c r="B60" t="s">
        <v>53</v>
      </c>
      <c r="C60" t="s">
        <v>35</v>
      </c>
      <c r="D60" s="1">
        <v>1288</v>
      </c>
      <c r="E60">
        <v>0</v>
      </c>
      <c r="F60">
        <v>83</v>
      </c>
      <c r="G60">
        <v>4</v>
      </c>
      <c r="H60">
        <v>55</v>
      </c>
      <c r="I60">
        <v>0</v>
      </c>
      <c r="J60">
        <v>3</v>
      </c>
      <c r="K60">
        <v>0</v>
      </c>
      <c r="L60">
        <v>10</v>
      </c>
      <c r="M60">
        <v>1</v>
      </c>
      <c r="N60">
        <v>11</v>
      </c>
      <c r="O60">
        <v>6</v>
      </c>
      <c r="P60">
        <v>2</v>
      </c>
      <c r="Q60">
        <v>5</v>
      </c>
      <c r="R60">
        <v>0</v>
      </c>
      <c r="S60">
        <v>0</v>
      </c>
      <c r="T60">
        <v>0</v>
      </c>
      <c r="U60">
        <v>66</v>
      </c>
      <c r="V60">
        <v>0</v>
      </c>
      <c r="W60">
        <v>298</v>
      </c>
      <c r="X60">
        <v>0</v>
      </c>
      <c r="Y60">
        <v>58</v>
      </c>
      <c r="Z60">
        <v>74</v>
      </c>
      <c r="AA60">
        <v>20</v>
      </c>
      <c r="AB60">
        <v>335</v>
      </c>
      <c r="AC60">
        <v>92</v>
      </c>
      <c r="AD60">
        <v>31</v>
      </c>
      <c r="AE60">
        <v>1</v>
      </c>
      <c r="AF60">
        <v>122</v>
      </c>
      <c r="AG60">
        <v>11</v>
      </c>
    </row>
    <row r="61" spans="1:33" x14ac:dyDescent="0.3">
      <c r="A61" t="s">
        <v>33</v>
      </c>
      <c r="B61" t="s">
        <v>53</v>
      </c>
      <c r="C61" t="s">
        <v>36</v>
      </c>
      <c r="D61" s="1">
        <v>1583</v>
      </c>
      <c r="E61">
        <v>0</v>
      </c>
      <c r="F61">
        <v>127</v>
      </c>
      <c r="G61">
        <v>6</v>
      </c>
      <c r="H61">
        <v>81</v>
      </c>
      <c r="I61">
        <v>0</v>
      </c>
      <c r="J61">
        <v>0</v>
      </c>
      <c r="K61">
        <v>0</v>
      </c>
      <c r="L61">
        <v>1</v>
      </c>
      <c r="M61">
        <v>0</v>
      </c>
      <c r="N61">
        <v>18</v>
      </c>
      <c r="O61">
        <v>0</v>
      </c>
      <c r="P61">
        <v>15</v>
      </c>
      <c r="Q61">
        <v>0</v>
      </c>
      <c r="R61">
        <v>0</v>
      </c>
      <c r="S61">
        <v>0</v>
      </c>
      <c r="T61">
        <v>1</v>
      </c>
      <c r="U61">
        <v>26</v>
      </c>
      <c r="V61">
        <v>0</v>
      </c>
      <c r="W61">
        <v>38</v>
      </c>
      <c r="X61">
        <v>0</v>
      </c>
      <c r="Y61">
        <v>112</v>
      </c>
      <c r="Z61">
        <v>98</v>
      </c>
      <c r="AA61">
        <v>54</v>
      </c>
      <c r="AB61">
        <v>384</v>
      </c>
      <c r="AC61">
        <v>445</v>
      </c>
      <c r="AD61">
        <v>19</v>
      </c>
      <c r="AE61">
        <v>3</v>
      </c>
      <c r="AF61">
        <v>152</v>
      </c>
      <c r="AG61">
        <v>3</v>
      </c>
    </row>
    <row r="62" spans="1:33" x14ac:dyDescent="0.3">
      <c r="A62" t="s">
        <v>33</v>
      </c>
      <c r="B62" t="s">
        <v>54</v>
      </c>
      <c r="C62" t="s">
        <v>32</v>
      </c>
      <c r="D62" s="1">
        <v>10762</v>
      </c>
      <c r="E62">
        <v>0</v>
      </c>
      <c r="F62">
        <v>536</v>
      </c>
      <c r="G62">
        <v>8</v>
      </c>
      <c r="H62">
        <v>126</v>
      </c>
      <c r="I62">
        <v>0</v>
      </c>
      <c r="J62">
        <v>3</v>
      </c>
      <c r="K62">
        <v>2</v>
      </c>
      <c r="L62">
        <v>26</v>
      </c>
      <c r="M62">
        <v>7</v>
      </c>
      <c r="N62">
        <v>80</v>
      </c>
      <c r="O62">
        <v>6</v>
      </c>
      <c r="P62">
        <v>35</v>
      </c>
      <c r="Q62">
        <v>15</v>
      </c>
      <c r="R62">
        <v>0</v>
      </c>
      <c r="S62">
        <v>0</v>
      </c>
      <c r="T62">
        <v>4</v>
      </c>
      <c r="U62">
        <v>149</v>
      </c>
      <c r="V62">
        <v>2</v>
      </c>
      <c r="W62">
        <v>377</v>
      </c>
      <c r="X62">
        <v>0</v>
      </c>
      <c r="Y62">
        <v>668</v>
      </c>
      <c r="Z62">
        <v>944</v>
      </c>
      <c r="AA62">
        <v>436</v>
      </c>
      <c r="AB62" s="1">
        <v>4237</v>
      </c>
      <c r="AC62" s="1">
        <v>1311</v>
      </c>
      <c r="AD62">
        <v>251</v>
      </c>
      <c r="AE62">
        <v>12</v>
      </c>
      <c r="AF62" s="1">
        <v>1468</v>
      </c>
      <c r="AG62">
        <v>59</v>
      </c>
    </row>
    <row r="63" spans="1:33" x14ac:dyDescent="0.3">
      <c r="A63" t="s">
        <v>33</v>
      </c>
      <c r="B63" t="s">
        <v>54</v>
      </c>
      <c r="C63" t="s">
        <v>35</v>
      </c>
      <c r="D63" s="1">
        <v>5353</v>
      </c>
      <c r="E63">
        <v>0</v>
      </c>
      <c r="F63">
        <v>247</v>
      </c>
      <c r="G63">
        <v>7</v>
      </c>
      <c r="H63">
        <v>43</v>
      </c>
      <c r="I63">
        <v>0</v>
      </c>
      <c r="J63">
        <v>3</v>
      </c>
      <c r="K63">
        <v>1</v>
      </c>
      <c r="L63">
        <v>18</v>
      </c>
      <c r="M63">
        <v>4</v>
      </c>
      <c r="N63">
        <v>37</v>
      </c>
      <c r="O63">
        <v>4</v>
      </c>
      <c r="P63">
        <v>7</v>
      </c>
      <c r="Q63">
        <v>10</v>
      </c>
      <c r="R63">
        <v>0</v>
      </c>
      <c r="S63">
        <v>0</v>
      </c>
      <c r="T63">
        <v>2</v>
      </c>
      <c r="U63">
        <v>126</v>
      </c>
      <c r="V63">
        <v>1</v>
      </c>
      <c r="W63">
        <v>316</v>
      </c>
      <c r="X63">
        <v>0</v>
      </c>
      <c r="Y63">
        <v>257</v>
      </c>
      <c r="Z63">
        <v>354</v>
      </c>
      <c r="AA63">
        <v>165</v>
      </c>
      <c r="AB63" s="1">
        <v>2410</v>
      </c>
      <c r="AC63">
        <v>316</v>
      </c>
      <c r="AD63">
        <v>183</v>
      </c>
      <c r="AE63">
        <v>2</v>
      </c>
      <c r="AF63">
        <v>797</v>
      </c>
      <c r="AG63">
        <v>43</v>
      </c>
    </row>
    <row r="64" spans="1:33" x14ac:dyDescent="0.3">
      <c r="A64" t="s">
        <v>33</v>
      </c>
      <c r="B64" t="s">
        <v>54</v>
      </c>
      <c r="C64" t="s">
        <v>36</v>
      </c>
      <c r="D64" s="1">
        <v>5409</v>
      </c>
      <c r="E64">
        <v>0</v>
      </c>
      <c r="F64">
        <v>289</v>
      </c>
      <c r="G64">
        <v>1</v>
      </c>
      <c r="H64">
        <v>83</v>
      </c>
      <c r="I64">
        <v>0</v>
      </c>
      <c r="J64">
        <v>0</v>
      </c>
      <c r="K64">
        <v>1</v>
      </c>
      <c r="L64">
        <v>8</v>
      </c>
      <c r="M64">
        <v>3</v>
      </c>
      <c r="N64">
        <v>43</v>
      </c>
      <c r="O64">
        <v>2</v>
      </c>
      <c r="P64">
        <v>28</v>
      </c>
      <c r="Q64">
        <v>5</v>
      </c>
      <c r="R64">
        <v>0</v>
      </c>
      <c r="S64">
        <v>0</v>
      </c>
      <c r="T64">
        <v>2</v>
      </c>
      <c r="U64">
        <v>23</v>
      </c>
      <c r="V64">
        <v>1</v>
      </c>
      <c r="W64">
        <v>61</v>
      </c>
      <c r="X64">
        <v>0</v>
      </c>
      <c r="Y64">
        <v>411</v>
      </c>
      <c r="Z64">
        <v>590</v>
      </c>
      <c r="AA64">
        <v>271</v>
      </c>
      <c r="AB64" s="1">
        <v>1827</v>
      </c>
      <c r="AC64">
        <v>995</v>
      </c>
      <c r="AD64">
        <v>68</v>
      </c>
      <c r="AE64">
        <v>10</v>
      </c>
      <c r="AF64">
        <v>671</v>
      </c>
      <c r="AG64">
        <v>16</v>
      </c>
    </row>
    <row r="65" spans="1:33" x14ac:dyDescent="0.3">
      <c r="A65" t="s">
        <v>33</v>
      </c>
      <c r="B65" t="s">
        <v>55</v>
      </c>
      <c r="C65" t="s">
        <v>32</v>
      </c>
      <c r="D65" s="1">
        <v>9505</v>
      </c>
      <c r="E65">
        <v>0</v>
      </c>
      <c r="F65" s="1">
        <v>3125</v>
      </c>
      <c r="G65">
        <v>2</v>
      </c>
      <c r="H65" s="1">
        <v>1174</v>
      </c>
      <c r="I65">
        <v>0</v>
      </c>
      <c r="J65">
        <v>1</v>
      </c>
      <c r="K65">
        <v>33</v>
      </c>
      <c r="L65">
        <v>47</v>
      </c>
      <c r="M65">
        <v>10</v>
      </c>
      <c r="N65">
        <v>309</v>
      </c>
      <c r="O65">
        <v>18</v>
      </c>
      <c r="P65">
        <v>235</v>
      </c>
      <c r="Q65">
        <v>178</v>
      </c>
      <c r="R65">
        <v>0</v>
      </c>
      <c r="S65">
        <v>0</v>
      </c>
      <c r="T65">
        <v>2</v>
      </c>
      <c r="U65">
        <v>352</v>
      </c>
      <c r="V65">
        <v>1</v>
      </c>
      <c r="W65">
        <v>213</v>
      </c>
      <c r="X65">
        <v>0</v>
      </c>
      <c r="Y65">
        <v>158</v>
      </c>
      <c r="Z65">
        <v>452</v>
      </c>
      <c r="AA65">
        <v>584</v>
      </c>
      <c r="AB65" s="1">
        <v>1319</v>
      </c>
      <c r="AC65">
        <v>672</v>
      </c>
      <c r="AD65">
        <v>193</v>
      </c>
      <c r="AE65">
        <v>14</v>
      </c>
      <c r="AF65">
        <v>328</v>
      </c>
      <c r="AG65">
        <v>85</v>
      </c>
    </row>
    <row r="66" spans="1:33" x14ac:dyDescent="0.3">
      <c r="A66" t="s">
        <v>33</v>
      </c>
      <c r="B66" t="s">
        <v>55</v>
      </c>
      <c r="C66" t="s">
        <v>35</v>
      </c>
      <c r="D66" s="1">
        <v>4450</v>
      </c>
      <c r="E66">
        <v>0</v>
      </c>
      <c r="F66" s="1">
        <v>1446</v>
      </c>
      <c r="G66">
        <v>1</v>
      </c>
      <c r="H66">
        <v>447</v>
      </c>
      <c r="I66">
        <v>0</v>
      </c>
      <c r="J66">
        <v>1</v>
      </c>
      <c r="K66">
        <v>26</v>
      </c>
      <c r="L66">
        <v>38</v>
      </c>
      <c r="M66">
        <v>9</v>
      </c>
      <c r="N66">
        <v>118</v>
      </c>
      <c r="O66">
        <v>13</v>
      </c>
      <c r="P66">
        <v>66</v>
      </c>
      <c r="Q66">
        <v>156</v>
      </c>
      <c r="R66">
        <v>0</v>
      </c>
      <c r="S66">
        <v>0</v>
      </c>
      <c r="T66">
        <v>0</v>
      </c>
      <c r="U66">
        <v>266</v>
      </c>
      <c r="V66">
        <v>0</v>
      </c>
      <c r="W66">
        <v>183</v>
      </c>
      <c r="X66">
        <v>0</v>
      </c>
      <c r="Y66">
        <v>51</v>
      </c>
      <c r="Z66">
        <v>198</v>
      </c>
      <c r="AA66">
        <v>190</v>
      </c>
      <c r="AB66">
        <v>710</v>
      </c>
      <c r="AC66">
        <v>151</v>
      </c>
      <c r="AD66">
        <v>146</v>
      </c>
      <c r="AE66">
        <v>2</v>
      </c>
      <c r="AF66">
        <v>167</v>
      </c>
      <c r="AG66">
        <v>65</v>
      </c>
    </row>
    <row r="67" spans="1:33" x14ac:dyDescent="0.3">
      <c r="A67" t="s">
        <v>33</v>
      </c>
      <c r="B67" t="s">
        <v>55</v>
      </c>
      <c r="C67" t="s">
        <v>36</v>
      </c>
      <c r="D67" s="1">
        <v>5055</v>
      </c>
      <c r="E67">
        <v>0</v>
      </c>
      <c r="F67" s="1">
        <v>1679</v>
      </c>
      <c r="G67">
        <v>1</v>
      </c>
      <c r="H67">
        <v>727</v>
      </c>
      <c r="I67">
        <v>0</v>
      </c>
      <c r="J67">
        <v>0</v>
      </c>
      <c r="K67">
        <v>7</v>
      </c>
      <c r="L67">
        <v>9</v>
      </c>
      <c r="M67">
        <v>1</v>
      </c>
      <c r="N67">
        <v>191</v>
      </c>
      <c r="O67">
        <v>5</v>
      </c>
      <c r="P67">
        <v>169</v>
      </c>
      <c r="Q67">
        <v>22</v>
      </c>
      <c r="R67">
        <v>0</v>
      </c>
      <c r="S67">
        <v>0</v>
      </c>
      <c r="T67">
        <v>2</v>
      </c>
      <c r="U67">
        <v>86</v>
      </c>
      <c r="V67">
        <v>1</v>
      </c>
      <c r="W67">
        <v>30</v>
      </c>
      <c r="X67">
        <v>0</v>
      </c>
      <c r="Y67">
        <v>107</v>
      </c>
      <c r="Z67">
        <v>254</v>
      </c>
      <c r="AA67">
        <v>394</v>
      </c>
      <c r="AB67">
        <v>609</v>
      </c>
      <c r="AC67">
        <v>521</v>
      </c>
      <c r="AD67">
        <v>47</v>
      </c>
      <c r="AE67">
        <v>12</v>
      </c>
      <c r="AF67">
        <v>161</v>
      </c>
      <c r="AG67">
        <v>20</v>
      </c>
    </row>
    <row r="68" spans="1:33" x14ac:dyDescent="0.3">
      <c r="A68" t="s">
        <v>33</v>
      </c>
      <c r="B68" t="s">
        <v>56</v>
      </c>
      <c r="C68" t="s">
        <v>32</v>
      </c>
      <c r="D68" s="1">
        <v>7890</v>
      </c>
      <c r="E68">
        <v>0</v>
      </c>
      <c r="F68" s="1">
        <v>1788</v>
      </c>
      <c r="G68">
        <v>2</v>
      </c>
      <c r="H68" s="1">
        <v>1096</v>
      </c>
      <c r="I68">
        <v>0</v>
      </c>
      <c r="J68">
        <v>6</v>
      </c>
      <c r="K68">
        <v>1</v>
      </c>
      <c r="L68">
        <v>15</v>
      </c>
      <c r="M68">
        <v>3</v>
      </c>
      <c r="N68">
        <v>158</v>
      </c>
      <c r="O68">
        <v>16</v>
      </c>
      <c r="P68">
        <v>57</v>
      </c>
      <c r="Q68">
        <v>144</v>
      </c>
      <c r="R68">
        <v>0</v>
      </c>
      <c r="S68">
        <v>0</v>
      </c>
      <c r="T68">
        <v>26</v>
      </c>
      <c r="U68">
        <v>56</v>
      </c>
      <c r="V68">
        <v>0</v>
      </c>
      <c r="W68">
        <v>43</v>
      </c>
      <c r="X68">
        <v>0</v>
      </c>
      <c r="Y68">
        <v>296</v>
      </c>
      <c r="Z68">
        <v>470</v>
      </c>
      <c r="AA68">
        <v>323</v>
      </c>
      <c r="AB68" s="1">
        <v>1899</v>
      </c>
      <c r="AC68">
        <v>674</v>
      </c>
      <c r="AD68">
        <v>119</v>
      </c>
      <c r="AE68">
        <v>8</v>
      </c>
      <c r="AF68">
        <v>656</v>
      </c>
      <c r="AG68">
        <v>34</v>
      </c>
    </row>
    <row r="69" spans="1:33" x14ac:dyDescent="0.3">
      <c r="A69" t="s">
        <v>33</v>
      </c>
      <c r="B69" t="s">
        <v>56</v>
      </c>
      <c r="C69" t="s">
        <v>35</v>
      </c>
      <c r="D69" s="1">
        <v>3883</v>
      </c>
      <c r="E69">
        <v>0</v>
      </c>
      <c r="F69">
        <v>920</v>
      </c>
      <c r="G69">
        <v>1</v>
      </c>
      <c r="H69">
        <v>577</v>
      </c>
      <c r="I69">
        <v>0</v>
      </c>
      <c r="J69">
        <v>3</v>
      </c>
      <c r="K69">
        <v>1</v>
      </c>
      <c r="L69">
        <v>10</v>
      </c>
      <c r="M69">
        <v>3</v>
      </c>
      <c r="N69">
        <v>51</v>
      </c>
      <c r="O69">
        <v>13</v>
      </c>
      <c r="P69">
        <v>20</v>
      </c>
      <c r="Q69">
        <v>105</v>
      </c>
      <c r="R69">
        <v>0</v>
      </c>
      <c r="S69">
        <v>0</v>
      </c>
      <c r="T69">
        <v>22</v>
      </c>
      <c r="U69">
        <v>41</v>
      </c>
      <c r="V69">
        <v>0</v>
      </c>
      <c r="W69">
        <v>37</v>
      </c>
      <c r="X69">
        <v>0</v>
      </c>
      <c r="Y69">
        <v>122</v>
      </c>
      <c r="Z69">
        <v>191</v>
      </c>
      <c r="AA69">
        <v>115</v>
      </c>
      <c r="AB69" s="1">
        <v>1032</v>
      </c>
      <c r="AC69">
        <v>154</v>
      </c>
      <c r="AD69">
        <v>76</v>
      </c>
      <c r="AE69">
        <v>2</v>
      </c>
      <c r="AF69">
        <v>364</v>
      </c>
      <c r="AG69">
        <v>23</v>
      </c>
    </row>
    <row r="70" spans="1:33" x14ac:dyDescent="0.3">
      <c r="A70" t="s">
        <v>33</v>
      </c>
      <c r="B70" t="s">
        <v>56</v>
      </c>
      <c r="C70" t="s">
        <v>36</v>
      </c>
      <c r="D70" s="1">
        <v>4007</v>
      </c>
      <c r="E70">
        <v>0</v>
      </c>
      <c r="F70">
        <v>868</v>
      </c>
      <c r="G70">
        <v>1</v>
      </c>
      <c r="H70">
        <v>519</v>
      </c>
      <c r="I70">
        <v>0</v>
      </c>
      <c r="J70">
        <v>3</v>
      </c>
      <c r="K70">
        <v>0</v>
      </c>
      <c r="L70">
        <v>5</v>
      </c>
      <c r="M70">
        <v>0</v>
      </c>
      <c r="N70">
        <v>107</v>
      </c>
      <c r="O70">
        <v>3</v>
      </c>
      <c r="P70">
        <v>37</v>
      </c>
      <c r="Q70">
        <v>39</v>
      </c>
      <c r="R70">
        <v>0</v>
      </c>
      <c r="S70">
        <v>0</v>
      </c>
      <c r="T70">
        <v>4</v>
      </c>
      <c r="U70">
        <v>15</v>
      </c>
      <c r="V70">
        <v>0</v>
      </c>
      <c r="W70">
        <v>6</v>
      </c>
      <c r="X70">
        <v>0</v>
      </c>
      <c r="Y70">
        <v>174</v>
      </c>
      <c r="Z70">
        <v>279</v>
      </c>
      <c r="AA70">
        <v>208</v>
      </c>
      <c r="AB70">
        <v>867</v>
      </c>
      <c r="AC70">
        <v>520</v>
      </c>
      <c r="AD70">
        <v>43</v>
      </c>
      <c r="AE70">
        <v>6</v>
      </c>
      <c r="AF70">
        <v>292</v>
      </c>
      <c r="AG70">
        <v>11</v>
      </c>
    </row>
    <row r="71" spans="1:33" x14ac:dyDescent="0.3">
      <c r="A71" t="s">
        <v>33</v>
      </c>
      <c r="B71" t="s">
        <v>57</v>
      </c>
      <c r="C71" t="s">
        <v>32</v>
      </c>
      <c r="D71" s="1">
        <v>12659</v>
      </c>
      <c r="E71">
        <v>0</v>
      </c>
      <c r="F71">
        <v>819</v>
      </c>
      <c r="G71">
        <v>0</v>
      </c>
      <c r="H71">
        <v>297</v>
      </c>
      <c r="I71">
        <v>0</v>
      </c>
      <c r="J71">
        <v>5</v>
      </c>
      <c r="K71">
        <v>28</v>
      </c>
      <c r="L71">
        <v>67</v>
      </c>
      <c r="M71">
        <v>7</v>
      </c>
      <c r="N71">
        <v>137</v>
      </c>
      <c r="O71">
        <v>7</v>
      </c>
      <c r="P71">
        <v>52</v>
      </c>
      <c r="Q71">
        <v>33</v>
      </c>
      <c r="R71">
        <v>0</v>
      </c>
      <c r="S71">
        <v>0</v>
      </c>
      <c r="T71">
        <v>8</v>
      </c>
      <c r="U71">
        <v>134</v>
      </c>
      <c r="V71">
        <v>0</v>
      </c>
      <c r="W71">
        <v>69</v>
      </c>
      <c r="X71">
        <v>0</v>
      </c>
      <c r="Y71">
        <v>608</v>
      </c>
      <c r="Z71" s="1">
        <v>1122</v>
      </c>
      <c r="AA71">
        <v>508</v>
      </c>
      <c r="AB71" s="1">
        <v>5090</v>
      </c>
      <c r="AC71">
        <v>964</v>
      </c>
      <c r="AD71">
        <v>299</v>
      </c>
      <c r="AE71">
        <v>15</v>
      </c>
      <c r="AF71" s="1">
        <v>2286</v>
      </c>
      <c r="AG71">
        <v>104</v>
      </c>
    </row>
    <row r="72" spans="1:33" x14ac:dyDescent="0.3">
      <c r="A72" t="s">
        <v>33</v>
      </c>
      <c r="B72" t="s">
        <v>57</v>
      </c>
      <c r="C72" t="s">
        <v>35</v>
      </c>
      <c r="D72" s="1">
        <v>6482</v>
      </c>
      <c r="E72">
        <v>0</v>
      </c>
      <c r="F72">
        <v>357</v>
      </c>
      <c r="G72">
        <v>0</v>
      </c>
      <c r="H72">
        <v>82</v>
      </c>
      <c r="I72">
        <v>0</v>
      </c>
      <c r="J72">
        <v>1</v>
      </c>
      <c r="K72">
        <v>25</v>
      </c>
      <c r="L72">
        <v>52</v>
      </c>
      <c r="M72">
        <v>5</v>
      </c>
      <c r="N72">
        <v>69</v>
      </c>
      <c r="O72">
        <v>4</v>
      </c>
      <c r="P72">
        <v>15</v>
      </c>
      <c r="Q72">
        <v>24</v>
      </c>
      <c r="R72">
        <v>0</v>
      </c>
      <c r="S72">
        <v>0</v>
      </c>
      <c r="T72">
        <v>3</v>
      </c>
      <c r="U72">
        <v>109</v>
      </c>
      <c r="V72">
        <v>0</v>
      </c>
      <c r="W72">
        <v>57</v>
      </c>
      <c r="X72">
        <v>0</v>
      </c>
      <c r="Y72">
        <v>212</v>
      </c>
      <c r="Z72">
        <v>443</v>
      </c>
      <c r="AA72">
        <v>191</v>
      </c>
      <c r="AB72" s="1">
        <v>2921</v>
      </c>
      <c r="AC72">
        <v>310</v>
      </c>
      <c r="AD72">
        <v>216</v>
      </c>
      <c r="AE72">
        <v>0</v>
      </c>
      <c r="AF72" s="1">
        <v>1302</v>
      </c>
      <c r="AG72">
        <v>84</v>
      </c>
    </row>
    <row r="73" spans="1:33" x14ac:dyDescent="0.3">
      <c r="A73" t="s">
        <v>33</v>
      </c>
      <c r="B73" t="s">
        <v>57</v>
      </c>
      <c r="C73" t="s">
        <v>36</v>
      </c>
      <c r="D73" s="1">
        <v>6177</v>
      </c>
      <c r="E73">
        <v>0</v>
      </c>
      <c r="F73">
        <v>462</v>
      </c>
      <c r="G73">
        <v>0</v>
      </c>
      <c r="H73">
        <v>215</v>
      </c>
      <c r="I73">
        <v>0</v>
      </c>
      <c r="J73">
        <v>4</v>
      </c>
      <c r="K73">
        <v>3</v>
      </c>
      <c r="L73">
        <v>15</v>
      </c>
      <c r="M73">
        <v>2</v>
      </c>
      <c r="N73">
        <v>68</v>
      </c>
      <c r="O73">
        <v>3</v>
      </c>
      <c r="P73">
        <v>37</v>
      </c>
      <c r="Q73">
        <v>9</v>
      </c>
      <c r="R73">
        <v>0</v>
      </c>
      <c r="S73">
        <v>0</v>
      </c>
      <c r="T73">
        <v>5</v>
      </c>
      <c r="U73">
        <v>25</v>
      </c>
      <c r="V73">
        <v>0</v>
      </c>
      <c r="W73">
        <v>12</v>
      </c>
      <c r="X73">
        <v>0</v>
      </c>
      <c r="Y73">
        <v>396</v>
      </c>
      <c r="Z73">
        <v>679</v>
      </c>
      <c r="AA73">
        <v>317</v>
      </c>
      <c r="AB73" s="1">
        <v>2169</v>
      </c>
      <c r="AC73">
        <v>654</v>
      </c>
      <c r="AD73">
        <v>83</v>
      </c>
      <c r="AE73">
        <v>15</v>
      </c>
      <c r="AF73">
        <v>984</v>
      </c>
      <c r="AG73">
        <v>20</v>
      </c>
    </row>
    <row r="74" spans="1:33" x14ac:dyDescent="0.3">
      <c r="A74" t="s">
        <v>33</v>
      </c>
      <c r="B74" t="s">
        <v>58</v>
      </c>
      <c r="C74" t="s">
        <v>32</v>
      </c>
      <c r="D74" s="1">
        <v>42178</v>
      </c>
      <c r="E74">
        <v>0</v>
      </c>
      <c r="F74" s="1">
        <v>1436</v>
      </c>
      <c r="G74">
        <v>12</v>
      </c>
      <c r="H74">
        <v>926</v>
      </c>
      <c r="I74">
        <v>0</v>
      </c>
      <c r="J74">
        <v>19</v>
      </c>
      <c r="K74">
        <v>1</v>
      </c>
      <c r="L74">
        <v>120</v>
      </c>
      <c r="M74">
        <v>15</v>
      </c>
      <c r="N74">
        <v>279</v>
      </c>
      <c r="O74">
        <v>11</v>
      </c>
      <c r="P74">
        <v>49</v>
      </c>
      <c r="Q74">
        <v>5</v>
      </c>
      <c r="R74">
        <v>0</v>
      </c>
      <c r="S74">
        <v>0</v>
      </c>
      <c r="T74">
        <v>12</v>
      </c>
      <c r="U74" s="1">
        <v>1580</v>
      </c>
      <c r="V74">
        <v>1</v>
      </c>
      <c r="W74" s="1">
        <v>6541</v>
      </c>
      <c r="X74">
        <v>0</v>
      </c>
      <c r="Y74" s="1">
        <v>2477</v>
      </c>
      <c r="Z74" s="1">
        <v>3230</v>
      </c>
      <c r="AA74" s="1">
        <v>2707</v>
      </c>
      <c r="AB74" s="1">
        <v>11534</v>
      </c>
      <c r="AC74" s="1">
        <v>3425</v>
      </c>
      <c r="AD74" s="1">
        <v>1217</v>
      </c>
      <c r="AE74">
        <v>15</v>
      </c>
      <c r="AF74" s="1">
        <v>6354</v>
      </c>
      <c r="AG74">
        <v>212</v>
      </c>
    </row>
    <row r="75" spans="1:33" x14ac:dyDescent="0.3">
      <c r="A75" t="s">
        <v>33</v>
      </c>
      <c r="B75" t="s">
        <v>58</v>
      </c>
      <c r="C75" t="s">
        <v>35</v>
      </c>
      <c r="D75" s="1">
        <v>25186</v>
      </c>
      <c r="E75">
        <v>0</v>
      </c>
      <c r="F75">
        <v>727</v>
      </c>
      <c r="G75">
        <v>11</v>
      </c>
      <c r="H75">
        <v>548</v>
      </c>
      <c r="I75">
        <v>0</v>
      </c>
      <c r="J75">
        <v>13</v>
      </c>
      <c r="K75">
        <v>0</v>
      </c>
      <c r="L75">
        <v>93</v>
      </c>
      <c r="M75">
        <v>12</v>
      </c>
      <c r="N75">
        <v>144</v>
      </c>
      <c r="O75">
        <v>8</v>
      </c>
      <c r="P75">
        <v>14</v>
      </c>
      <c r="Q75">
        <v>5</v>
      </c>
      <c r="R75">
        <v>0</v>
      </c>
      <c r="S75">
        <v>0</v>
      </c>
      <c r="T75">
        <v>8</v>
      </c>
      <c r="U75" s="1">
        <v>1511</v>
      </c>
      <c r="V75">
        <v>1</v>
      </c>
      <c r="W75" s="1">
        <v>6381</v>
      </c>
      <c r="X75">
        <v>0</v>
      </c>
      <c r="Y75">
        <v>987</v>
      </c>
      <c r="Z75" s="1">
        <v>1341</v>
      </c>
      <c r="AA75">
        <v>939</v>
      </c>
      <c r="AB75" s="1">
        <v>6878</v>
      </c>
      <c r="AC75">
        <v>933</v>
      </c>
      <c r="AD75">
        <v>729</v>
      </c>
      <c r="AE75">
        <v>3</v>
      </c>
      <c r="AF75" s="1">
        <v>3736</v>
      </c>
      <c r="AG75">
        <v>164</v>
      </c>
    </row>
    <row r="76" spans="1:33" x14ac:dyDescent="0.3">
      <c r="A76" t="s">
        <v>33</v>
      </c>
      <c r="B76" t="s">
        <v>58</v>
      </c>
      <c r="C76" t="s">
        <v>36</v>
      </c>
      <c r="D76" s="1">
        <v>16992</v>
      </c>
      <c r="E76">
        <v>0</v>
      </c>
      <c r="F76">
        <v>709</v>
      </c>
      <c r="G76">
        <v>1</v>
      </c>
      <c r="H76">
        <v>378</v>
      </c>
      <c r="I76">
        <v>0</v>
      </c>
      <c r="J76">
        <v>6</v>
      </c>
      <c r="K76">
        <v>1</v>
      </c>
      <c r="L76">
        <v>27</v>
      </c>
      <c r="M76">
        <v>3</v>
      </c>
      <c r="N76">
        <v>135</v>
      </c>
      <c r="O76">
        <v>3</v>
      </c>
      <c r="P76">
        <v>35</v>
      </c>
      <c r="Q76">
        <v>0</v>
      </c>
      <c r="R76">
        <v>0</v>
      </c>
      <c r="S76">
        <v>0</v>
      </c>
      <c r="T76">
        <v>4</v>
      </c>
      <c r="U76">
        <v>69</v>
      </c>
      <c r="V76">
        <v>0</v>
      </c>
      <c r="W76">
        <v>160</v>
      </c>
      <c r="X76">
        <v>0</v>
      </c>
      <c r="Y76" s="1">
        <v>1490</v>
      </c>
      <c r="Z76" s="1">
        <v>1889</v>
      </c>
      <c r="AA76" s="1">
        <v>1768</v>
      </c>
      <c r="AB76" s="1">
        <v>4656</v>
      </c>
      <c r="AC76" s="1">
        <v>2492</v>
      </c>
      <c r="AD76">
        <v>488</v>
      </c>
      <c r="AE76">
        <v>12</v>
      </c>
      <c r="AF76" s="1">
        <v>2618</v>
      </c>
      <c r="AG76">
        <v>48</v>
      </c>
    </row>
    <row r="77" spans="1:33" x14ac:dyDescent="0.3">
      <c r="A77" t="s">
        <v>33</v>
      </c>
      <c r="B77" t="s">
        <v>59</v>
      </c>
      <c r="C77" t="s">
        <v>32</v>
      </c>
      <c r="D77" s="1">
        <v>38303</v>
      </c>
      <c r="E77">
        <v>0</v>
      </c>
      <c r="F77">
        <v>675</v>
      </c>
      <c r="G77">
        <v>36</v>
      </c>
      <c r="H77">
        <v>242</v>
      </c>
      <c r="I77">
        <v>0</v>
      </c>
      <c r="J77">
        <v>17</v>
      </c>
      <c r="K77">
        <v>1</v>
      </c>
      <c r="L77">
        <v>97</v>
      </c>
      <c r="M77">
        <v>19</v>
      </c>
      <c r="N77">
        <v>184</v>
      </c>
      <c r="O77">
        <v>5</v>
      </c>
      <c r="P77">
        <v>40</v>
      </c>
      <c r="Q77">
        <v>8</v>
      </c>
      <c r="R77">
        <v>0</v>
      </c>
      <c r="S77">
        <v>0</v>
      </c>
      <c r="T77">
        <v>28</v>
      </c>
      <c r="U77" s="1">
        <v>1033</v>
      </c>
      <c r="V77">
        <v>2</v>
      </c>
      <c r="W77" s="1">
        <v>4616</v>
      </c>
      <c r="X77">
        <v>0</v>
      </c>
      <c r="Y77" s="1">
        <v>2927</v>
      </c>
      <c r="Z77" s="1">
        <v>2830</v>
      </c>
      <c r="AA77" s="1">
        <v>2753</v>
      </c>
      <c r="AB77" s="1">
        <v>10711</v>
      </c>
      <c r="AC77" s="1">
        <v>2399</v>
      </c>
      <c r="AD77" s="1">
        <v>2490</v>
      </c>
      <c r="AE77">
        <v>10</v>
      </c>
      <c r="AF77" s="1">
        <v>6678</v>
      </c>
      <c r="AG77">
        <v>502</v>
      </c>
    </row>
    <row r="78" spans="1:33" x14ac:dyDescent="0.3">
      <c r="A78" t="s">
        <v>33</v>
      </c>
      <c r="B78" t="s">
        <v>59</v>
      </c>
      <c r="C78" t="s">
        <v>35</v>
      </c>
      <c r="D78" s="1">
        <v>22528</v>
      </c>
      <c r="E78">
        <v>0</v>
      </c>
      <c r="F78">
        <v>337</v>
      </c>
      <c r="G78">
        <v>26</v>
      </c>
      <c r="H78">
        <v>120</v>
      </c>
      <c r="I78">
        <v>0</v>
      </c>
      <c r="J78">
        <v>13</v>
      </c>
      <c r="K78">
        <v>1</v>
      </c>
      <c r="L78">
        <v>81</v>
      </c>
      <c r="M78">
        <v>16</v>
      </c>
      <c r="N78">
        <v>120</v>
      </c>
      <c r="O78">
        <v>4</v>
      </c>
      <c r="P78">
        <v>11</v>
      </c>
      <c r="Q78">
        <v>6</v>
      </c>
      <c r="R78">
        <v>0</v>
      </c>
      <c r="S78">
        <v>0</v>
      </c>
      <c r="T78">
        <v>17</v>
      </c>
      <c r="U78">
        <v>979</v>
      </c>
      <c r="V78">
        <v>1</v>
      </c>
      <c r="W78" s="1">
        <v>4456</v>
      </c>
      <c r="X78">
        <v>0</v>
      </c>
      <c r="Y78" s="1">
        <v>1253</v>
      </c>
      <c r="Z78" s="1">
        <v>1135</v>
      </c>
      <c r="AA78" s="1">
        <v>1012</v>
      </c>
      <c r="AB78" s="1">
        <v>6070</v>
      </c>
      <c r="AC78">
        <v>760</v>
      </c>
      <c r="AD78" s="1">
        <v>1756</v>
      </c>
      <c r="AE78">
        <v>2</v>
      </c>
      <c r="AF78" s="1">
        <v>3949</v>
      </c>
      <c r="AG78">
        <v>403</v>
      </c>
    </row>
    <row r="79" spans="1:33" x14ac:dyDescent="0.3">
      <c r="A79" t="s">
        <v>33</v>
      </c>
      <c r="B79" t="s">
        <v>59</v>
      </c>
      <c r="C79" t="s">
        <v>36</v>
      </c>
      <c r="D79" s="1">
        <v>15775</v>
      </c>
      <c r="E79">
        <v>0</v>
      </c>
      <c r="F79">
        <v>338</v>
      </c>
      <c r="G79">
        <v>10</v>
      </c>
      <c r="H79">
        <v>122</v>
      </c>
      <c r="I79">
        <v>0</v>
      </c>
      <c r="J79">
        <v>4</v>
      </c>
      <c r="K79">
        <v>0</v>
      </c>
      <c r="L79">
        <v>16</v>
      </c>
      <c r="M79">
        <v>3</v>
      </c>
      <c r="N79">
        <v>64</v>
      </c>
      <c r="O79">
        <v>1</v>
      </c>
      <c r="P79">
        <v>29</v>
      </c>
      <c r="Q79">
        <v>2</v>
      </c>
      <c r="R79">
        <v>0</v>
      </c>
      <c r="S79">
        <v>0</v>
      </c>
      <c r="T79">
        <v>11</v>
      </c>
      <c r="U79">
        <v>54</v>
      </c>
      <c r="V79">
        <v>1</v>
      </c>
      <c r="W79">
        <v>160</v>
      </c>
      <c r="X79">
        <v>0</v>
      </c>
      <c r="Y79" s="1">
        <v>1674</v>
      </c>
      <c r="Z79" s="1">
        <v>1695</v>
      </c>
      <c r="AA79" s="1">
        <v>1741</v>
      </c>
      <c r="AB79" s="1">
        <v>4641</v>
      </c>
      <c r="AC79" s="1">
        <v>1639</v>
      </c>
      <c r="AD79">
        <v>734</v>
      </c>
      <c r="AE79">
        <v>8</v>
      </c>
      <c r="AF79" s="1">
        <v>2729</v>
      </c>
      <c r="AG79">
        <v>99</v>
      </c>
    </row>
    <row r="80" spans="1:33" x14ac:dyDescent="0.3">
      <c r="A80" t="s">
        <v>33</v>
      </c>
      <c r="B80" t="s">
        <v>60</v>
      </c>
      <c r="C80" t="s">
        <v>32</v>
      </c>
      <c r="D80" s="1">
        <v>16473</v>
      </c>
      <c r="E80">
        <v>0</v>
      </c>
      <c r="F80" s="1">
        <v>3216</v>
      </c>
      <c r="G80">
        <v>12</v>
      </c>
      <c r="H80">
        <v>536</v>
      </c>
      <c r="I80">
        <v>0</v>
      </c>
      <c r="J80">
        <v>6</v>
      </c>
      <c r="K80">
        <v>0</v>
      </c>
      <c r="L80">
        <v>28</v>
      </c>
      <c r="M80">
        <v>9</v>
      </c>
      <c r="N80">
        <v>113</v>
      </c>
      <c r="O80">
        <v>6</v>
      </c>
      <c r="P80">
        <v>15</v>
      </c>
      <c r="Q80">
        <v>37</v>
      </c>
      <c r="R80">
        <v>0</v>
      </c>
      <c r="S80">
        <v>0</v>
      </c>
      <c r="T80">
        <v>9</v>
      </c>
      <c r="U80">
        <v>145</v>
      </c>
      <c r="V80">
        <v>0</v>
      </c>
      <c r="W80">
        <v>524</v>
      </c>
      <c r="X80">
        <v>0</v>
      </c>
      <c r="Y80" s="1">
        <v>1487</v>
      </c>
      <c r="Z80" s="1">
        <v>1059</v>
      </c>
      <c r="AA80" s="1">
        <v>1137</v>
      </c>
      <c r="AB80" s="1">
        <v>4021</v>
      </c>
      <c r="AC80" s="1">
        <v>1446</v>
      </c>
      <c r="AD80">
        <v>733</v>
      </c>
      <c r="AE80">
        <v>1</v>
      </c>
      <c r="AF80" s="1">
        <v>1836</v>
      </c>
      <c r="AG80">
        <v>97</v>
      </c>
    </row>
    <row r="81" spans="1:33" x14ac:dyDescent="0.3">
      <c r="A81" t="s">
        <v>33</v>
      </c>
      <c r="B81" t="s">
        <v>60</v>
      </c>
      <c r="C81" t="s">
        <v>35</v>
      </c>
      <c r="D81" s="1">
        <v>8054</v>
      </c>
      <c r="E81">
        <v>0</v>
      </c>
      <c r="F81" s="1">
        <v>1405</v>
      </c>
      <c r="G81">
        <v>10</v>
      </c>
      <c r="H81">
        <v>212</v>
      </c>
      <c r="I81">
        <v>0</v>
      </c>
      <c r="J81">
        <v>4</v>
      </c>
      <c r="K81">
        <v>0</v>
      </c>
      <c r="L81">
        <v>22</v>
      </c>
      <c r="M81">
        <v>8</v>
      </c>
      <c r="N81">
        <v>46</v>
      </c>
      <c r="O81">
        <v>4</v>
      </c>
      <c r="P81">
        <v>3</v>
      </c>
      <c r="Q81">
        <v>29</v>
      </c>
      <c r="R81">
        <v>0</v>
      </c>
      <c r="S81">
        <v>0</v>
      </c>
      <c r="T81">
        <v>4</v>
      </c>
      <c r="U81">
        <v>126</v>
      </c>
      <c r="V81">
        <v>0</v>
      </c>
      <c r="W81">
        <v>502</v>
      </c>
      <c r="X81">
        <v>0</v>
      </c>
      <c r="Y81">
        <v>668</v>
      </c>
      <c r="Z81">
        <v>429</v>
      </c>
      <c r="AA81">
        <v>486</v>
      </c>
      <c r="AB81" s="1">
        <v>2223</v>
      </c>
      <c r="AC81">
        <v>321</v>
      </c>
      <c r="AD81">
        <v>509</v>
      </c>
      <c r="AE81">
        <v>0</v>
      </c>
      <c r="AF81">
        <v>973</v>
      </c>
      <c r="AG81">
        <v>70</v>
      </c>
    </row>
    <row r="82" spans="1:33" x14ac:dyDescent="0.3">
      <c r="A82" t="s">
        <v>33</v>
      </c>
      <c r="B82" t="s">
        <v>60</v>
      </c>
      <c r="C82" t="s">
        <v>36</v>
      </c>
      <c r="D82" s="1">
        <v>8419</v>
      </c>
      <c r="E82">
        <v>0</v>
      </c>
      <c r="F82" s="1">
        <v>1811</v>
      </c>
      <c r="G82">
        <v>2</v>
      </c>
      <c r="H82">
        <v>324</v>
      </c>
      <c r="I82">
        <v>0</v>
      </c>
      <c r="J82">
        <v>2</v>
      </c>
      <c r="K82">
        <v>0</v>
      </c>
      <c r="L82">
        <v>6</v>
      </c>
      <c r="M82">
        <v>1</v>
      </c>
      <c r="N82">
        <v>67</v>
      </c>
      <c r="O82">
        <v>2</v>
      </c>
      <c r="P82">
        <v>12</v>
      </c>
      <c r="Q82">
        <v>8</v>
      </c>
      <c r="R82">
        <v>0</v>
      </c>
      <c r="S82">
        <v>0</v>
      </c>
      <c r="T82">
        <v>5</v>
      </c>
      <c r="U82">
        <v>19</v>
      </c>
      <c r="V82">
        <v>0</v>
      </c>
      <c r="W82">
        <v>22</v>
      </c>
      <c r="X82">
        <v>0</v>
      </c>
      <c r="Y82">
        <v>819</v>
      </c>
      <c r="Z82">
        <v>630</v>
      </c>
      <c r="AA82">
        <v>651</v>
      </c>
      <c r="AB82" s="1">
        <v>1798</v>
      </c>
      <c r="AC82" s="1">
        <v>1125</v>
      </c>
      <c r="AD82">
        <v>224</v>
      </c>
      <c r="AE82">
        <v>1</v>
      </c>
      <c r="AF82">
        <v>863</v>
      </c>
      <c r="AG82">
        <v>27</v>
      </c>
    </row>
    <row r="83" spans="1:33" x14ac:dyDescent="0.3">
      <c r="A83" t="s">
        <v>33</v>
      </c>
      <c r="B83" t="s">
        <v>61</v>
      </c>
      <c r="C83" t="s">
        <v>32</v>
      </c>
      <c r="D83" s="1">
        <v>15448</v>
      </c>
      <c r="E83">
        <v>0</v>
      </c>
      <c r="F83" s="1">
        <v>1061</v>
      </c>
      <c r="G83">
        <v>3</v>
      </c>
      <c r="H83">
        <v>608</v>
      </c>
      <c r="I83">
        <v>0</v>
      </c>
      <c r="J83">
        <v>95</v>
      </c>
      <c r="K83">
        <v>1</v>
      </c>
      <c r="L83">
        <v>25</v>
      </c>
      <c r="M83">
        <v>15</v>
      </c>
      <c r="N83">
        <v>55</v>
      </c>
      <c r="O83">
        <v>3</v>
      </c>
      <c r="P83">
        <v>37</v>
      </c>
      <c r="Q83">
        <v>10</v>
      </c>
      <c r="R83">
        <v>0</v>
      </c>
      <c r="S83">
        <v>0</v>
      </c>
      <c r="T83">
        <v>0</v>
      </c>
      <c r="U83">
        <v>727</v>
      </c>
      <c r="V83">
        <v>53</v>
      </c>
      <c r="W83" s="1">
        <v>5798</v>
      </c>
      <c r="X83">
        <v>0</v>
      </c>
      <c r="Y83" s="1">
        <v>1103</v>
      </c>
      <c r="Z83">
        <v>531</v>
      </c>
      <c r="AA83">
        <v>906</v>
      </c>
      <c r="AB83" s="1">
        <v>1815</v>
      </c>
      <c r="AC83">
        <v>919</v>
      </c>
      <c r="AD83">
        <v>574</v>
      </c>
      <c r="AE83">
        <v>3</v>
      </c>
      <c r="AF83" s="1">
        <v>1032</v>
      </c>
      <c r="AG83">
        <v>74</v>
      </c>
    </row>
    <row r="84" spans="1:33" x14ac:dyDescent="0.3">
      <c r="A84" t="s">
        <v>33</v>
      </c>
      <c r="B84" t="s">
        <v>61</v>
      </c>
      <c r="C84" t="s">
        <v>35</v>
      </c>
      <c r="D84" s="1">
        <v>10082</v>
      </c>
      <c r="E84">
        <v>0</v>
      </c>
      <c r="F84">
        <v>556</v>
      </c>
      <c r="G84">
        <v>2</v>
      </c>
      <c r="H84">
        <v>299</v>
      </c>
      <c r="I84">
        <v>0</v>
      </c>
      <c r="J84">
        <v>34</v>
      </c>
      <c r="K84">
        <v>1</v>
      </c>
      <c r="L84">
        <v>19</v>
      </c>
      <c r="M84">
        <v>14</v>
      </c>
      <c r="N84">
        <v>31</v>
      </c>
      <c r="O84">
        <v>2</v>
      </c>
      <c r="P84">
        <v>15</v>
      </c>
      <c r="Q84">
        <v>8</v>
      </c>
      <c r="R84">
        <v>0</v>
      </c>
      <c r="S84">
        <v>0</v>
      </c>
      <c r="T84">
        <v>0</v>
      </c>
      <c r="U84">
        <v>688</v>
      </c>
      <c r="V84">
        <v>26</v>
      </c>
      <c r="W84" s="1">
        <v>5138</v>
      </c>
      <c r="X84">
        <v>0</v>
      </c>
      <c r="Y84">
        <v>460</v>
      </c>
      <c r="Z84">
        <v>201</v>
      </c>
      <c r="AA84">
        <v>355</v>
      </c>
      <c r="AB84" s="1">
        <v>1019</v>
      </c>
      <c r="AC84">
        <v>171</v>
      </c>
      <c r="AD84">
        <v>423</v>
      </c>
      <c r="AE84">
        <v>1</v>
      </c>
      <c r="AF84">
        <v>565</v>
      </c>
      <c r="AG84">
        <v>54</v>
      </c>
    </row>
    <row r="85" spans="1:33" x14ac:dyDescent="0.3">
      <c r="A85" t="s">
        <v>33</v>
      </c>
      <c r="B85" t="s">
        <v>61</v>
      </c>
      <c r="C85" t="s">
        <v>36</v>
      </c>
      <c r="D85" s="1">
        <v>5366</v>
      </c>
      <c r="E85">
        <v>0</v>
      </c>
      <c r="F85">
        <v>505</v>
      </c>
      <c r="G85">
        <v>1</v>
      </c>
      <c r="H85">
        <v>309</v>
      </c>
      <c r="I85">
        <v>0</v>
      </c>
      <c r="J85">
        <v>61</v>
      </c>
      <c r="K85">
        <v>0</v>
      </c>
      <c r="L85">
        <v>6</v>
      </c>
      <c r="M85">
        <v>1</v>
      </c>
      <c r="N85">
        <v>24</v>
      </c>
      <c r="O85">
        <v>1</v>
      </c>
      <c r="P85">
        <v>22</v>
      </c>
      <c r="Q85">
        <v>2</v>
      </c>
      <c r="R85">
        <v>0</v>
      </c>
      <c r="S85">
        <v>0</v>
      </c>
      <c r="T85">
        <v>0</v>
      </c>
      <c r="U85">
        <v>39</v>
      </c>
      <c r="V85">
        <v>27</v>
      </c>
      <c r="W85">
        <v>660</v>
      </c>
      <c r="X85">
        <v>0</v>
      </c>
      <c r="Y85">
        <v>643</v>
      </c>
      <c r="Z85">
        <v>330</v>
      </c>
      <c r="AA85">
        <v>551</v>
      </c>
      <c r="AB85">
        <v>796</v>
      </c>
      <c r="AC85">
        <v>748</v>
      </c>
      <c r="AD85">
        <v>151</v>
      </c>
      <c r="AE85">
        <v>2</v>
      </c>
      <c r="AF85">
        <v>467</v>
      </c>
      <c r="AG85">
        <v>20</v>
      </c>
    </row>
    <row r="86" spans="1:33" x14ac:dyDescent="0.3">
      <c r="A86" t="s">
        <v>33</v>
      </c>
      <c r="B86" t="s">
        <v>62</v>
      </c>
      <c r="C86" t="s">
        <v>32</v>
      </c>
      <c r="D86" s="1">
        <v>1919</v>
      </c>
      <c r="E86">
        <v>0</v>
      </c>
      <c r="F86">
        <v>57</v>
      </c>
      <c r="G86">
        <v>2</v>
      </c>
      <c r="H86">
        <v>26</v>
      </c>
      <c r="I86">
        <v>0</v>
      </c>
      <c r="J86">
        <v>1</v>
      </c>
      <c r="K86">
        <v>5</v>
      </c>
      <c r="L86">
        <v>29</v>
      </c>
      <c r="M86">
        <v>4</v>
      </c>
      <c r="N86">
        <v>14</v>
      </c>
      <c r="O86">
        <v>2</v>
      </c>
      <c r="P86">
        <v>156</v>
      </c>
      <c r="Q86">
        <v>4</v>
      </c>
      <c r="R86">
        <v>0</v>
      </c>
      <c r="S86">
        <v>0</v>
      </c>
      <c r="T86">
        <v>15</v>
      </c>
      <c r="U86">
        <v>94</v>
      </c>
      <c r="V86">
        <v>0</v>
      </c>
      <c r="W86">
        <v>155</v>
      </c>
      <c r="X86">
        <v>0</v>
      </c>
      <c r="Y86">
        <v>112</v>
      </c>
      <c r="Z86">
        <v>89</v>
      </c>
      <c r="AA86">
        <v>59</v>
      </c>
      <c r="AB86">
        <v>433</v>
      </c>
      <c r="AC86">
        <v>529</v>
      </c>
      <c r="AD86">
        <v>44</v>
      </c>
      <c r="AE86">
        <v>9</v>
      </c>
      <c r="AF86">
        <v>79</v>
      </c>
      <c r="AG86">
        <v>1</v>
      </c>
    </row>
    <row r="87" spans="1:33" x14ac:dyDescent="0.3">
      <c r="A87" t="s">
        <v>33</v>
      </c>
      <c r="B87" t="s">
        <v>62</v>
      </c>
      <c r="C87" t="s">
        <v>35</v>
      </c>
      <c r="D87">
        <v>838</v>
      </c>
      <c r="E87">
        <v>0</v>
      </c>
      <c r="F87">
        <v>29</v>
      </c>
      <c r="G87">
        <v>1</v>
      </c>
      <c r="H87">
        <v>8</v>
      </c>
      <c r="I87">
        <v>0</v>
      </c>
      <c r="J87">
        <v>1</v>
      </c>
      <c r="K87">
        <v>5</v>
      </c>
      <c r="L87">
        <v>23</v>
      </c>
      <c r="M87">
        <v>4</v>
      </c>
      <c r="N87">
        <v>5</v>
      </c>
      <c r="O87">
        <v>2</v>
      </c>
      <c r="P87">
        <v>47</v>
      </c>
      <c r="Q87">
        <v>2</v>
      </c>
      <c r="R87">
        <v>0</v>
      </c>
      <c r="S87">
        <v>0</v>
      </c>
      <c r="T87">
        <v>12</v>
      </c>
      <c r="U87">
        <v>69</v>
      </c>
      <c r="V87">
        <v>0</v>
      </c>
      <c r="W87">
        <v>148</v>
      </c>
      <c r="X87">
        <v>0</v>
      </c>
      <c r="Y87">
        <v>47</v>
      </c>
      <c r="Z87">
        <v>31</v>
      </c>
      <c r="AA87">
        <v>22</v>
      </c>
      <c r="AB87">
        <v>189</v>
      </c>
      <c r="AC87">
        <v>107</v>
      </c>
      <c r="AD87">
        <v>38</v>
      </c>
      <c r="AE87">
        <v>3</v>
      </c>
      <c r="AF87">
        <v>44</v>
      </c>
      <c r="AG87">
        <v>1</v>
      </c>
    </row>
    <row r="88" spans="1:33" x14ac:dyDescent="0.3">
      <c r="A88" t="s">
        <v>33</v>
      </c>
      <c r="B88" t="s">
        <v>62</v>
      </c>
      <c r="C88" t="s">
        <v>36</v>
      </c>
      <c r="D88" s="1">
        <v>1081</v>
      </c>
      <c r="E88">
        <v>0</v>
      </c>
      <c r="F88">
        <v>28</v>
      </c>
      <c r="G88">
        <v>1</v>
      </c>
      <c r="H88">
        <v>18</v>
      </c>
      <c r="I88">
        <v>0</v>
      </c>
      <c r="J88">
        <v>0</v>
      </c>
      <c r="K88">
        <v>0</v>
      </c>
      <c r="L88">
        <v>6</v>
      </c>
      <c r="M88">
        <v>0</v>
      </c>
      <c r="N88">
        <v>9</v>
      </c>
      <c r="O88">
        <v>0</v>
      </c>
      <c r="P88">
        <v>109</v>
      </c>
      <c r="Q88">
        <v>2</v>
      </c>
      <c r="R88">
        <v>0</v>
      </c>
      <c r="S88">
        <v>0</v>
      </c>
      <c r="T88">
        <v>3</v>
      </c>
      <c r="U88">
        <v>25</v>
      </c>
      <c r="V88">
        <v>0</v>
      </c>
      <c r="W88">
        <v>7</v>
      </c>
      <c r="X88">
        <v>0</v>
      </c>
      <c r="Y88">
        <v>65</v>
      </c>
      <c r="Z88">
        <v>58</v>
      </c>
      <c r="AA88">
        <v>37</v>
      </c>
      <c r="AB88">
        <v>244</v>
      </c>
      <c r="AC88">
        <v>422</v>
      </c>
      <c r="AD88">
        <v>6</v>
      </c>
      <c r="AE88">
        <v>6</v>
      </c>
      <c r="AF88">
        <v>35</v>
      </c>
      <c r="AG88">
        <v>0</v>
      </c>
    </row>
    <row r="89" spans="1:33" x14ac:dyDescent="0.3">
      <c r="A89" t="s">
        <v>33</v>
      </c>
      <c r="B89" t="s">
        <v>63</v>
      </c>
      <c r="C89" t="s">
        <v>32</v>
      </c>
      <c r="D89" s="1">
        <v>5400</v>
      </c>
      <c r="E89">
        <v>0</v>
      </c>
      <c r="F89">
        <v>614</v>
      </c>
      <c r="G89">
        <v>0</v>
      </c>
      <c r="H89">
        <v>478</v>
      </c>
      <c r="I89">
        <v>0</v>
      </c>
      <c r="J89">
        <v>5</v>
      </c>
      <c r="K89">
        <v>0</v>
      </c>
      <c r="L89">
        <v>13</v>
      </c>
      <c r="M89">
        <v>0</v>
      </c>
      <c r="N89">
        <v>38</v>
      </c>
      <c r="O89">
        <v>4</v>
      </c>
      <c r="P89">
        <v>36</v>
      </c>
      <c r="Q89">
        <v>2</v>
      </c>
      <c r="R89">
        <v>0</v>
      </c>
      <c r="S89">
        <v>0</v>
      </c>
      <c r="T89">
        <v>10</v>
      </c>
      <c r="U89">
        <v>98</v>
      </c>
      <c r="V89">
        <v>0</v>
      </c>
      <c r="W89">
        <v>258</v>
      </c>
      <c r="X89">
        <v>0</v>
      </c>
      <c r="Y89">
        <v>240</v>
      </c>
      <c r="Z89">
        <v>345</v>
      </c>
      <c r="AA89">
        <v>149</v>
      </c>
      <c r="AB89" s="1">
        <v>1734</v>
      </c>
      <c r="AC89">
        <v>641</v>
      </c>
      <c r="AD89">
        <v>72</v>
      </c>
      <c r="AE89">
        <v>7</v>
      </c>
      <c r="AF89">
        <v>633</v>
      </c>
      <c r="AG89">
        <v>23</v>
      </c>
    </row>
    <row r="90" spans="1:33" x14ac:dyDescent="0.3">
      <c r="A90" t="s">
        <v>33</v>
      </c>
      <c r="B90" t="s">
        <v>63</v>
      </c>
      <c r="C90" t="s">
        <v>35</v>
      </c>
      <c r="D90" s="1">
        <v>2762</v>
      </c>
      <c r="E90">
        <v>0</v>
      </c>
      <c r="F90">
        <v>343</v>
      </c>
      <c r="G90">
        <v>0</v>
      </c>
      <c r="H90">
        <v>215</v>
      </c>
      <c r="I90">
        <v>0</v>
      </c>
      <c r="J90">
        <v>1</v>
      </c>
      <c r="K90">
        <v>0</v>
      </c>
      <c r="L90">
        <v>12</v>
      </c>
      <c r="M90">
        <v>0</v>
      </c>
      <c r="N90">
        <v>20</v>
      </c>
      <c r="O90">
        <v>2</v>
      </c>
      <c r="P90">
        <v>11</v>
      </c>
      <c r="Q90">
        <v>2</v>
      </c>
      <c r="R90">
        <v>0</v>
      </c>
      <c r="S90">
        <v>0</v>
      </c>
      <c r="T90">
        <v>10</v>
      </c>
      <c r="U90">
        <v>85</v>
      </c>
      <c r="V90">
        <v>0</v>
      </c>
      <c r="W90">
        <v>250</v>
      </c>
      <c r="X90">
        <v>0</v>
      </c>
      <c r="Y90">
        <v>83</v>
      </c>
      <c r="Z90">
        <v>149</v>
      </c>
      <c r="AA90">
        <v>52</v>
      </c>
      <c r="AB90">
        <v>923</v>
      </c>
      <c r="AC90">
        <v>171</v>
      </c>
      <c r="AD90">
        <v>50</v>
      </c>
      <c r="AE90">
        <v>2</v>
      </c>
      <c r="AF90">
        <v>362</v>
      </c>
      <c r="AG90">
        <v>19</v>
      </c>
    </row>
    <row r="91" spans="1:33" x14ac:dyDescent="0.3">
      <c r="A91" t="s">
        <v>33</v>
      </c>
      <c r="B91" t="s">
        <v>63</v>
      </c>
      <c r="C91" t="s">
        <v>36</v>
      </c>
      <c r="D91" s="1">
        <v>2638</v>
      </c>
      <c r="E91">
        <v>0</v>
      </c>
      <c r="F91">
        <v>271</v>
      </c>
      <c r="G91">
        <v>0</v>
      </c>
      <c r="H91">
        <v>263</v>
      </c>
      <c r="I91">
        <v>0</v>
      </c>
      <c r="J91">
        <v>4</v>
      </c>
      <c r="K91">
        <v>0</v>
      </c>
      <c r="L91">
        <v>1</v>
      </c>
      <c r="M91">
        <v>0</v>
      </c>
      <c r="N91">
        <v>18</v>
      </c>
      <c r="O91">
        <v>2</v>
      </c>
      <c r="P91">
        <v>25</v>
      </c>
      <c r="Q91">
        <v>0</v>
      </c>
      <c r="R91">
        <v>0</v>
      </c>
      <c r="S91">
        <v>0</v>
      </c>
      <c r="T91">
        <v>0</v>
      </c>
      <c r="U91">
        <v>13</v>
      </c>
      <c r="V91">
        <v>0</v>
      </c>
      <c r="W91">
        <v>8</v>
      </c>
      <c r="X91">
        <v>0</v>
      </c>
      <c r="Y91">
        <v>157</v>
      </c>
      <c r="Z91">
        <v>196</v>
      </c>
      <c r="AA91">
        <v>97</v>
      </c>
      <c r="AB91">
        <v>811</v>
      </c>
      <c r="AC91">
        <v>470</v>
      </c>
      <c r="AD91">
        <v>22</v>
      </c>
      <c r="AE91">
        <v>5</v>
      </c>
      <c r="AF91">
        <v>271</v>
      </c>
      <c r="AG91">
        <v>4</v>
      </c>
    </row>
    <row r="92" spans="1:33" x14ac:dyDescent="0.3">
      <c r="A92" t="s">
        <v>33</v>
      </c>
      <c r="B92" t="s">
        <v>64</v>
      </c>
      <c r="C92" t="s">
        <v>32</v>
      </c>
      <c r="D92" s="1">
        <v>10224</v>
      </c>
      <c r="E92">
        <v>0</v>
      </c>
      <c r="F92">
        <v>591</v>
      </c>
      <c r="G92">
        <v>6</v>
      </c>
      <c r="H92">
        <v>643</v>
      </c>
      <c r="I92">
        <v>0</v>
      </c>
      <c r="J92">
        <v>12</v>
      </c>
      <c r="K92">
        <v>0</v>
      </c>
      <c r="L92">
        <v>55</v>
      </c>
      <c r="M92">
        <v>26</v>
      </c>
      <c r="N92">
        <v>42</v>
      </c>
      <c r="O92">
        <v>4</v>
      </c>
      <c r="P92">
        <v>17</v>
      </c>
      <c r="Q92">
        <v>2</v>
      </c>
      <c r="R92">
        <v>0</v>
      </c>
      <c r="S92">
        <v>0</v>
      </c>
      <c r="T92">
        <v>2</v>
      </c>
      <c r="U92">
        <v>602</v>
      </c>
      <c r="V92">
        <v>94</v>
      </c>
      <c r="W92" s="1">
        <v>4144</v>
      </c>
      <c r="X92">
        <v>0</v>
      </c>
      <c r="Y92">
        <v>338</v>
      </c>
      <c r="Z92">
        <v>231</v>
      </c>
      <c r="AA92">
        <v>570</v>
      </c>
      <c r="AB92">
        <v>738</v>
      </c>
      <c r="AC92" s="1">
        <v>1079</v>
      </c>
      <c r="AD92">
        <v>624</v>
      </c>
      <c r="AE92">
        <v>6</v>
      </c>
      <c r="AF92">
        <v>123</v>
      </c>
      <c r="AG92">
        <v>275</v>
      </c>
    </row>
    <row r="93" spans="1:33" x14ac:dyDescent="0.3">
      <c r="A93" t="s">
        <v>33</v>
      </c>
      <c r="B93" t="s">
        <v>64</v>
      </c>
      <c r="C93" t="s">
        <v>35</v>
      </c>
      <c r="D93" s="1">
        <v>7275</v>
      </c>
      <c r="E93">
        <v>0</v>
      </c>
      <c r="F93">
        <v>393</v>
      </c>
      <c r="G93">
        <v>6</v>
      </c>
      <c r="H93">
        <v>401</v>
      </c>
      <c r="I93">
        <v>0</v>
      </c>
      <c r="J93">
        <v>9</v>
      </c>
      <c r="K93">
        <v>0</v>
      </c>
      <c r="L93">
        <v>45</v>
      </c>
      <c r="M93">
        <v>18</v>
      </c>
      <c r="N93">
        <v>20</v>
      </c>
      <c r="O93">
        <v>1</v>
      </c>
      <c r="P93">
        <v>5</v>
      </c>
      <c r="Q93">
        <v>2</v>
      </c>
      <c r="R93">
        <v>0</v>
      </c>
      <c r="S93">
        <v>0</v>
      </c>
      <c r="T93">
        <v>1</v>
      </c>
      <c r="U93">
        <v>578</v>
      </c>
      <c r="V93">
        <v>75</v>
      </c>
      <c r="W93" s="1">
        <v>3907</v>
      </c>
      <c r="X93">
        <v>0</v>
      </c>
      <c r="Y93">
        <v>125</v>
      </c>
      <c r="Z93">
        <v>112</v>
      </c>
      <c r="AA93">
        <v>185</v>
      </c>
      <c r="AB93">
        <v>335</v>
      </c>
      <c r="AC93">
        <v>196</v>
      </c>
      <c r="AD93">
        <v>555</v>
      </c>
      <c r="AE93">
        <v>1</v>
      </c>
      <c r="AF93">
        <v>73</v>
      </c>
      <c r="AG93">
        <v>232</v>
      </c>
    </row>
    <row r="94" spans="1:33" x14ac:dyDescent="0.3">
      <c r="A94" t="s">
        <v>33</v>
      </c>
      <c r="B94" t="s">
        <v>64</v>
      </c>
      <c r="C94" t="s">
        <v>36</v>
      </c>
      <c r="D94" s="1">
        <v>2949</v>
      </c>
      <c r="E94">
        <v>0</v>
      </c>
      <c r="F94">
        <v>198</v>
      </c>
      <c r="G94">
        <v>0</v>
      </c>
      <c r="H94">
        <v>242</v>
      </c>
      <c r="I94">
        <v>0</v>
      </c>
      <c r="J94">
        <v>3</v>
      </c>
      <c r="K94">
        <v>0</v>
      </c>
      <c r="L94">
        <v>10</v>
      </c>
      <c r="M94">
        <v>8</v>
      </c>
      <c r="N94">
        <v>22</v>
      </c>
      <c r="O94">
        <v>3</v>
      </c>
      <c r="P94">
        <v>12</v>
      </c>
      <c r="Q94">
        <v>0</v>
      </c>
      <c r="R94">
        <v>0</v>
      </c>
      <c r="S94">
        <v>0</v>
      </c>
      <c r="T94">
        <v>1</v>
      </c>
      <c r="U94">
        <v>24</v>
      </c>
      <c r="V94">
        <v>19</v>
      </c>
      <c r="W94">
        <v>237</v>
      </c>
      <c r="X94">
        <v>0</v>
      </c>
      <c r="Y94">
        <v>213</v>
      </c>
      <c r="Z94">
        <v>119</v>
      </c>
      <c r="AA94">
        <v>385</v>
      </c>
      <c r="AB94">
        <v>403</v>
      </c>
      <c r="AC94">
        <v>883</v>
      </c>
      <c r="AD94">
        <v>69</v>
      </c>
      <c r="AE94">
        <v>5</v>
      </c>
      <c r="AF94">
        <v>50</v>
      </c>
      <c r="AG94">
        <v>43</v>
      </c>
    </row>
    <row r="95" spans="1:33" x14ac:dyDescent="0.3">
      <c r="A95" t="s">
        <v>33</v>
      </c>
      <c r="B95" t="s">
        <v>65</v>
      </c>
      <c r="C95" t="s">
        <v>32</v>
      </c>
      <c r="D95" s="1">
        <v>1757</v>
      </c>
      <c r="E95">
        <v>0</v>
      </c>
      <c r="F95">
        <v>64</v>
      </c>
      <c r="G95">
        <v>0</v>
      </c>
      <c r="H95">
        <v>55</v>
      </c>
      <c r="I95">
        <v>0</v>
      </c>
      <c r="J95">
        <v>0</v>
      </c>
      <c r="K95">
        <v>0</v>
      </c>
      <c r="L95">
        <v>4</v>
      </c>
      <c r="M95">
        <v>0</v>
      </c>
      <c r="N95">
        <v>3</v>
      </c>
      <c r="O95">
        <v>0</v>
      </c>
      <c r="P95">
        <v>28</v>
      </c>
      <c r="Q95">
        <v>0</v>
      </c>
      <c r="R95">
        <v>0</v>
      </c>
      <c r="S95">
        <v>0</v>
      </c>
      <c r="T95">
        <v>5</v>
      </c>
      <c r="U95">
        <v>58</v>
      </c>
      <c r="V95">
        <v>19</v>
      </c>
      <c r="W95">
        <v>806</v>
      </c>
      <c r="X95">
        <v>0</v>
      </c>
      <c r="Y95">
        <v>97</v>
      </c>
      <c r="Z95">
        <v>31</v>
      </c>
      <c r="AA95">
        <v>31</v>
      </c>
      <c r="AB95">
        <v>163</v>
      </c>
      <c r="AC95">
        <v>316</v>
      </c>
      <c r="AD95">
        <v>36</v>
      </c>
      <c r="AE95">
        <v>2</v>
      </c>
      <c r="AF95">
        <v>35</v>
      </c>
      <c r="AG95">
        <v>4</v>
      </c>
    </row>
    <row r="96" spans="1:33" x14ac:dyDescent="0.3">
      <c r="A96" t="s">
        <v>33</v>
      </c>
      <c r="B96" t="s">
        <v>65</v>
      </c>
      <c r="C96" t="s">
        <v>35</v>
      </c>
      <c r="D96">
        <v>869</v>
      </c>
      <c r="E96">
        <v>0</v>
      </c>
      <c r="F96">
        <v>40</v>
      </c>
      <c r="G96">
        <v>0</v>
      </c>
      <c r="H96">
        <v>39</v>
      </c>
      <c r="I96">
        <v>0</v>
      </c>
      <c r="J96">
        <v>0</v>
      </c>
      <c r="K96">
        <v>0</v>
      </c>
      <c r="L96">
        <v>3</v>
      </c>
      <c r="M96">
        <v>0</v>
      </c>
      <c r="N96">
        <v>1</v>
      </c>
      <c r="O96">
        <v>0</v>
      </c>
      <c r="P96">
        <v>11</v>
      </c>
      <c r="Q96">
        <v>0</v>
      </c>
      <c r="R96">
        <v>0</v>
      </c>
      <c r="S96">
        <v>0</v>
      </c>
      <c r="T96">
        <v>4</v>
      </c>
      <c r="U96">
        <v>50</v>
      </c>
      <c r="V96">
        <v>14</v>
      </c>
      <c r="W96">
        <v>483</v>
      </c>
      <c r="X96">
        <v>0</v>
      </c>
      <c r="Y96">
        <v>33</v>
      </c>
      <c r="Z96">
        <v>15</v>
      </c>
      <c r="AA96">
        <v>9</v>
      </c>
      <c r="AB96">
        <v>57</v>
      </c>
      <c r="AC96">
        <v>61</v>
      </c>
      <c r="AD96">
        <v>27</v>
      </c>
      <c r="AE96">
        <v>1</v>
      </c>
      <c r="AF96">
        <v>20</v>
      </c>
      <c r="AG96">
        <v>1</v>
      </c>
    </row>
    <row r="97" spans="1:33" x14ac:dyDescent="0.3">
      <c r="A97" t="s">
        <v>33</v>
      </c>
      <c r="B97" t="s">
        <v>65</v>
      </c>
      <c r="C97" t="s">
        <v>36</v>
      </c>
      <c r="D97">
        <v>888</v>
      </c>
      <c r="E97">
        <v>0</v>
      </c>
      <c r="F97">
        <v>24</v>
      </c>
      <c r="G97">
        <v>0</v>
      </c>
      <c r="H97">
        <v>16</v>
      </c>
      <c r="I97">
        <v>0</v>
      </c>
      <c r="J97">
        <v>0</v>
      </c>
      <c r="K97">
        <v>0</v>
      </c>
      <c r="L97">
        <v>1</v>
      </c>
      <c r="M97">
        <v>0</v>
      </c>
      <c r="N97">
        <v>2</v>
      </c>
      <c r="O97">
        <v>0</v>
      </c>
      <c r="P97">
        <v>17</v>
      </c>
      <c r="Q97">
        <v>0</v>
      </c>
      <c r="R97">
        <v>0</v>
      </c>
      <c r="S97">
        <v>0</v>
      </c>
      <c r="T97">
        <v>1</v>
      </c>
      <c r="U97">
        <v>8</v>
      </c>
      <c r="V97">
        <v>5</v>
      </c>
      <c r="W97">
        <v>323</v>
      </c>
      <c r="X97">
        <v>0</v>
      </c>
      <c r="Y97">
        <v>64</v>
      </c>
      <c r="Z97">
        <v>16</v>
      </c>
      <c r="AA97">
        <v>22</v>
      </c>
      <c r="AB97">
        <v>106</v>
      </c>
      <c r="AC97">
        <v>255</v>
      </c>
      <c r="AD97">
        <v>9</v>
      </c>
      <c r="AE97">
        <v>1</v>
      </c>
      <c r="AF97">
        <v>15</v>
      </c>
      <c r="AG97">
        <v>3</v>
      </c>
    </row>
    <row r="98" spans="1:33" x14ac:dyDescent="0.3">
      <c r="A98" t="s">
        <v>33</v>
      </c>
      <c r="B98" t="s">
        <v>66</v>
      </c>
      <c r="C98" t="s">
        <v>32</v>
      </c>
      <c r="D98" s="1">
        <v>5309</v>
      </c>
      <c r="E98">
        <v>0</v>
      </c>
      <c r="F98">
        <v>153</v>
      </c>
      <c r="G98">
        <v>1</v>
      </c>
      <c r="H98">
        <v>433</v>
      </c>
      <c r="I98">
        <v>0</v>
      </c>
      <c r="J98">
        <v>1</v>
      </c>
      <c r="K98">
        <v>0</v>
      </c>
      <c r="L98">
        <v>4</v>
      </c>
      <c r="M98">
        <v>3</v>
      </c>
      <c r="N98">
        <v>4</v>
      </c>
      <c r="O98">
        <v>0</v>
      </c>
      <c r="P98">
        <v>10</v>
      </c>
      <c r="Q98">
        <v>0</v>
      </c>
      <c r="R98">
        <v>0</v>
      </c>
      <c r="S98">
        <v>0</v>
      </c>
      <c r="T98">
        <v>4</v>
      </c>
      <c r="U98">
        <v>277</v>
      </c>
      <c r="V98">
        <v>290</v>
      </c>
      <c r="W98" s="1">
        <v>2753</v>
      </c>
      <c r="X98">
        <v>0</v>
      </c>
      <c r="Y98">
        <v>161</v>
      </c>
      <c r="Z98">
        <v>63</v>
      </c>
      <c r="AA98">
        <v>160</v>
      </c>
      <c r="AB98">
        <v>261</v>
      </c>
      <c r="AC98">
        <v>342</v>
      </c>
      <c r="AD98">
        <v>241</v>
      </c>
      <c r="AE98">
        <v>0</v>
      </c>
      <c r="AF98">
        <v>126</v>
      </c>
      <c r="AG98">
        <v>22</v>
      </c>
    </row>
    <row r="99" spans="1:33" x14ac:dyDescent="0.3">
      <c r="A99" t="s">
        <v>33</v>
      </c>
      <c r="B99" t="s">
        <v>66</v>
      </c>
      <c r="C99" t="s">
        <v>35</v>
      </c>
      <c r="D99" s="1">
        <v>3543</v>
      </c>
      <c r="E99">
        <v>0</v>
      </c>
      <c r="F99">
        <v>103</v>
      </c>
      <c r="G99">
        <v>0</v>
      </c>
      <c r="H99">
        <v>291</v>
      </c>
      <c r="I99">
        <v>0</v>
      </c>
      <c r="J99">
        <v>1</v>
      </c>
      <c r="K99">
        <v>0</v>
      </c>
      <c r="L99">
        <v>4</v>
      </c>
      <c r="M99">
        <v>3</v>
      </c>
      <c r="N99">
        <v>2</v>
      </c>
      <c r="O99">
        <v>0</v>
      </c>
      <c r="P99">
        <v>1</v>
      </c>
      <c r="Q99">
        <v>0</v>
      </c>
      <c r="R99">
        <v>0</v>
      </c>
      <c r="S99">
        <v>0</v>
      </c>
      <c r="T99">
        <v>3</v>
      </c>
      <c r="U99">
        <v>249</v>
      </c>
      <c r="V99">
        <v>177</v>
      </c>
      <c r="W99" s="1">
        <v>2118</v>
      </c>
      <c r="X99">
        <v>0</v>
      </c>
      <c r="Y99">
        <v>67</v>
      </c>
      <c r="Z99">
        <v>30</v>
      </c>
      <c r="AA99">
        <v>46</v>
      </c>
      <c r="AB99">
        <v>111</v>
      </c>
      <c r="AC99">
        <v>63</v>
      </c>
      <c r="AD99">
        <v>194</v>
      </c>
      <c r="AE99">
        <v>0</v>
      </c>
      <c r="AF99">
        <v>67</v>
      </c>
      <c r="AG99">
        <v>13</v>
      </c>
    </row>
    <row r="100" spans="1:33" x14ac:dyDescent="0.3">
      <c r="A100" t="s">
        <v>33</v>
      </c>
      <c r="B100" t="s">
        <v>66</v>
      </c>
      <c r="C100" t="s">
        <v>36</v>
      </c>
      <c r="D100" s="1">
        <v>1766</v>
      </c>
      <c r="E100">
        <v>0</v>
      </c>
      <c r="F100">
        <v>50</v>
      </c>
      <c r="G100">
        <v>1</v>
      </c>
      <c r="H100">
        <v>142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9</v>
      </c>
      <c r="Q100">
        <v>0</v>
      </c>
      <c r="R100">
        <v>0</v>
      </c>
      <c r="S100">
        <v>0</v>
      </c>
      <c r="T100">
        <v>1</v>
      </c>
      <c r="U100">
        <v>28</v>
      </c>
      <c r="V100">
        <v>113</v>
      </c>
      <c r="W100">
        <v>635</v>
      </c>
      <c r="X100">
        <v>0</v>
      </c>
      <c r="Y100">
        <v>94</v>
      </c>
      <c r="Z100">
        <v>33</v>
      </c>
      <c r="AA100">
        <v>114</v>
      </c>
      <c r="AB100">
        <v>150</v>
      </c>
      <c r="AC100">
        <v>279</v>
      </c>
      <c r="AD100">
        <v>47</v>
      </c>
      <c r="AE100">
        <v>0</v>
      </c>
      <c r="AF100">
        <v>59</v>
      </c>
      <c r="AG100">
        <v>9</v>
      </c>
    </row>
    <row r="101" spans="1:33" x14ac:dyDescent="0.3">
      <c r="A101" t="s">
        <v>33</v>
      </c>
      <c r="B101" t="s">
        <v>67</v>
      </c>
      <c r="C101" t="s">
        <v>32</v>
      </c>
      <c r="D101" s="1">
        <v>1434</v>
      </c>
      <c r="E101">
        <v>0</v>
      </c>
      <c r="F101">
        <v>24</v>
      </c>
      <c r="G101">
        <v>1</v>
      </c>
      <c r="H101">
        <v>6</v>
      </c>
      <c r="I101">
        <v>0</v>
      </c>
      <c r="J101">
        <v>10</v>
      </c>
      <c r="K101">
        <v>0</v>
      </c>
      <c r="L101">
        <v>2</v>
      </c>
      <c r="M101">
        <v>0</v>
      </c>
      <c r="N101">
        <v>4</v>
      </c>
      <c r="O101">
        <v>0</v>
      </c>
      <c r="P101">
        <v>8</v>
      </c>
      <c r="Q101">
        <v>0</v>
      </c>
      <c r="R101">
        <v>0</v>
      </c>
      <c r="S101">
        <v>0</v>
      </c>
      <c r="T101">
        <v>2</v>
      </c>
      <c r="U101">
        <v>106</v>
      </c>
      <c r="V101">
        <v>24</v>
      </c>
      <c r="W101">
        <v>573</v>
      </c>
      <c r="X101">
        <v>0</v>
      </c>
      <c r="Y101">
        <v>75</v>
      </c>
      <c r="Z101">
        <v>80</v>
      </c>
      <c r="AA101">
        <v>122</v>
      </c>
      <c r="AB101">
        <v>62</v>
      </c>
      <c r="AC101">
        <v>115</v>
      </c>
      <c r="AD101">
        <v>151</v>
      </c>
      <c r="AE101">
        <v>1</v>
      </c>
      <c r="AF101">
        <v>30</v>
      </c>
      <c r="AG101">
        <v>38</v>
      </c>
    </row>
    <row r="102" spans="1:33" x14ac:dyDescent="0.3">
      <c r="A102" t="s">
        <v>33</v>
      </c>
      <c r="B102" t="s">
        <v>67</v>
      </c>
      <c r="C102" t="s">
        <v>35</v>
      </c>
      <c r="D102" s="1">
        <v>1015</v>
      </c>
      <c r="E102">
        <v>0</v>
      </c>
      <c r="F102">
        <v>11</v>
      </c>
      <c r="G102">
        <v>1</v>
      </c>
      <c r="H102">
        <v>4</v>
      </c>
      <c r="I102">
        <v>0</v>
      </c>
      <c r="J102">
        <v>4</v>
      </c>
      <c r="K102">
        <v>0</v>
      </c>
      <c r="L102">
        <v>2</v>
      </c>
      <c r="M102">
        <v>0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102</v>
      </c>
      <c r="V102">
        <v>14</v>
      </c>
      <c r="W102">
        <v>530</v>
      </c>
      <c r="X102">
        <v>0</v>
      </c>
      <c r="Y102">
        <v>27</v>
      </c>
      <c r="Z102">
        <v>57</v>
      </c>
      <c r="AA102">
        <v>28</v>
      </c>
      <c r="AB102">
        <v>19</v>
      </c>
      <c r="AC102">
        <v>17</v>
      </c>
      <c r="AD102">
        <v>139</v>
      </c>
      <c r="AE102">
        <v>0</v>
      </c>
      <c r="AF102">
        <v>19</v>
      </c>
      <c r="AG102">
        <v>36</v>
      </c>
    </row>
    <row r="103" spans="1:33" x14ac:dyDescent="0.3">
      <c r="A103" t="s">
        <v>33</v>
      </c>
      <c r="B103" t="s">
        <v>67</v>
      </c>
      <c r="C103" t="s">
        <v>36</v>
      </c>
      <c r="D103">
        <v>419</v>
      </c>
      <c r="E103">
        <v>0</v>
      </c>
      <c r="F103">
        <v>13</v>
      </c>
      <c r="G103">
        <v>0</v>
      </c>
      <c r="H103">
        <v>2</v>
      </c>
      <c r="I103">
        <v>0</v>
      </c>
      <c r="J103">
        <v>6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8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10</v>
      </c>
      <c r="W103">
        <v>43</v>
      </c>
      <c r="X103">
        <v>0</v>
      </c>
      <c r="Y103">
        <v>48</v>
      </c>
      <c r="Z103">
        <v>23</v>
      </c>
      <c r="AA103">
        <v>94</v>
      </c>
      <c r="AB103">
        <v>43</v>
      </c>
      <c r="AC103">
        <v>98</v>
      </c>
      <c r="AD103">
        <v>12</v>
      </c>
      <c r="AE103">
        <v>1</v>
      </c>
      <c r="AF103">
        <v>11</v>
      </c>
      <c r="AG103">
        <v>2</v>
      </c>
    </row>
    <row r="104" spans="1:33" x14ac:dyDescent="0.3">
      <c r="A104" t="s">
        <v>33</v>
      </c>
      <c r="B104" t="s">
        <v>68</v>
      </c>
      <c r="C104" t="s">
        <v>32</v>
      </c>
      <c r="D104" s="1">
        <v>11426</v>
      </c>
      <c r="E104">
        <v>0</v>
      </c>
      <c r="F104">
        <v>609</v>
      </c>
      <c r="G104">
        <v>3</v>
      </c>
      <c r="H104">
        <v>211</v>
      </c>
      <c r="I104">
        <v>0</v>
      </c>
      <c r="J104">
        <v>1</v>
      </c>
      <c r="K104">
        <v>1</v>
      </c>
      <c r="L104">
        <v>27</v>
      </c>
      <c r="M104">
        <v>4</v>
      </c>
      <c r="N104">
        <v>97</v>
      </c>
      <c r="O104">
        <v>0</v>
      </c>
      <c r="P104">
        <v>19</v>
      </c>
      <c r="Q104">
        <v>3</v>
      </c>
      <c r="R104">
        <v>0</v>
      </c>
      <c r="S104">
        <v>0</v>
      </c>
      <c r="T104">
        <v>2</v>
      </c>
      <c r="U104">
        <v>242</v>
      </c>
      <c r="V104">
        <v>1</v>
      </c>
      <c r="W104">
        <v>615</v>
      </c>
      <c r="X104">
        <v>0</v>
      </c>
      <c r="Y104">
        <v>783</v>
      </c>
      <c r="Z104">
        <v>851</v>
      </c>
      <c r="AA104">
        <v>551</v>
      </c>
      <c r="AB104" s="1">
        <v>4068</v>
      </c>
      <c r="AC104" s="1">
        <v>1388</v>
      </c>
      <c r="AD104">
        <v>295</v>
      </c>
      <c r="AE104">
        <v>4</v>
      </c>
      <c r="AF104" s="1">
        <v>1560</v>
      </c>
      <c r="AG104">
        <v>91</v>
      </c>
    </row>
    <row r="105" spans="1:33" x14ac:dyDescent="0.3">
      <c r="A105" t="s">
        <v>33</v>
      </c>
      <c r="B105" t="s">
        <v>68</v>
      </c>
      <c r="C105" t="s">
        <v>35</v>
      </c>
      <c r="D105" s="1">
        <v>5948</v>
      </c>
      <c r="E105">
        <v>0</v>
      </c>
      <c r="F105">
        <v>363</v>
      </c>
      <c r="G105">
        <v>3</v>
      </c>
      <c r="H105">
        <v>109</v>
      </c>
      <c r="I105">
        <v>0</v>
      </c>
      <c r="J105">
        <v>1</v>
      </c>
      <c r="K105">
        <v>1</v>
      </c>
      <c r="L105">
        <v>26</v>
      </c>
      <c r="M105">
        <v>2</v>
      </c>
      <c r="N105">
        <v>49</v>
      </c>
      <c r="O105">
        <v>0</v>
      </c>
      <c r="P105">
        <v>8</v>
      </c>
      <c r="Q105">
        <v>2</v>
      </c>
      <c r="R105">
        <v>0</v>
      </c>
      <c r="S105">
        <v>0</v>
      </c>
      <c r="T105">
        <v>2</v>
      </c>
      <c r="U105">
        <v>226</v>
      </c>
      <c r="V105">
        <v>0</v>
      </c>
      <c r="W105">
        <v>519</v>
      </c>
      <c r="X105">
        <v>0</v>
      </c>
      <c r="Y105">
        <v>308</v>
      </c>
      <c r="Z105">
        <v>350</v>
      </c>
      <c r="AA105">
        <v>204</v>
      </c>
      <c r="AB105" s="1">
        <v>2238</v>
      </c>
      <c r="AC105">
        <v>348</v>
      </c>
      <c r="AD105">
        <v>207</v>
      </c>
      <c r="AE105">
        <v>0</v>
      </c>
      <c r="AF105">
        <v>915</v>
      </c>
      <c r="AG105">
        <v>67</v>
      </c>
    </row>
    <row r="106" spans="1:33" x14ac:dyDescent="0.3">
      <c r="A106" t="s">
        <v>33</v>
      </c>
      <c r="B106" t="s">
        <v>68</v>
      </c>
      <c r="C106" t="s">
        <v>36</v>
      </c>
      <c r="D106" s="1">
        <v>5478</v>
      </c>
      <c r="E106">
        <v>0</v>
      </c>
      <c r="F106">
        <v>246</v>
      </c>
      <c r="G106">
        <v>0</v>
      </c>
      <c r="H106">
        <v>102</v>
      </c>
      <c r="I106">
        <v>0</v>
      </c>
      <c r="J106">
        <v>0</v>
      </c>
      <c r="K106">
        <v>0</v>
      </c>
      <c r="L106">
        <v>1</v>
      </c>
      <c r="M106">
        <v>2</v>
      </c>
      <c r="N106">
        <v>48</v>
      </c>
      <c r="O106">
        <v>0</v>
      </c>
      <c r="P106">
        <v>11</v>
      </c>
      <c r="Q106">
        <v>1</v>
      </c>
      <c r="R106">
        <v>0</v>
      </c>
      <c r="S106">
        <v>0</v>
      </c>
      <c r="T106">
        <v>0</v>
      </c>
      <c r="U106">
        <v>16</v>
      </c>
      <c r="V106">
        <v>1</v>
      </c>
      <c r="W106">
        <v>96</v>
      </c>
      <c r="X106">
        <v>0</v>
      </c>
      <c r="Y106">
        <v>475</v>
      </c>
      <c r="Z106">
        <v>501</v>
      </c>
      <c r="AA106">
        <v>347</v>
      </c>
      <c r="AB106" s="1">
        <v>1830</v>
      </c>
      <c r="AC106" s="1">
        <v>1040</v>
      </c>
      <c r="AD106">
        <v>88</v>
      </c>
      <c r="AE106">
        <v>4</v>
      </c>
      <c r="AF106">
        <v>645</v>
      </c>
      <c r="AG106">
        <v>24</v>
      </c>
    </row>
    <row r="107" spans="1:33" x14ac:dyDescent="0.3">
      <c r="A107" t="s">
        <v>33</v>
      </c>
      <c r="B107" t="s">
        <v>69</v>
      </c>
      <c r="C107" t="s">
        <v>32</v>
      </c>
      <c r="D107" s="1">
        <v>5844</v>
      </c>
      <c r="E107">
        <v>0</v>
      </c>
      <c r="F107" s="1">
        <v>1893</v>
      </c>
      <c r="G107">
        <v>1</v>
      </c>
      <c r="H107">
        <v>425</v>
      </c>
      <c r="I107">
        <v>1</v>
      </c>
      <c r="J107">
        <v>2</v>
      </c>
      <c r="K107">
        <v>1</v>
      </c>
      <c r="L107">
        <v>13</v>
      </c>
      <c r="M107">
        <v>0</v>
      </c>
      <c r="N107">
        <v>71</v>
      </c>
      <c r="O107">
        <v>8</v>
      </c>
      <c r="P107">
        <v>72</v>
      </c>
      <c r="Q107">
        <v>20</v>
      </c>
      <c r="R107">
        <v>0</v>
      </c>
      <c r="S107">
        <v>0</v>
      </c>
      <c r="T107">
        <v>35</v>
      </c>
      <c r="U107">
        <v>150</v>
      </c>
      <c r="V107">
        <v>2</v>
      </c>
      <c r="W107">
        <v>327</v>
      </c>
      <c r="X107">
        <v>0</v>
      </c>
      <c r="Y107">
        <v>172</v>
      </c>
      <c r="Z107">
        <v>218</v>
      </c>
      <c r="AA107">
        <v>141</v>
      </c>
      <c r="AB107">
        <v>998</v>
      </c>
      <c r="AC107">
        <v>812</v>
      </c>
      <c r="AD107">
        <v>103</v>
      </c>
      <c r="AE107">
        <v>9</v>
      </c>
      <c r="AF107">
        <v>339</v>
      </c>
      <c r="AG107">
        <v>31</v>
      </c>
    </row>
    <row r="108" spans="1:33" x14ac:dyDescent="0.3">
      <c r="A108" t="s">
        <v>33</v>
      </c>
      <c r="B108" t="s">
        <v>69</v>
      </c>
      <c r="C108" t="s">
        <v>35</v>
      </c>
      <c r="D108" s="1">
        <v>2857</v>
      </c>
      <c r="E108">
        <v>0</v>
      </c>
      <c r="F108">
        <v>905</v>
      </c>
      <c r="G108">
        <v>1</v>
      </c>
      <c r="H108">
        <v>250</v>
      </c>
      <c r="I108">
        <v>0</v>
      </c>
      <c r="J108">
        <v>2</v>
      </c>
      <c r="K108">
        <v>1</v>
      </c>
      <c r="L108">
        <v>10</v>
      </c>
      <c r="M108">
        <v>0</v>
      </c>
      <c r="N108">
        <v>30</v>
      </c>
      <c r="O108">
        <v>6</v>
      </c>
      <c r="P108">
        <v>20</v>
      </c>
      <c r="Q108">
        <v>17</v>
      </c>
      <c r="R108">
        <v>0</v>
      </c>
      <c r="S108">
        <v>0</v>
      </c>
      <c r="T108">
        <v>17</v>
      </c>
      <c r="U108">
        <v>127</v>
      </c>
      <c r="V108">
        <v>0</v>
      </c>
      <c r="W108">
        <v>309</v>
      </c>
      <c r="X108">
        <v>0</v>
      </c>
      <c r="Y108">
        <v>63</v>
      </c>
      <c r="Z108">
        <v>88</v>
      </c>
      <c r="AA108">
        <v>49</v>
      </c>
      <c r="AB108">
        <v>475</v>
      </c>
      <c r="AC108">
        <v>210</v>
      </c>
      <c r="AD108">
        <v>81</v>
      </c>
      <c r="AE108">
        <v>3</v>
      </c>
      <c r="AF108">
        <v>174</v>
      </c>
      <c r="AG108">
        <v>19</v>
      </c>
    </row>
    <row r="109" spans="1:33" x14ac:dyDescent="0.3">
      <c r="A109" t="s">
        <v>33</v>
      </c>
      <c r="B109" t="s">
        <v>69</v>
      </c>
      <c r="C109" t="s">
        <v>36</v>
      </c>
      <c r="D109" s="1">
        <v>2987</v>
      </c>
      <c r="E109">
        <v>0</v>
      </c>
      <c r="F109">
        <v>988</v>
      </c>
      <c r="G109">
        <v>0</v>
      </c>
      <c r="H109">
        <v>175</v>
      </c>
      <c r="I109">
        <v>1</v>
      </c>
      <c r="J109">
        <v>0</v>
      </c>
      <c r="K109">
        <v>0</v>
      </c>
      <c r="L109">
        <v>3</v>
      </c>
      <c r="M109">
        <v>0</v>
      </c>
      <c r="N109">
        <v>41</v>
      </c>
      <c r="O109">
        <v>2</v>
      </c>
      <c r="P109">
        <v>52</v>
      </c>
      <c r="Q109">
        <v>3</v>
      </c>
      <c r="R109">
        <v>0</v>
      </c>
      <c r="S109">
        <v>0</v>
      </c>
      <c r="T109">
        <v>18</v>
      </c>
      <c r="U109">
        <v>23</v>
      </c>
      <c r="V109">
        <v>2</v>
      </c>
      <c r="W109">
        <v>18</v>
      </c>
      <c r="X109">
        <v>0</v>
      </c>
      <c r="Y109">
        <v>109</v>
      </c>
      <c r="Z109">
        <v>130</v>
      </c>
      <c r="AA109">
        <v>92</v>
      </c>
      <c r="AB109">
        <v>523</v>
      </c>
      <c r="AC109">
        <v>602</v>
      </c>
      <c r="AD109">
        <v>22</v>
      </c>
      <c r="AE109">
        <v>6</v>
      </c>
      <c r="AF109">
        <v>165</v>
      </c>
      <c r="AG109">
        <v>12</v>
      </c>
    </row>
    <row r="110" spans="1:33" x14ac:dyDescent="0.3">
      <c r="A110" t="s">
        <v>33</v>
      </c>
      <c r="B110" t="s">
        <v>70</v>
      </c>
      <c r="C110" t="s">
        <v>32</v>
      </c>
      <c r="D110" s="1">
        <v>3323</v>
      </c>
      <c r="E110">
        <v>0</v>
      </c>
      <c r="F110" s="1">
        <v>1167</v>
      </c>
      <c r="G110">
        <v>0</v>
      </c>
      <c r="H110">
        <v>67</v>
      </c>
      <c r="I110">
        <v>0</v>
      </c>
      <c r="J110">
        <v>145</v>
      </c>
      <c r="K110">
        <v>2</v>
      </c>
      <c r="L110">
        <v>19</v>
      </c>
      <c r="M110">
        <v>2</v>
      </c>
      <c r="N110">
        <v>21</v>
      </c>
      <c r="O110">
        <v>2</v>
      </c>
      <c r="P110">
        <v>190</v>
      </c>
      <c r="Q110">
        <v>7</v>
      </c>
      <c r="R110">
        <v>0</v>
      </c>
      <c r="S110">
        <v>0</v>
      </c>
      <c r="T110">
        <v>3</v>
      </c>
      <c r="U110">
        <v>226</v>
      </c>
      <c r="V110">
        <v>0</v>
      </c>
      <c r="W110">
        <v>35</v>
      </c>
      <c r="X110">
        <v>0</v>
      </c>
      <c r="Y110">
        <v>73</v>
      </c>
      <c r="Z110">
        <v>98</v>
      </c>
      <c r="AA110">
        <v>140</v>
      </c>
      <c r="AB110">
        <v>464</v>
      </c>
      <c r="AC110">
        <v>442</v>
      </c>
      <c r="AD110">
        <v>17</v>
      </c>
      <c r="AE110">
        <v>6</v>
      </c>
      <c r="AF110">
        <v>162</v>
      </c>
      <c r="AG110">
        <v>35</v>
      </c>
    </row>
    <row r="111" spans="1:33" x14ac:dyDescent="0.3">
      <c r="A111" t="s">
        <v>33</v>
      </c>
      <c r="B111" t="s">
        <v>70</v>
      </c>
      <c r="C111" t="s">
        <v>35</v>
      </c>
      <c r="D111" s="1">
        <v>1378</v>
      </c>
      <c r="E111">
        <v>0</v>
      </c>
      <c r="F111">
        <v>450</v>
      </c>
      <c r="G111">
        <v>0</v>
      </c>
      <c r="H111">
        <v>22</v>
      </c>
      <c r="I111">
        <v>0</v>
      </c>
      <c r="J111">
        <v>85</v>
      </c>
      <c r="K111">
        <v>1</v>
      </c>
      <c r="L111">
        <v>16</v>
      </c>
      <c r="M111">
        <v>1</v>
      </c>
      <c r="N111">
        <v>9</v>
      </c>
      <c r="O111">
        <v>2</v>
      </c>
      <c r="P111">
        <v>51</v>
      </c>
      <c r="Q111">
        <v>7</v>
      </c>
      <c r="R111">
        <v>0</v>
      </c>
      <c r="S111">
        <v>0</v>
      </c>
      <c r="T111">
        <v>1</v>
      </c>
      <c r="U111">
        <v>157</v>
      </c>
      <c r="V111">
        <v>0</v>
      </c>
      <c r="W111">
        <v>29</v>
      </c>
      <c r="X111">
        <v>0</v>
      </c>
      <c r="Y111">
        <v>30</v>
      </c>
      <c r="Z111">
        <v>47</v>
      </c>
      <c r="AA111">
        <v>65</v>
      </c>
      <c r="AB111">
        <v>185</v>
      </c>
      <c r="AC111">
        <v>110</v>
      </c>
      <c r="AD111">
        <v>6</v>
      </c>
      <c r="AE111">
        <v>2</v>
      </c>
      <c r="AF111">
        <v>79</v>
      </c>
      <c r="AG111">
        <v>23</v>
      </c>
    </row>
    <row r="112" spans="1:33" x14ac:dyDescent="0.3">
      <c r="A112" t="s">
        <v>33</v>
      </c>
      <c r="B112" t="s">
        <v>70</v>
      </c>
      <c r="C112" t="s">
        <v>36</v>
      </c>
      <c r="D112" s="1">
        <v>1945</v>
      </c>
      <c r="E112">
        <v>0</v>
      </c>
      <c r="F112">
        <v>717</v>
      </c>
      <c r="G112">
        <v>0</v>
      </c>
      <c r="H112">
        <v>45</v>
      </c>
      <c r="I112">
        <v>0</v>
      </c>
      <c r="J112">
        <v>60</v>
      </c>
      <c r="K112">
        <v>1</v>
      </c>
      <c r="L112">
        <v>3</v>
      </c>
      <c r="M112">
        <v>1</v>
      </c>
      <c r="N112">
        <v>12</v>
      </c>
      <c r="O112">
        <v>0</v>
      </c>
      <c r="P112">
        <v>139</v>
      </c>
      <c r="Q112">
        <v>0</v>
      </c>
      <c r="R112">
        <v>0</v>
      </c>
      <c r="S112">
        <v>0</v>
      </c>
      <c r="T112">
        <v>2</v>
      </c>
      <c r="U112">
        <v>69</v>
      </c>
      <c r="V112">
        <v>0</v>
      </c>
      <c r="W112">
        <v>6</v>
      </c>
      <c r="X112">
        <v>0</v>
      </c>
      <c r="Y112">
        <v>43</v>
      </c>
      <c r="Z112">
        <v>51</v>
      </c>
      <c r="AA112">
        <v>75</v>
      </c>
      <c r="AB112">
        <v>279</v>
      </c>
      <c r="AC112">
        <v>332</v>
      </c>
      <c r="AD112">
        <v>11</v>
      </c>
      <c r="AE112">
        <v>4</v>
      </c>
      <c r="AF112">
        <v>83</v>
      </c>
      <c r="AG112">
        <v>12</v>
      </c>
    </row>
    <row r="113" spans="1:33" x14ac:dyDescent="0.3">
      <c r="A113" t="s">
        <v>33</v>
      </c>
      <c r="B113" t="s">
        <v>71</v>
      </c>
      <c r="C113" t="s">
        <v>32</v>
      </c>
      <c r="D113" s="1">
        <v>12292</v>
      </c>
      <c r="E113">
        <v>0</v>
      </c>
      <c r="F113">
        <v>989</v>
      </c>
      <c r="G113">
        <v>5</v>
      </c>
      <c r="H113">
        <v>483</v>
      </c>
      <c r="I113">
        <v>0</v>
      </c>
      <c r="J113">
        <v>2</v>
      </c>
      <c r="K113">
        <v>2</v>
      </c>
      <c r="L113">
        <v>23</v>
      </c>
      <c r="M113">
        <v>3</v>
      </c>
      <c r="N113">
        <v>97</v>
      </c>
      <c r="O113">
        <v>26</v>
      </c>
      <c r="P113">
        <v>36</v>
      </c>
      <c r="Q113">
        <v>16</v>
      </c>
      <c r="R113">
        <v>0</v>
      </c>
      <c r="S113">
        <v>0</v>
      </c>
      <c r="T113">
        <v>35</v>
      </c>
      <c r="U113">
        <v>697</v>
      </c>
      <c r="V113">
        <v>48</v>
      </c>
      <c r="W113" s="1">
        <v>4832</v>
      </c>
      <c r="X113">
        <v>0</v>
      </c>
      <c r="Y113">
        <v>378</v>
      </c>
      <c r="Z113">
        <v>350</v>
      </c>
      <c r="AA113">
        <v>521</v>
      </c>
      <c r="AB113" s="1">
        <v>1557</v>
      </c>
      <c r="AC113" s="1">
        <v>1039</v>
      </c>
      <c r="AD113">
        <v>509</v>
      </c>
      <c r="AE113">
        <v>7</v>
      </c>
      <c r="AF113">
        <v>561</v>
      </c>
      <c r="AG113">
        <v>76</v>
      </c>
    </row>
    <row r="114" spans="1:33" x14ac:dyDescent="0.3">
      <c r="A114" t="s">
        <v>33</v>
      </c>
      <c r="B114" t="s">
        <v>71</v>
      </c>
      <c r="C114" t="s">
        <v>35</v>
      </c>
      <c r="D114" s="1">
        <v>8089</v>
      </c>
      <c r="E114">
        <v>0</v>
      </c>
      <c r="F114">
        <v>573</v>
      </c>
      <c r="G114">
        <v>4</v>
      </c>
      <c r="H114">
        <v>262</v>
      </c>
      <c r="I114">
        <v>0</v>
      </c>
      <c r="J114">
        <v>0</v>
      </c>
      <c r="K114">
        <v>2</v>
      </c>
      <c r="L114">
        <v>20</v>
      </c>
      <c r="M114">
        <v>3</v>
      </c>
      <c r="N114">
        <v>51</v>
      </c>
      <c r="O114">
        <v>15</v>
      </c>
      <c r="P114">
        <v>9</v>
      </c>
      <c r="Q114">
        <v>12</v>
      </c>
      <c r="R114">
        <v>0</v>
      </c>
      <c r="S114">
        <v>0</v>
      </c>
      <c r="T114">
        <v>20</v>
      </c>
      <c r="U114">
        <v>647</v>
      </c>
      <c r="V114">
        <v>35</v>
      </c>
      <c r="W114" s="1">
        <v>4208</v>
      </c>
      <c r="X114">
        <v>0</v>
      </c>
      <c r="Y114">
        <v>144</v>
      </c>
      <c r="Z114">
        <v>141</v>
      </c>
      <c r="AA114">
        <v>154</v>
      </c>
      <c r="AB114">
        <v>820</v>
      </c>
      <c r="AC114">
        <v>203</v>
      </c>
      <c r="AD114">
        <v>399</v>
      </c>
      <c r="AE114">
        <v>0</v>
      </c>
      <c r="AF114">
        <v>311</v>
      </c>
      <c r="AG114">
        <v>56</v>
      </c>
    </row>
    <row r="115" spans="1:33" x14ac:dyDescent="0.3">
      <c r="A115" t="s">
        <v>33</v>
      </c>
      <c r="B115" t="s">
        <v>71</v>
      </c>
      <c r="C115" t="s">
        <v>36</v>
      </c>
      <c r="D115" s="1">
        <v>4203</v>
      </c>
      <c r="E115">
        <v>0</v>
      </c>
      <c r="F115">
        <v>416</v>
      </c>
      <c r="G115">
        <v>1</v>
      </c>
      <c r="H115">
        <v>221</v>
      </c>
      <c r="I115">
        <v>0</v>
      </c>
      <c r="J115">
        <v>2</v>
      </c>
      <c r="K115">
        <v>0</v>
      </c>
      <c r="L115">
        <v>3</v>
      </c>
      <c r="M115">
        <v>0</v>
      </c>
      <c r="N115">
        <v>46</v>
      </c>
      <c r="O115">
        <v>11</v>
      </c>
      <c r="P115">
        <v>27</v>
      </c>
      <c r="Q115">
        <v>4</v>
      </c>
      <c r="R115">
        <v>0</v>
      </c>
      <c r="S115">
        <v>0</v>
      </c>
      <c r="T115">
        <v>15</v>
      </c>
      <c r="U115">
        <v>50</v>
      </c>
      <c r="V115">
        <v>13</v>
      </c>
      <c r="W115">
        <v>624</v>
      </c>
      <c r="X115">
        <v>0</v>
      </c>
      <c r="Y115">
        <v>234</v>
      </c>
      <c r="Z115">
        <v>209</v>
      </c>
      <c r="AA115">
        <v>367</v>
      </c>
      <c r="AB115">
        <v>737</v>
      </c>
      <c r="AC115">
        <v>836</v>
      </c>
      <c r="AD115">
        <v>110</v>
      </c>
      <c r="AE115">
        <v>7</v>
      </c>
      <c r="AF115">
        <v>250</v>
      </c>
      <c r="AG115">
        <v>20</v>
      </c>
    </row>
    <row r="116" spans="1:33" x14ac:dyDescent="0.3">
      <c r="A116" t="s">
        <v>33</v>
      </c>
      <c r="B116" t="s">
        <v>72</v>
      </c>
      <c r="C116" t="s">
        <v>32</v>
      </c>
      <c r="D116" s="1">
        <v>1092</v>
      </c>
      <c r="E116">
        <v>0</v>
      </c>
      <c r="F116">
        <v>18</v>
      </c>
      <c r="G116">
        <v>2</v>
      </c>
      <c r="H116">
        <v>21</v>
      </c>
      <c r="I116">
        <v>0</v>
      </c>
      <c r="J116">
        <v>1</v>
      </c>
      <c r="K116">
        <v>0</v>
      </c>
      <c r="L116">
        <v>2</v>
      </c>
      <c r="M116">
        <v>0</v>
      </c>
      <c r="N116">
        <v>6</v>
      </c>
      <c r="O116">
        <v>0</v>
      </c>
      <c r="P116">
        <v>39</v>
      </c>
      <c r="Q116">
        <v>0</v>
      </c>
      <c r="R116">
        <v>0</v>
      </c>
      <c r="S116">
        <v>0</v>
      </c>
      <c r="T116">
        <v>4</v>
      </c>
      <c r="U116">
        <v>61</v>
      </c>
      <c r="V116">
        <v>0</v>
      </c>
      <c r="W116">
        <v>221</v>
      </c>
      <c r="X116">
        <v>0</v>
      </c>
      <c r="Y116">
        <v>60</v>
      </c>
      <c r="Z116">
        <v>36</v>
      </c>
      <c r="AA116">
        <v>25</v>
      </c>
      <c r="AB116">
        <v>245</v>
      </c>
      <c r="AC116">
        <v>288</v>
      </c>
      <c r="AD116">
        <v>24</v>
      </c>
      <c r="AE116">
        <v>3</v>
      </c>
      <c r="AF116">
        <v>31</v>
      </c>
      <c r="AG116">
        <v>5</v>
      </c>
    </row>
    <row r="117" spans="1:33" x14ac:dyDescent="0.3">
      <c r="A117" t="s">
        <v>33</v>
      </c>
      <c r="B117" t="s">
        <v>72</v>
      </c>
      <c r="C117" t="s">
        <v>35</v>
      </c>
      <c r="D117">
        <v>530</v>
      </c>
      <c r="E117">
        <v>0</v>
      </c>
      <c r="F117">
        <v>7</v>
      </c>
      <c r="G117">
        <v>2</v>
      </c>
      <c r="H117">
        <v>10</v>
      </c>
      <c r="I117">
        <v>0</v>
      </c>
      <c r="J117">
        <v>1</v>
      </c>
      <c r="K117">
        <v>0</v>
      </c>
      <c r="L117">
        <v>2</v>
      </c>
      <c r="M117">
        <v>0</v>
      </c>
      <c r="N117">
        <v>4</v>
      </c>
      <c r="O117">
        <v>0</v>
      </c>
      <c r="P117">
        <v>15</v>
      </c>
      <c r="Q117">
        <v>0</v>
      </c>
      <c r="R117">
        <v>0</v>
      </c>
      <c r="S117">
        <v>0</v>
      </c>
      <c r="T117">
        <v>1</v>
      </c>
      <c r="U117">
        <v>49</v>
      </c>
      <c r="V117">
        <v>0</v>
      </c>
      <c r="W117">
        <v>180</v>
      </c>
      <c r="X117">
        <v>0</v>
      </c>
      <c r="Y117">
        <v>23</v>
      </c>
      <c r="Z117">
        <v>12</v>
      </c>
      <c r="AA117">
        <v>9</v>
      </c>
      <c r="AB117">
        <v>108</v>
      </c>
      <c r="AC117">
        <v>67</v>
      </c>
      <c r="AD117">
        <v>18</v>
      </c>
      <c r="AE117">
        <v>1</v>
      </c>
      <c r="AF117">
        <v>17</v>
      </c>
      <c r="AG117">
        <v>4</v>
      </c>
    </row>
    <row r="118" spans="1:33" x14ac:dyDescent="0.3">
      <c r="A118" t="s">
        <v>33</v>
      </c>
      <c r="B118" t="s">
        <v>72</v>
      </c>
      <c r="C118" t="s">
        <v>36</v>
      </c>
      <c r="D118">
        <v>562</v>
      </c>
      <c r="E118">
        <v>0</v>
      </c>
      <c r="F118">
        <v>11</v>
      </c>
      <c r="G118">
        <v>0</v>
      </c>
      <c r="H118">
        <v>11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24</v>
      </c>
      <c r="Q118">
        <v>0</v>
      </c>
      <c r="R118">
        <v>0</v>
      </c>
      <c r="S118">
        <v>0</v>
      </c>
      <c r="T118">
        <v>3</v>
      </c>
      <c r="U118">
        <v>12</v>
      </c>
      <c r="V118">
        <v>0</v>
      </c>
      <c r="W118">
        <v>41</v>
      </c>
      <c r="X118">
        <v>0</v>
      </c>
      <c r="Y118">
        <v>37</v>
      </c>
      <c r="Z118">
        <v>24</v>
      </c>
      <c r="AA118">
        <v>16</v>
      </c>
      <c r="AB118">
        <v>137</v>
      </c>
      <c r="AC118">
        <v>221</v>
      </c>
      <c r="AD118">
        <v>6</v>
      </c>
      <c r="AE118">
        <v>2</v>
      </c>
      <c r="AF118">
        <v>14</v>
      </c>
      <c r="AG118">
        <v>1</v>
      </c>
    </row>
    <row r="119" spans="1:33" x14ac:dyDescent="0.3">
      <c r="A119" t="s">
        <v>33</v>
      </c>
      <c r="B119" t="s">
        <v>73</v>
      </c>
      <c r="C119" t="s">
        <v>32</v>
      </c>
      <c r="D119" s="1">
        <v>8200</v>
      </c>
      <c r="E119">
        <v>0</v>
      </c>
      <c r="F119" s="1">
        <v>2497</v>
      </c>
      <c r="G119">
        <v>3</v>
      </c>
      <c r="H119" s="1">
        <v>1406</v>
      </c>
      <c r="I119">
        <v>0</v>
      </c>
      <c r="J119">
        <v>4</v>
      </c>
      <c r="K119">
        <v>0</v>
      </c>
      <c r="L119">
        <v>19</v>
      </c>
      <c r="M119">
        <v>15</v>
      </c>
      <c r="N119">
        <v>166</v>
      </c>
      <c r="O119">
        <v>4</v>
      </c>
      <c r="P119">
        <v>63</v>
      </c>
      <c r="Q119">
        <v>0</v>
      </c>
      <c r="R119">
        <v>0</v>
      </c>
      <c r="S119">
        <v>0</v>
      </c>
      <c r="T119">
        <v>25</v>
      </c>
      <c r="U119">
        <v>92</v>
      </c>
      <c r="V119">
        <v>5</v>
      </c>
      <c r="W119">
        <v>231</v>
      </c>
      <c r="X119">
        <v>0</v>
      </c>
      <c r="Y119">
        <v>410</v>
      </c>
      <c r="Z119">
        <v>229</v>
      </c>
      <c r="AA119">
        <v>252</v>
      </c>
      <c r="AB119">
        <v>984</v>
      </c>
      <c r="AC119" s="1">
        <v>1150</v>
      </c>
      <c r="AD119">
        <v>205</v>
      </c>
      <c r="AE119">
        <v>9</v>
      </c>
      <c r="AF119">
        <v>238</v>
      </c>
      <c r="AG119">
        <v>193</v>
      </c>
    </row>
    <row r="120" spans="1:33" x14ac:dyDescent="0.3">
      <c r="A120" t="s">
        <v>33</v>
      </c>
      <c r="B120" t="s">
        <v>73</v>
      </c>
      <c r="C120" t="s">
        <v>35</v>
      </c>
      <c r="D120" s="1">
        <v>4025</v>
      </c>
      <c r="E120">
        <v>0</v>
      </c>
      <c r="F120" s="1">
        <v>1349</v>
      </c>
      <c r="G120">
        <v>2</v>
      </c>
      <c r="H120">
        <v>865</v>
      </c>
      <c r="I120">
        <v>0</v>
      </c>
      <c r="J120">
        <v>4</v>
      </c>
      <c r="K120">
        <v>0</v>
      </c>
      <c r="L120">
        <v>10</v>
      </c>
      <c r="M120">
        <v>10</v>
      </c>
      <c r="N120">
        <v>67</v>
      </c>
      <c r="O120">
        <v>3</v>
      </c>
      <c r="P120">
        <v>15</v>
      </c>
      <c r="Q120">
        <v>0</v>
      </c>
      <c r="R120">
        <v>0</v>
      </c>
      <c r="S120">
        <v>0</v>
      </c>
      <c r="T120">
        <v>3</v>
      </c>
      <c r="U120">
        <v>58</v>
      </c>
      <c r="V120">
        <v>5</v>
      </c>
      <c r="W120">
        <v>189</v>
      </c>
      <c r="X120">
        <v>0</v>
      </c>
      <c r="Y120">
        <v>163</v>
      </c>
      <c r="Z120">
        <v>79</v>
      </c>
      <c r="AA120">
        <v>118</v>
      </c>
      <c r="AB120">
        <v>454</v>
      </c>
      <c r="AC120">
        <v>208</v>
      </c>
      <c r="AD120">
        <v>148</v>
      </c>
      <c r="AE120">
        <v>1</v>
      </c>
      <c r="AF120">
        <v>129</v>
      </c>
      <c r="AG120">
        <v>145</v>
      </c>
    </row>
    <row r="121" spans="1:33" x14ac:dyDescent="0.3">
      <c r="A121" t="s">
        <v>33</v>
      </c>
      <c r="B121" t="s">
        <v>73</v>
      </c>
      <c r="C121" t="s">
        <v>36</v>
      </c>
      <c r="D121" s="1">
        <v>4175</v>
      </c>
      <c r="E121">
        <v>0</v>
      </c>
      <c r="F121" s="1">
        <v>1148</v>
      </c>
      <c r="G121">
        <v>1</v>
      </c>
      <c r="H121">
        <v>541</v>
      </c>
      <c r="I121">
        <v>0</v>
      </c>
      <c r="J121">
        <v>0</v>
      </c>
      <c r="K121">
        <v>0</v>
      </c>
      <c r="L121">
        <v>9</v>
      </c>
      <c r="M121">
        <v>5</v>
      </c>
      <c r="N121">
        <v>99</v>
      </c>
      <c r="O121">
        <v>1</v>
      </c>
      <c r="P121">
        <v>48</v>
      </c>
      <c r="Q121">
        <v>0</v>
      </c>
      <c r="R121">
        <v>0</v>
      </c>
      <c r="S121">
        <v>0</v>
      </c>
      <c r="T121">
        <v>22</v>
      </c>
      <c r="U121">
        <v>34</v>
      </c>
      <c r="V121">
        <v>0</v>
      </c>
      <c r="W121">
        <v>42</v>
      </c>
      <c r="X121">
        <v>0</v>
      </c>
      <c r="Y121">
        <v>247</v>
      </c>
      <c r="Z121">
        <v>150</v>
      </c>
      <c r="AA121">
        <v>134</v>
      </c>
      <c r="AB121">
        <v>530</v>
      </c>
      <c r="AC121">
        <v>942</v>
      </c>
      <c r="AD121">
        <v>57</v>
      </c>
      <c r="AE121">
        <v>8</v>
      </c>
      <c r="AF121">
        <v>109</v>
      </c>
      <c r="AG121">
        <v>48</v>
      </c>
    </row>
    <row r="122" spans="1:33" x14ac:dyDescent="0.3">
      <c r="A122" t="s">
        <v>33</v>
      </c>
      <c r="B122" t="s">
        <v>74</v>
      </c>
      <c r="C122" t="s">
        <v>32</v>
      </c>
      <c r="D122" s="1">
        <v>11384</v>
      </c>
      <c r="E122">
        <v>1</v>
      </c>
      <c r="F122">
        <v>374</v>
      </c>
      <c r="G122">
        <v>0</v>
      </c>
      <c r="H122">
        <v>282</v>
      </c>
      <c r="I122">
        <v>0</v>
      </c>
      <c r="J122">
        <v>3</v>
      </c>
      <c r="K122">
        <v>5</v>
      </c>
      <c r="L122">
        <v>24</v>
      </c>
      <c r="M122">
        <v>16</v>
      </c>
      <c r="N122">
        <v>42</v>
      </c>
      <c r="O122">
        <v>2</v>
      </c>
      <c r="P122">
        <v>20</v>
      </c>
      <c r="Q122">
        <v>2</v>
      </c>
      <c r="R122">
        <v>0</v>
      </c>
      <c r="S122">
        <v>0</v>
      </c>
      <c r="T122">
        <v>4</v>
      </c>
      <c r="U122">
        <v>535</v>
      </c>
      <c r="V122">
        <v>27</v>
      </c>
      <c r="W122" s="1">
        <v>6508</v>
      </c>
      <c r="X122">
        <v>0</v>
      </c>
      <c r="Y122">
        <v>316</v>
      </c>
      <c r="Z122">
        <v>194</v>
      </c>
      <c r="AA122">
        <v>329</v>
      </c>
      <c r="AB122">
        <v>775</v>
      </c>
      <c r="AC122">
        <v>760</v>
      </c>
      <c r="AD122">
        <v>747</v>
      </c>
      <c r="AE122">
        <v>4</v>
      </c>
      <c r="AF122">
        <v>361</v>
      </c>
      <c r="AG122">
        <v>53</v>
      </c>
    </row>
    <row r="123" spans="1:33" x14ac:dyDescent="0.3">
      <c r="A123" t="s">
        <v>33</v>
      </c>
      <c r="B123" t="s">
        <v>74</v>
      </c>
      <c r="C123" t="s">
        <v>35</v>
      </c>
      <c r="D123" s="1">
        <v>7382</v>
      </c>
      <c r="E123">
        <v>0</v>
      </c>
      <c r="F123">
        <v>252</v>
      </c>
      <c r="G123">
        <v>0</v>
      </c>
      <c r="H123">
        <v>183</v>
      </c>
      <c r="I123">
        <v>0</v>
      </c>
      <c r="J123">
        <v>2</v>
      </c>
      <c r="K123">
        <v>4</v>
      </c>
      <c r="L123">
        <v>18</v>
      </c>
      <c r="M123">
        <v>11</v>
      </c>
      <c r="N123">
        <v>20</v>
      </c>
      <c r="O123">
        <v>1</v>
      </c>
      <c r="P123">
        <v>3</v>
      </c>
      <c r="Q123">
        <v>2</v>
      </c>
      <c r="R123">
        <v>0</v>
      </c>
      <c r="S123">
        <v>0</v>
      </c>
      <c r="T123">
        <v>2</v>
      </c>
      <c r="U123">
        <v>472</v>
      </c>
      <c r="V123">
        <v>19</v>
      </c>
      <c r="W123" s="1">
        <v>4831</v>
      </c>
      <c r="X123">
        <v>0</v>
      </c>
      <c r="Y123">
        <v>120</v>
      </c>
      <c r="Z123">
        <v>75</v>
      </c>
      <c r="AA123">
        <v>98</v>
      </c>
      <c r="AB123">
        <v>370</v>
      </c>
      <c r="AC123">
        <v>111</v>
      </c>
      <c r="AD123">
        <v>535</v>
      </c>
      <c r="AE123">
        <v>1</v>
      </c>
      <c r="AF123">
        <v>214</v>
      </c>
      <c r="AG123">
        <v>38</v>
      </c>
    </row>
    <row r="124" spans="1:33" x14ac:dyDescent="0.3">
      <c r="A124" t="s">
        <v>33</v>
      </c>
      <c r="B124" t="s">
        <v>74</v>
      </c>
      <c r="C124" t="s">
        <v>36</v>
      </c>
      <c r="D124" s="1">
        <v>4002</v>
      </c>
      <c r="E124">
        <v>1</v>
      </c>
      <c r="F124">
        <v>122</v>
      </c>
      <c r="G124">
        <v>0</v>
      </c>
      <c r="H124">
        <v>99</v>
      </c>
      <c r="I124">
        <v>0</v>
      </c>
      <c r="J124">
        <v>1</v>
      </c>
      <c r="K124">
        <v>1</v>
      </c>
      <c r="L124">
        <v>6</v>
      </c>
      <c r="M124">
        <v>5</v>
      </c>
      <c r="N124">
        <v>22</v>
      </c>
      <c r="O124">
        <v>1</v>
      </c>
      <c r="P124">
        <v>17</v>
      </c>
      <c r="Q124">
        <v>0</v>
      </c>
      <c r="R124">
        <v>0</v>
      </c>
      <c r="S124">
        <v>0</v>
      </c>
      <c r="T124">
        <v>2</v>
      </c>
      <c r="U124">
        <v>63</v>
      </c>
      <c r="V124">
        <v>8</v>
      </c>
      <c r="W124" s="1">
        <v>1677</v>
      </c>
      <c r="X124">
        <v>0</v>
      </c>
      <c r="Y124">
        <v>196</v>
      </c>
      <c r="Z124">
        <v>119</v>
      </c>
      <c r="AA124">
        <v>231</v>
      </c>
      <c r="AB124">
        <v>405</v>
      </c>
      <c r="AC124">
        <v>649</v>
      </c>
      <c r="AD124">
        <v>212</v>
      </c>
      <c r="AE124">
        <v>3</v>
      </c>
      <c r="AF124">
        <v>147</v>
      </c>
      <c r="AG124">
        <v>15</v>
      </c>
    </row>
    <row r="125" spans="1:33" x14ac:dyDescent="0.3">
      <c r="A125" t="s">
        <v>33</v>
      </c>
      <c r="B125" t="s">
        <v>75</v>
      </c>
      <c r="C125" t="s">
        <v>32</v>
      </c>
      <c r="D125" s="1">
        <v>16471</v>
      </c>
      <c r="E125">
        <v>0</v>
      </c>
      <c r="F125">
        <v>254</v>
      </c>
      <c r="G125">
        <v>9</v>
      </c>
      <c r="H125">
        <v>142</v>
      </c>
      <c r="I125">
        <v>0</v>
      </c>
      <c r="J125">
        <v>11</v>
      </c>
      <c r="K125">
        <v>7</v>
      </c>
      <c r="L125">
        <v>65</v>
      </c>
      <c r="M125">
        <v>15</v>
      </c>
      <c r="N125">
        <v>45</v>
      </c>
      <c r="O125">
        <v>0</v>
      </c>
      <c r="P125">
        <v>115</v>
      </c>
      <c r="Q125">
        <v>0</v>
      </c>
      <c r="R125">
        <v>0</v>
      </c>
      <c r="S125">
        <v>0</v>
      </c>
      <c r="T125">
        <v>27</v>
      </c>
      <c r="U125" s="1">
        <v>1194</v>
      </c>
      <c r="V125">
        <v>55</v>
      </c>
      <c r="W125" s="1">
        <v>7950</v>
      </c>
      <c r="X125">
        <v>0</v>
      </c>
      <c r="Y125">
        <v>537</v>
      </c>
      <c r="Z125">
        <v>352</v>
      </c>
      <c r="AA125">
        <v>746</v>
      </c>
      <c r="AB125" s="1">
        <v>1401</v>
      </c>
      <c r="AC125" s="1">
        <v>1835</v>
      </c>
      <c r="AD125" s="1">
        <v>1015</v>
      </c>
      <c r="AE125">
        <v>10</v>
      </c>
      <c r="AF125">
        <v>408</v>
      </c>
      <c r="AG125">
        <v>278</v>
      </c>
    </row>
    <row r="126" spans="1:33" x14ac:dyDescent="0.3">
      <c r="A126" t="s">
        <v>33</v>
      </c>
      <c r="B126" t="s">
        <v>75</v>
      </c>
      <c r="C126" t="s">
        <v>35</v>
      </c>
      <c r="D126" s="1">
        <v>11872</v>
      </c>
      <c r="E126">
        <v>0</v>
      </c>
      <c r="F126">
        <v>163</v>
      </c>
      <c r="G126">
        <v>8</v>
      </c>
      <c r="H126">
        <v>100</v>
      </c>
      <c r="I126">
        <v>0</v>
      </c>
      <c r="J126">
        <v>8</v>
      </c>
      <c r="K126">
        <v>6</v>
      </c>
      <c r="L126">
        <v>58</v>
      </c>
      <c r="M126">
        <v>14</v>
      </c>
      <c r="N126">
        <v>26</v>
      </c>
      <c r="O126">
        <v>0</v>
      </c>
      <c r="P126">
        <v>36</v>
      </c>
      <c r="Q126">
        <v>0</v>
      </c>
      <c r="R126">
        <v>0</v>
      </c>
      <c r="S126">
        <v>0</v>
      </c>
      <c r="T126">
        <v>9</v>
      </c>
      <c r="U126" s="1">
        <v>1147</v>
      </c>
      <c r="V126">
        <v>38</v>
      </c>
      <c r="W126" s="1">
        <v>7402</v>
      </c>
      <c r="X126">
        <v>0</v>
      </c>
      <c r="Y126">
        <v>212</v>
      </c>
      <c r="Z126">
        <v>159</v>
      </c>
      <c r="AA126">
        <v>194</v>
      </c>
      <c r="AB126">
        <v>663</v>
      </c>
      <c r="AC126">
        <v>346</v>
      </c>
      <c r="AD126">
        <v>803</v>
      </c>
      <c r="AE126">
        <v>3</v>
      </c>
      <c r="AF126">
        <v>243</v>
      </c>
      <c r="AG126">
        <v>234</v>
      </c>
    </row>
    <row r="127" spans="1:33" x14ac:dyDescent="0.3">
      <c r="A127" t="s">
        <v>33</v>
      </c>
      <c r="B127" t="s">
        <v>75</v>
      </c>
      <c r="C127" t="s">
        <v>36</v>
      </c>
      <c r="D127" s="1">
        <v>4599</v>
      </c>
      <c r="E127">
        <v>0</v>
      </c>
      <c r="F127">
        <v>91</v>
      </c>
      <c r="G127">
        <v>1</v>
      </c>
      <c r="H127">
        <v>42</v>
      </c>
      <c r="I127">
        <v>0</v>
      </c>
      <c r="J127">
        <v>3</v>
      </c>
      <c r="K127">
        <v>1</v>
      </c>
      <c r="L127">
        <v>7</v>
      </c>
      <c r="M127">
        <v>1</v>
      </c>
      <c r="N127">
        <v>19</v>
      </c>
      <c r="O127">
        <v>0</v>
      </c>
      <c r="P127">
        <v>79</v>
      </c>
      <c r="Q127">
        <v>0</v>
      </c>
      <c r="R127">
        <v>0</v>
      </c>
      <c r="S127">
        <v>0</v>
      </c>
      <c r="T127">
        <v>18</v>
      </c>
      <c r="U127">
        <v>47</v>
      </c>
      <c r="V127">
        <v>17</v>
      </c>
      <c r="W127">
        <v>548</v>
      </c>
      <c r="X127">
        <v>0</v>
      </c>
      <c r="Y127">
        <v>325</v>
      </c>
      <c r="Z127">
        <v>193</v>
      </c>
      <c r="AA127">
        <v>552</v>
      </c>
      <c r="AB127">
        <v>738</v>
      </c>
      <c r="AC127" s="1">
        <v>1489</v>
      </c>
      <c r="AD127">
        <v>212</v>
      </c>
      <c r="AE127">
        <v>7</v>
      </c>
      <c r="AF127">
        <v>165</v>
      </c>
      <c r="AG127">
        <v>44</v>
      </c>
    </row>
    <row r="128" spans="1:33" x14ac:dyDescent="0.3">
      <c r="A128" t="s">
        <v>33</v>
      </c>
      <c r="B128" t="s">
        <v>76</v>
      </c>
      <c r="C128" t="s">
        <v>32</v>
      </c>
      <c r="D128" s="1">
        <v>36187</v>
      </c>
      <c r="E128">
        <v>0</v>
      </c>
      <c r="F128" s="1">
        <v>1182</v>
      </c>
      <c r="G128">
        <v>12</v>
      </c>
      <c r="H128">
        <v>573</v>
      </c>
      <c r="I128">
        <v>0</v>
      </c>
      <c r="J128">
        <v>16</v>
      </c>
      <c r="K128">
        <v>13</v>
      </c>
      <c r="L128">
        <v>169</v>
      </c>
      <c r="M128">
        <v>18</v>
      </c>
      <c r="N128">
        <v>244</v>
      </c>
      <c r="O128">
        <v>7</v>
      </c>
      <c r="P128">
        <v>132</v>
      </c>
      <c r="Q128">
        <v>3</v>
      </c>
      <c r="R128">
        <v>7</v>
      </c>
      <c r="S128">
        <v>0</v>
      </c>
      <c r="T128">
        <v>321</v>
      </c>
      <c r="U128" s="1">
        <v>1225</v>
      </c>
      <c r="V128">
        <v>166</v>
      </c>
      <c r="W128" s="1">
        <v>6026</v>
      </c>
      <c r="X128">
        <v>1</v>
      </c>
      <c r="Y128" s="1">
        <v>1897</v>
      </c>
      <c r="Z128" s="1">
        <v>1135</v>
      </c>
      <c r="AA128" s="1">
        <v>1584</v>
      </c>
      <c r="AB128" s="1">
        <v>4634</v>
      </c>
      <c r="AC128" s="1">
        <v>3430</v>
      </c>
      <c r="AD128" s="1">
        <v>2430</v>
      </c>
      <c r="AE128">
        <v>24</v>
      </c>
      <c r="AF128" s="1">
        <v>1983</v>
      </c>
      <c r="AG128" s="1">
        <v>8955</v>
      </c>
    </row>
    <row r="129" spans="1:33" x14ac:dyDescent="0.3">
      <c r="A129" t="s">
        <v>33</v>
      </c>
      <c r="B129" t="s">
        <v>76</v>
      </c>
      <c r="C129" t="s">
        <v>35</v>
      </c>
      <c r="D129" s="1">
        <v>21176</v>
      </c>
      <c r="E129">
        <v>0</v>
      </c>
      <c r="F129">
        <v>595</v>
      </c>
      <c r="G129">
        <v>8</v>
      </c>
      <c r="H129">
        <v>331</v>
      </c>
      <c r="I129">
        <v>0</v>
      </c>
      <c r="J129">
        <v>14</v>
      </c>
      <c r="K129">
        <v>12</v>
      </c>
      <c r="L129">
        <v>146</v>
      </c>
      <c r="M129">
        <v>14</v>
      </c>
      <c r="N129">
        <v>113</v>
      </c>
      <c r="O129">
        <v>5</v>
      </c>
      <c r="P129">
        <v>24</v>
      </c>
      <c r="Q129">
        <v>1</v>
      </c>
      <c r="R129">
        <v>7</v>
      </c>
      <c r="S129">
        <v>0</v>
      </c>
      <c r="T129">
        <v>17</v>
      </c>
      <c r="U129" s="1">
        <v>1136</v>
      </c>
      <c r="V129">
        <v>116</v>
      </c>
      <c r="W129" s="1">
        <v>5568</v>
      </c>
      <c r="X129">
        <v>1</v>
      </c>
      <c r="Y129">
        <v>782</v>
      </c>
      <c r="Z129">
        <v>466</v>
      </c>
      <c r="AA129">
        <v>645</v>
      </c>
      <c r="AB129" s="1">
        <v>2553</v>
      </c>
      <c r="AC129">
        <v>772</v>
      </c>
      <c r="AD129" s="1">
        <v>1804</v>
      </c>
      <c r="AE129">
        <v>2</v>
      </c>
      <c r="AF129" s="1">
        <v>1055</v>
      </c>
      <c r="AG129" s="1">
        <v>4989</v>
      </c>
    </row>
    <row r="130" spans="1:33" x14ac:dyDescent="0.3">
      <c r="A130" t="s">
        <v>33</v>
      </c>
      <c r="B130" t="s">
        <v>76</v>
      </c>
      <c r="C130" t="s">
        <v>36</v>
      </c>
      <c r="D130" s="1">
        <v>15011</v>
      </c>
      <c r="E130">
        <v>0</v>
      </c>
      <c r="F130">
        <v>587</v>
      </c>
      <c r="G130">
        <v>4</v>
      </c>
      <c r="H130">
        <v>242</v>
      </c>
      <c r="I130">
        <v>0</v>
      </c>
      <c r="J130">
        <v>2</v>
      </c>
      <c r="K130">
        <v>1</v>
      </c>
      <c r="L130">
        <v>23</v>
      </c>
      <c r="M130">
        <v>4</v>
      </c>
      <c r="N130">
        <v>131</v>
      </c>
      <c r="O130">
        <v>2</v>
      </c>
      <c r="P130">
        <v>108</v>
      </c>
      <c r="Q130">
        <v>2</v>
      </c>
      <c r="R130">
        <v>0</v>
      </c>
      <c r="S130">
        <v>0</v>
      </c>
      <c r="T130">
        <v>304</v>
      </c>
      <c r="U130">
        <v>89</v>
      </c>
      <c r="V130">
        <v>50</v>
      </c>
      <c r="W130">
        <v>458</v>
      </c>
      <c r="X130">
        <v>0</v>
      </c>
      <c r="Y130" s="1">
        <v>1115</v>
      </c>
      <c r="Z130">
        <v>669</v>
      </c>
      <c r="AA130">
        <v>939</v>
      </c>
      <c r="AB130" s="1">
        <v>2081</v>
      </c>
      <c r="AC130" s="1">
        <v>2658</v>
      </c>
      <c r="AD130">
        <v>626</v>
      </c>
      <c r="AE130">
        <v>22</v>
      </c>
      <c r="AF130">
        <v>928</v>
      </c>
      <c r="AG130" s="1">
        <v>3966</v>
      </c>
    </row>
    <row r="131" spans="1:33" x14ac:dyDescent="0.3">
      <c r="A131" t="s">
        <v>33</v>
      </c>
      <c r="B131" t="s">
        <v>77</v>
      </c>
      <c r="C131" t="s">
        <v>32</v>
      </c>
      <c r="D131" s="1">
        <v>16813</v>
      </c>
      <c r="E131">
        <v>0</v>
      </c>
      <c r="F131">
        <v>668</v>
      </c>
      <c r="G131">
        <v>9</v>
      </c>
      <c r="H131">
        <v>240</v>
      </c>
      <c r="I131">
        <v>0</v>
      </c>
      <c r="J131">
        <v>13</v>
      </c>
      <c r="K131">
        <v>0</v>
      </c>
      <c r="L131">
        <v>20</v>
      </c>
      <c r="M131">
        <v>11</v>
      </c>
      <c r="N131">
        <v>27</v>
      </c>
      <c r="O131">
        <v>2</v>
      </c>
      <c r="P131">
        <v>14</v>
      </c>
      <c r="Q131">
        <v>1</v>
      </c>
      <c r="R131">
        <v>0</v>
      </c>
      <c r="S131">
        <v>0</v>
      </c>
      <c r="T131">
        <v>9</v>
      </c>
      <c r="U131" s="1">
        <v>1453</v>
      </c>
      <c r="V131">
        <v>5</v>
      </c>
      <c r="W131" s="1">
        <v>9073</v>
      </c>
      <c r="X131">
        <v>0</v>
      </c>
      <c r="Y131">
        <v>325</v>
      </c>
      <c r="Z131">
        <v>191</v>
      </c>
      <c r="AA131">
        <v>737</v>
      </c>
      <c r="AB131">
        <v>779</v>
      </c>
      <c r="AC131">
        <v>771</v>
      </c>
      <c r="AD131" s="1">
        <v>1800</v>
      </c>
      <c r="AE131">
        <v>1</v>
      </c>
      <c r="AF131">
        <v>208</v>
      </c>
      <c r="AG131">
        <v>456</v>
      </c>
    </row>
    <row r="132" spans="1:33" x14ac:dyDescent="0.3">
      <c r="A132" t="s">
        <v>33</v>
      </c>
      <c r="B132" t="s">
        <v>77</v>
      </c>
      <c r="C132" t="s">
        <v>35</v>
      </c>
      <c r="D132" s="1">
        <v>12651</v>
      </c>
      <c r="E132">
        <v>0</v>
      </c>
      <c r="F132">
        <v>375</v>
      </c>
      <c r="G132">
        <v>7</v>
      </c>
      <c r="H132">
        <v>163</v>
      </c>
      <c r="I132">
        <v>0</v>
      </c>
      <c r="J132">
        <v>7</v>
      </c>
      <c r="K132">
        <v>0</v>
      </c>
      <c r="L132">
        <v>16</v>
      </c>
      <c r="M132">
        <v>9</v>
      </c>
      <c r="N132">
        <v>14</v>
      </c>
      <c r="O132">
        <v>2</v>
      </c>
      <c r="P132">
        <v>4</v>
      </c>
      <c r="Q132">
        <v>1</v>
      </c>
      <c r="R132">
        <v>0</v>
      </c>
      <c r="S132">
        <v>0</v>
      </c>
      <c r="T132">
        <v>6</v>
      </c>
      <c r="U132" s="1">
        <v>1375</v>
      </c>
      <c r="V132">
        <v>2</v>
      </c>
      <c r="W132" s="1">
        <v>7613</v>
      </c>
      <c r="X132">
        <v>0</v>
      </c>
      <c r="Y132">
        <v>137</v>
      </c>
      <c r="Z132">
        <v>85</v>
      </c>
      <c r="AA132">
        <v>179</v>
      </c>
      <c r="AB132">
        <v>395</v>
      </c>
      <c r="AC132">
        <v>132</v>
      </c>
      <c r="AD132" s="1">
        <v>1594</v>
      </c>
      <c r="AE132">
        <v>1</v>
      </c>
      <c r="AF132">
        <v>119</v>
      </c>
      <c r="AG132">
        <v>415</v>
      </c>
    </row>
    <row r="133" spans="1:33" x14ac:dyDescent="0.3">
      <c r="A133" t="s">
        <v>33</v>
      </c>
      <c r="B133" t="s">
        <v>77</v>
      </c>
      <c r="C133" t="s">
        <v>36</v>
      </c>
      <c r="D133" s="1">
        <v>4162</v>
      </c>
      <c r="E133">
        <v>0</v>
      </c>
      <c r="F133">
        <v>293</v>
      </c>
      <c r="G133">
        <v>2</v>
      </c>
      <c r="H133">
        <v>77</v>
      </c>
      <c r="I133">
        <v>0</v>
      </c>
      <c r="J133">
        <v>6</v>
      </c>
      <c r="K133">
        <v>0</v>
      </c>
      <c r="L133">
        <v>4</v>
      </c>
      <c r="M133">
        <v>2</v>
      </c>
      <c r="N133">
        <v>13</v>
      </c>
      <c r="O133">
        <v>0</v>
      </c>
      <c r="P133">
        <v>10</v>
      </c>
      <c r="Q133">
        <v>0</v>
      </c>
      <c r="R133">
        <v>0</v>
      </c>
      <c r="S133">
        <v>0</v>
      </c>
      <c r="T133">
        <v>3</v>
      </c>
      <c r="U133">
        <v>78</v>
      </c>
      <c r="V133">
        <v>3</v>
      </c>
      <c r="W133" s="1">
        <v>1460</v>
      </c>
      <c r="X133">
        <v>0</v>
      </c>
      <c r="Y133">
        <v>188</v>
      </c>
      <c r="Z133">
        <v>106</v>
      </c>
      <c r="AA133">
        <v>558</v>
      </c>
      <c r="AB133">
        <v>384</v>
      </c>
      <c r="AC133">
        <v>639</v>
      </c>
      <c r="AD133">
        <v>206</v>
      </c>
      <c r="AE133">
        <v>0</v>
      </c>
      <c r="AF133">
        <v>89</v>
      </c>
      <c r="AG133">
        <v>41</v>
      </c>
    </row>
    <row r="134" spans="1:33" x14ac:dyDescent="0.3">
      <c r="A134" t="s">
        <v>33</v>
      </c>
      <c r="B134" t="s">
        <v>78</v>
      </c>
      <c r="C134" t="s">
        <v>32</v>
      </c>
      <c r="D134" s="1">
        <v>2680</v>
      </c>
      <c r="E134">
        <v>0</v>
      </c>
      <c r="F134">
        <v>95</v>
      </c>
      <c r="G134">
        <v>0</v>
      </c>
      <c r="H134">
        <v>43</v>
      </c>
      <c r="I134">
        <v>0</v>
      </c>
      <c r="J134">
        <v>4</v>
      </c>
      <c r="K134">
        <v>0</v>
      </c>
      <c r="L134">
        <v>20</v>
      </c>
      <c r="M134">
        <v>6</v>
      </c>
      <c r="N134">
        <v>17</v>
      </c>
      <c r="O134">
        <v>5</v>
      </c>
      <c r="P134">
        <v>129</v>
      </c>
      <c r="Q134">
        <v>1</v>
      </c>
      <c r="R134">
        <v>0</v>
      </c>
      <c r="S134">
        <v>0</v>
      </c>
      <c r="T134">
        <v>19</v>
      </c>
      <c r="U134">
        <v>230</v>
      </c>
      <c r="V134">
        <v>0</v>
      </c>
      <c r="W134">
        <v>425</v>
      </c>
      <c r="X134">
        <v>0</v>
      </c>
      <c r="Y134">
        <v>127</v>
      </c>
      <c r="Z134">
        <v>119</v>
      </c>
      <c r="AA134">
        <v>202</v>
      </c>
      <c r="AB134">
        <v>394</v>
      </c>
      <c r="AC134">
        <v>637</v>
      </c>
      <c r="AD134">
        <v>85</v>
      </c>
      <c r="AE134">
        <v>12</v>
      </c>
      <c r="AF134">
        <v>89</v>
      </c>
      <c r="AG134">
        <v>21</v>
      </c>
    </row>
    <row r="135" spans="1:33" x14ac:dyDescent="0.3">
      <c r="A135" t="s">
        <v>33</v>
      </c>
      <c r="B135" t="s">
        <v>78</v>
      </c>
      <c r="C135" t="s">
        <v>35</v>
      </c>
      <c r="D135" s="1">
        <v>1275</v>
      </c>
      <c r="E135">
        <v>0</v>
      </c>
      <c r="F135">
        <v>46</v>
      </c>
      <c r="G135">
        <v>0</v>
      </c>
      <c r="H135">
        <v>23</v>
      </c>
      <c r="I135">
        <v>0</v>
      </c>
      <c r="J135">
        <v>2</v>
      </c>
      <c r="K135">
        <v>0</v>
      </c>
      <c r="L135">
        <v>17</v>
      </c>
      <c r="M135">
        <v>5</v>
      </c>
      <c r="N135">
        <v>9</v>
      </c>
      <c r="O135">
        <v>3</v>
      </c>
      <c r="P135">
        <v>37</v>
      </c>
      <c r="Q135">
        <v>1</v>
      </c>
      <c r="R135">
        <v>0</v>
      </c>
      <c r="S135">
        <v>0</v>
      </c>
      <c r="T135">
        <v>9</v>
      </c>
      <c r="U135">
        <v>185</v>
      </c>
      <c r="V135">
        <v>0</v>
      </c>
      <c r="W135">
        <v>362</v>
      </c>
      <c r="X135">
        <v>0</v>
      </c>
      <c r="Y135">
        <v>41</v>
      </c>
      <c r="Z135">
        <v>51</v>
      </c>
      <c r="AA135">
        <v>70</v>
      </c>
      <c r="AB135">
        <v>165</v>
      </c>
      <c r="AC135">
        <v>127</v>
      </c>
      <c r="AD135">
        <v>56</v>
      </c>
      <c r="AE135">
        <v>3</v>
      </c>
      <c r="AF135">
        <v>47</v>
      </c>
      <c r="AG135">
        <v>16</v>
      </c>
    </row>
    <row r="136" spans="1:33" x14ac:dyDescent="0.3">
      <c r="A136" t="s">
        <v>33</v>
      </c>
      <c r="B136" t="s">
        <v>78</v>
      </c>
      <c r="C136" t="s">
        <v>36</v>
      </c>
      <c r="D136" s="1">
        <v>1405</v>
      </c>
      <c r="E136">
        <v>0</v>
      </c>
      <c r="F136">
        <v>49</v>
      </c>
      <c r="G136">
        <v>0</v>
      </c>
      <c r="H136">
        <v>20</v>
      </c>
      <c r="I136">
        <v>0</v>
      </c>
      <c r="J136">
        <v>2</v>
      </c>
      <c r="K136">
        <v>0</v>
      </c>
      <c r="L136">
        <v>3</v>
      </c>
      <c r="M136">
        <v>1</v>
      </c>
      <c r="N136">
        <v>8</v>
      </c>
      <c r="O136">
        <v>2</v>
      </c>
      <c r="P136">
        <v>92</v>
      </c>
      <c r="Q136">
        <v>0</v>
      </c>
      <c r="R136">
        <v>0</v>
      </c>
      <c r="S136">
        <v>0</v>
      </c>
      <c r="T136">
        <v>10</v>
      </c>
      <c r="U136">
        <v>45</v>
      </c>
      <c r="V136">
        <v>0</v>
      </c>
      <c r="W136">
        <v>63</v>
      </c>
      <c r="X136">
        <v>0</v>
      </c>
      <c r="Y136">
        <v>86</v>
      </c>
      <c r="Z136">
        <v>68</v>
      </c>
      <c r="AA136">
        <v>132</v>
      </c>
      <c r="AB136">
        <v>229</v>
      </c>
      <c r="AC136">
        <v>510</v>
      </c>
      <c r="AD136">
        <v>29</v>
      </c>
      <c r="AE136">
        <v>9</v>
      </c>
      <c r="AF136">
        <v>42</v>
      </c>
      <c r="AG136">
        <v>5</v>
      </c>
    </row>
    <row r="137" spans="1:33" x14ac:dyDescent="0.3">
      <c r="A137" t="s">
        <v>33</v>
      </c>
      <c r="B137" t="s">
        <v>79</v>
      </c>
      <c r="C137" t="s">
        <v>32</v>
      </c>
      <c r="D137" s="1">
        <v>54858</v>
      </c>
      <c r="E137">
        <v>0</v>
      </c>
      <c r="F137" s="1">
        <v>1017</v>
      </c>
      <c r="G137">
        <v>32</v>
      </c>
      <c r="H137">
        <v>560</v>
      </c>
      <c r="I137">
        <v>0</v>
      </c>
      <c r="J137">
        <v>47</v>
      </c>
      <c r="K137">
        <v>12</v>
      </c>
      <c r="L137">
        <v>328</v>
      </c>
      <c r="M137">
        <v>27</v>
      </c>
      <c r="N137">
        <v>247</v>
      </c>
      <c r="O137">
        <v>19</v>
      </c>
      <c r="P137">
        <v>300</v>
      </c>
      <c r="Q137">
        <v>63</v>
      </c>
      <c r="R137">
        <v>0</v>
      </c>
      <c r="S137">
        <v>0</v>
      </c>
      <c r="T137">
        <v>15</v>
      </c>
      <c r="U137" s="1">
        <v>4315</v>
      </c>
      <c r="V137">
        <v>41</v>
      </c>
      <c r="W137" s="1">
        <v>26651</v>
      </c>
      <c r="X137">
        <v>1</v>
      </c>
      <c r="Y137" s="1">
        <v>1987</v>
      </c>
      <c r="Z137" s="1">
        <v>1688</v>
      </c>
      <c r="AA137" s="1">
        <v>2928</v>
      </c>
      <c r="AB137" s="1">
        <v>5831</v>
      </c>
      <c r="AC137" s="1">
        <v>3918</v>
      </c>
      <c r="AD137" s="1">
        <v>2303</v>
      </c>
      <c r="AE137">
        <v>18</v>
      </c>
      <c r="AF137" s="1">
        <v>2209</v>
      </c>
      <c r="AG137">
        <v>301</v>
      </c>
    </row>
    <row r="138" spans="1:33" x14ac:dyDescent="0.3">
      <c r="A138" t="s">
        <v>33</v>
      </c>
      <c r="B138" t="s">
        <v>79</v>
      </c>
      <c r="C138" t="s">
        <v>35</v>
      </c>
      <c r="D138" s="1">
        <v>39578</v>
      </c>
      <c r="E138">
        <v>0</v>
      </c>
      <c r="F138">
        <v>528</v>
      </c>
      <c r="G138">
        <v>18</v>
      </c>
      <c r="H138">
        <v>290</v>
      </c>
      <c r="I138">
        <v>0</v>
      </c>
      <c r="J138">
        <v>24</v>
      </c>
      <c r="K138">
        <v>9</v>
      </c>
      <c r="L138">
        <v>295</v>
      </c>
      <c r="M138">
        <v>24</v>
      </c>
      <c r="N138">
        <v>111</v>
      </c>
      <c r="O138">
        <v>10</v>
      </c>
      <c r="P138">
        <v>82</v>
      </c>
      <c r="Q138">
        <v>57</v>
      </c>
      <c r="R138">
        <v>0</v>
      </c>
      <c r="S138">
        <v>0</v>
      </c>
      <c r="T138">
        <v>12</v>
      </c>
      <c r="U138" s="1">
        <v>4016</v>
      </c>
      <c r="V138">
        <v>29</v>
      </c>
      <c r="W138" s="1">
        <v>24386</v>
      </c>
      <c r="X138">
        <v>1</v>
      </c>
      <c r="Y138">
        <v>760</v>
      </c>
      <c r="Z138">
        <v>732</v>
      </c>
      <c r="AA138">
        <v>905</v>
      </c>
      <c r="AB138" s="1">
        <v>3193</v>
      </c>
      <c r="AC138">
        <v>814</v>
      </c>
      <c r="AD138" s="1">
        <v>1791</v>
      </c>
      <c r="AE138">
        <v>2</v>
      </c>
      <c r="AF138" s="1">
        <v>1243</v>
      </c>
      <c r="AG138">
        <v>246</v>
      </c>
    </row>
    <row r="139" spans="1:33" x14ac:dyDescent="0.3">
      <c r="A139" t="s">
        <v>33</v>
      </c>
      <c r="B139" t="s">
        <v>79</v>
      </c>
      <c r="C139" t="s">
        <v>36</v>
      </c>
      <c r="D139" s="1">
        <v>15280</v>
      </c>
      <c r="E139">
        <v>0</v>
      </c>
      <c r="F139">
        <v>489</v>
      </c>
      <c r="G139">
        <v>14</v>
      </c>
      <c r="H139">
        <v>270</v>
      </c>
      <c r="I139">
        <v>0</v>
      </c>
      <c r="J139">
        <v>23</v>
      </c>
      <c r="K139">
        <v>3</v>
      </c>
      <c r="L139">
        <v>33</v>
      </c>
      <c r="M139">
        <v>3</v>
      </c>
      <c r="N139">
        <v>136</v>
      </c>
      <c r="O139">
        <v>9</v>
      </c>
      <c r="P139">
        <v>218</v>
      </c>
      <c r="Q139">
        <v>6</v>
      </c>
      <c r="R139">
        <v>0</v>
      </c>
      <c r="S139">
        <v>0</v>
      </c>
      <c r="T139">
        <v>3</v>
      </c>
      <c r="U139">
        <v>299</v>
      </c>
      <c r="V139">
        <v>12</v>
      </c>
      <c r="W139" s="1">
        <v>2265</v>
      </c>
      <c r="X139">
        <v>0</v>
      </c>
      <c r="Y139" s="1">
        <v>1227</v>
      </c>
      <c r="Z139">
        <v>956</v>
      </c>
      <c r="AA139" s="1">
        <v>2023</v>
      </c>
      <c r="AB139" s="1">
        <v>2638</v>
      </c>
      <c r="AC139" s="1">
        <v>3104</v>
      </c>
      <c r="AD139">
        <v>512</v>
      </c>
      <c r="AE139">
        <v>16</v>
      </c>
      <c r="AF139">
        <v>966</v>
      </c>
      <c r="AG139">
        <v>55</v>
      </c>
    </row>
    <row r="140" spans="1:33" x14ac:dyDescent="0.3">
      <c r="A140" t="s">
        <v>80</v>
      </c>
      <c r="B140" t="s">
        <v>32</v>
      </c>
      <c r="C140" t="s">
        <v>32</v>
      </c>
      <c r="D140" s="1">
        <v>113189</v>
      </c>
      <c r="E140">
        <v>0</v>
      </c>
      <c r="F140" s="1">
        <v>4894</v>
      </c>
      <c r="G140">
        <v>222</v>
      </c>
      <c r="H140" s="1">
        <v>2812</v>
      </c>
      <c r="I140">
        <v>0</v>
      </c>
      <c r="J140">
        <v>76</v>
      </c>
      <c r="K140">
        <v>81</v>
      </c>
      <c r="L140">
        <v>246</v>
      </c>
      <c r="M140">
        <v>655</v>
      </c>
      <c r="N140">
        <v>850</v>
      </c>
      <c r="O140">
        <v>23</v>
      </c>
      <c r="P140">
        <v>575</v>
      </c>
      <c r="Q140">
        <v>130</v>
      </c>
      <c r="R140">
        <v>16</v>
      </c>
      <c r="S140">
        <v>0</v>
      </c>
      <c r="T140">
        <v>292</v>
      </c>
      <c r="U140" s="1">
        <v>13058</v>
      </c>
      <c r="V140" s="1">
        <v>5955</v>
      </c>
      <c r="W140" s="1">
        <v>41718</v>
      </c>
      <c r="X140" s="1">
        <v>3474</v>
      </c>
      <c r="Y140" s="1">
        <v>4626</v>
      </c>
      <c r="Z140" s="1">
        <v>2689</v>
      </c>
      <c r="AA140" s="1">
        <v>6690</v>
      </c>
      <c r="AB140" s="1">
        <v>6049</v>
      </c>
      <c r="AC140" s="1">
        <v>9982</v>
      </c>
      <c r="AD140" s="1">
        <v>5154</v>
      </c>
      <c r="AE140">
        <v>23</v>
      </c>
      <c r="AF140" s="1">
        <v>1645</v>
      </c>
      <c r="AG140" s="1">
        <v>1254</v>
      </c>
    </row>
    <row r="141" spans="1:33" x14ac:dyDescent="0.3">
      <c r="A141" t="s">
        <v>80</v>
      </c>
      <c r="B141" t="s">
        <v>32</v>
      </c>
      <c r="C141" t="s">
        <v>35</v>
      </c>
      <c r="D141" s="1">
        <f>D144+D147+D150+D153+D156+D159+D162+D165+D168+D171+D174+D177+D180+D183+D186+D189+D192+D195+D198+D201+D204+D207</f>
        <v>79697</v>
      </c>
      <c r="E141" s="1">
        <f t="shared" ref="E141:AG141" si="4">E144+E147+E150+E153+E156+E159+E162+E165+E168+E171+E174+E177+E180+E183+E186+E189+E192+E195+E198+E201+E204+E207</f>
        <v>0</v>
      </c>
      <c r="F141" s="1">
        <f t="shared" si="4"/>
        <v>2796</v>
      </c>
      <c r="G141" s="1">
        <f t="shared" si="4"/>
        <v>206</v>
      </c>
      <c r="H141" s="1">
        <f t="shared" si="4"/>
        <v>1634</v>
      </c>
      <c r="I141" s="1">
        <f t="shared" si="4"/>
        <v>0</v>
      </c>
      <c r="J141" s="1">
        <f t="shared" si="4"/>
        <v>54</v>
      </c>
      <c r="K141" s="1">
        <f t="shared" si="4"/>
        <v>76</v>
      </c>
      <c r="L141" s="1">
        <f t="shared" si="4"/>
        <v>210</v>
      </c>
      <c r="M141" s="1">
        <f t="shared" si="4"/>
        <v>611</v>
      </c>
      <c r="N141" s="1">
        <f t="shared" si="4"/>
        <v>582</v>
      </c>
      <c r="O141" s="1">
        <f t="shared" si="4"/>
        <v>18</v>
      </c>
      <c r="P141" s="1">
        <f t="shared" si="4"/>
        <v>174</v>
      </c>
      <c r="Q141" s="1">
        <f t="shared" si="4"/>
        <v>94</v>
      </c>
      <c r="R141" s="1">
        <f t="shared" si="4"/>
        <v>16</v>
      </c>
      <c r="S141" s="1">
        <f t="shared" si="4"/>
        <v>0</v>
      </c>
      <c r="T141" s="1">
        <f t="shared" si="4"/>
        <v>42</v>
      </c>
      <c r="U141" s="1">
        <f t="shared" si="4"/>
        <v>12684</v>
      </c>
      <c r="V141" s="1">
        <f t="shared" si="4"/>
        <v>2870</v>
      </c>
      <c r="W141" s="1">
        <f t="shared" si="4"/>
        <v>37968</v>
      </c>
      <c r="X141" s="1">
        <f t="shared" si="4"/>
        <v>3474</v>
      </c>
      <c r="Y141" s="1">
        <f t="shared" si="4"/>
        <v>1759</v>
      </c>
      <c r="Z141" s="1">
        <f t="shared" si="4"/>
        <v>1357</v>
      </c>
      <c r="AA141" s="1">
        <f t="shared" si="4"/>
        <v>1911</v>
      </c>
      <c r="AB141" s="1">
        <f t="shared" si="4"/>
        <v>2961</v>
      </c>
      <c r="AC141" s="1">
        <f t="shared" si="4"/>
        <v>2074</v>
      </c>
      <c r="AD141" s="1">
        <f t="shared" si="4"/>
        <v>4176</v>
      </c>
      <c r="AE141" s="1">
        <f t="shared" si="4"/>
        <v>4</v>
      </c>
      <c r="AF141" s="1">
        <f t="shared" si="4"/>
        <v>972</v>
      </c>
      <c r="AG141" s="1">
        <f t="shared" si="4"/>
        <v>974</v>
      </c>
    </row>
    <row r="142" spans="1:33" x14ac:dyDescent="0.3">
      <c r="A142" t="s">
        <v>80</v>
      </c>
      <c r="B142" t="s">
        <v>32</v>
      </c>
      <c r="C142" t="s">
        <v>36</v>
      </c>
      <c r="D142" s="1">
        <f>D145+D148+D151+D154+D157+D160+D163+D166+D169+D172+D175+D178+D181+D184+D187+D190+D193+D196+D199+D202+D205+D208</f>
        <v>33492</v>
      </c>
      <c r="E142" s="1">
        <f t="shared" ref="E142:AG142" si="5">E145+E148+E151+E154+E157+E160+E163+E166+E169+E172+E175+E178+E181+E184+E187+E190+E193+E196+E199+E202+E205+E208</f>
        <v>0</v>
      </c>
      <c r="F142" s="1">
        <f t="shared" si="5"/>
        <v>2098</v>
      </c>
      <c r="G142" s="1">
        <f t="shared" si="5"/>
        <v>16</v>
      </c>
      <c r="H142" s="1">
        <f t="shared" si="5"/>
        <v>1178</v>
      </c>
      <c r="I142" s="1">
        <f t="shared" si="5"/>
        <v>0</v>
      </c>
      <c r="J142" s="1">
        <f t="shared" si="5"/>
        <v>22</v>
      </c>
      <c r="K142" s="1">
        <f t="shared" si="5"/>
        <v>5</v>
      </c>
      <c r="L142" s="1">
        <f t="shared" si="5"/>
        <v>36</v>
      </c>
      <c r="M142" s="1">
        <f t="shared" si="5"/>
        <v>44</v>
      </c>
      <c r="N142" s="1">
        <f t="shared" si="5"/>
        <v>268</v>
      </c>
      <c r="O142" s="1">
        <f t="shared" si="5"/>
        <v>5</v>
      </c>
      <c r="P142" s="1">
        <f t="shared" si="5"/>
        <v>401</v>
      </c>
      <c r="Q142" s="1">
        <f t="shared" si="5"/>
        <v>36</v>
      </c>
      <c r="R142" s="1">
        <f t="shared" si="5"/>
        <v>0</v>
      </c>
      <c r="S142" s="1">
        <f t="shared" si="5"/>
        <v>0</v>
      </c>
      <c r="T142" s="1">
        <f t="shared" si="5"/>
        <v>250</v>
      </c>
      <c r="U142" s="1">
        <f t="shared" si="5"/>
        <v>374</v>
      </c>
      <c r="V142" s="1">
        <f t="shared" si="5"/>
        <v>3085</v>
      </c>
      <c r="W142" s="1">
        <f t="shared" si="5"/>
        <v>3750</v>
      </c>
      <c r="X142" s="1">
        <f t="shared" si="5"/>
        <v>0</v>
      </c>
      <c r="Y142" s="1">
        <f t="shared" si="5"/>
        <v>2867</v>
      </c>
      <c r="Z142" s="1">
        <f t="shared" si="5"/>
        <v>1332</v>
      </c>
      <c r="AA142" s="1">
        <f t="shared" si="5"/>
        <v>4779</v>
      </c>
      <c r="AB142" s="1">
        <f t="shared" si="5"/>
        <v>3088</v>
      </c>
      <c r="AC142" s="1">
        <f t="shared" si="5"/>
        <v>7908</v>
      </c>
      <c r="AD142" s="1">
        <f t="shared" si="5"/>
        <v>978</v>
      </c>
      <c r="AE142" s="1">
        <f t="shared" si="5"/>
        <v>19</v>
      </c>
      <c r="AF142" s="1">
        <f t="shared" si="5"/>
        <v>673</v>
      </c>
      <c r="AG142" s="1">
        <f t="shared" si="5"/>
        <v>280</v>
      </c>
    </row>
    <row r="143" spans="1:33" x14ac:dyDescent="0.3">
      <c r="A143" t="s">
        <v>80</v>
      </c>
      <c r="B143" t="s">
        <v>81</v>
      </c>
      <c r="C143" t="s">
        <v>32</v>
      </c>
      <c r="D143" s="1">
        <v>16506</v>
      </c>
      <c r="E143">
        <v>0</v>
      </c>
      <c r="F143">
        <v>167</v>
      </c>
      <c r="G143">
        <v>0</v>
      </c>
      <c r="H143">
        <v>276</v>
      </c>
      <c r="I143">
        <v>0</v>
      </c>
      <c r="J143">
        <v>0</v>
      </c>
      <c r="K143">
        <v>37</v>
      </c>
      <c r="L143">
        <v>11</v>
      </c>
      <c r="M143">
        <v>595</v>
      </c>
      <c r="N143">
        <v>233</v>
      </c>
      <c r="O143">
        <v>0</v>
      </c>
      <c r="P143">
        <v>79</v>
      </c>
      <c r="Q143">
        <v>0</v>
      </c>
      <c r="R143">
        <v>1</v>
      </c>
      <c r="S143">
        <v>0</v>
      </c>
      <c r="T143">
        <v>112</v>
      </c>
      <c r="U143" s="1">
        <v>5323</v>
      </c>
      <c r="V143">
        <v>322</v>
      </c>
      <c r="W143" s="1">
        <v>4713</v>
      </c>
      <c r="X143">
        <v>193</v>
      </c>
      <c r="Y143">
        <v>304</v>
      </c>
      <c r="Z143">
        <v>248</v>
      </c>
      <c r="AA143" s="1">
        <v>1525</v>
      </c>
      <c r="AB143">
        <v>526</v>
      </c>
      <c r="AC143">
        <v>858</v>
      </c>
      <c r="AD143">
        <v>783</v>
      </c>
      <c r="AE143">
        <v>2</v>
      </c>
      <c r="AF143">
        <v>103</v>
      </c>
      <c r="AG143">
        <v>95</v>
      </c>
    </row>
    <row r="144" spans="1:33" x14ac:dyDescent="0.3">
      <c r="A144" t="s">
        <v>80</v>
      </c>
      <c r="B144" t="s">
        <v>81</v>
      </c>
      <c r="C144" t="s">
        <v>35</v>
      </c>
      <c r="D144" s="1">
        <v>13225</v>
      </c>
      <c r="E144">
        <v>0</v>
      </c>
      <c r="F144">
        <v>133</v>
      </c>
      <c r="G144">
        <v>0</v>
      </c>
      <c r="H144">
        <v>190</v>
      </c>
      <c r="I144">
        <v>0</v>
      </c>
      <c r="J144">
        <v>0</v>
      </c>
      <c r="K144">
        <v>34</v>
      </c>
      <c r="L144">
        <v>9</v>
      </c>
      <c r="M144">
        <v>557</v>
      </c>
      <c r="N144">
        <v>215</v>
      </c>
      <c r="O144">
        <v>0</v>
      </c>
      <c r="P144">
        <v>25</v>
      </c>
      <c r="Q144">
        <v>0</v>
      </c>
      <c r="R144">
        <v>1</v>
      </c>
      <c r="S144">
        <v>0</v>
      </c>
      <c r="T144">
        <v>1</v>
      </c>
      <c r="U144" s="1">
        <v>5211</v>
      </c>
      <c r="V144">
        <v>180</v>
      </c>
      <c r="W144" s="1">
        <v>4555</v>
      </c>
      <c r="X144">
        <v>193</v>
      </c>
      <c r="Y144">
        <v>109</v>
      </c>
      <c r="Z144">
        <v>125</v>
      </c>
      <c r="AA144">
        <v>373</v>
      </c>
      <c r="AB144">
        <v>265</v>
      </c>
      <c r="AC144">
        <v>203</v>
      </c>
      <c r="AD144">
        <v>699</v>
      </c>
      <c r="AE144">
        <v>0</v>
      </c>
      <c r="AF144">
        <v>64</v>
      </c>
      <c r="AG144">
        <v>83</v>
      </c>
    </row>
    <row r="145" spans="1:33" x14ac:dyDescent="0.3">
      <c r="A145" t="s">
        <v>80</v>
      </c>
      <c r="B145" t="s">
        <v>81</v>
      </c>
      <c r="C145" t="s">
        <v>36</v>
      </c>
      <c r="D145" s="1">
        <v>3281</v>
      </c>
      <c r="E145">
        <v>0</v>
      </c>
      <c r="F145">
        <v>34</v>
      </c>
      <c r="G145">
        <v>0</v>
      </c>
      <c r="H145">
        <v>86</v>
      </c>
      <c r="I145">
        <v>0</v>
      </c>
      <c r="J145">
        <v>0</v>
      </c>
      <c r="K145">
        <v>3</v>
      </c>
      <c r="L145">
        <v>2</v>
      </c>
      <c r="M145">
        <v>38</v>
      </c>
      <c r="N145">
        <v>18</v>
      </c>
      <c r="O145">
        <v>0</v>
      </c>
      <c r="P145">
        <v>54</v>
      </c>
      <c r="Q145">
        <v>0</v>
      </c>
      <c r="R145">
        <v>0</v>
      </c>
      <c r="S145">
        <v>0</v>
      </c>
      <c r="T145">
        <v>111</v>
      </c>
      <c r="U145">
        <v>112</v>
      </c>
      <c r="V145">
        <v>142</v>
      </c>
      <c r="W145">
        <v>158</v>
      </c>
      <c r="X145" s="1">
        <v>0</v>
      </c>
      <c r="Y145">
        <v>195</v>
      </c>
      <c r="Z145">
        <v>123</v>
      </c>
      <c r="AA145" s="1">
        <v>1152</v>
      </c>
      <c r="AB145">
        <v>261</v>
      </c>
      <c r="AC145">
        <v>655</v>
      </c>
      <c r="AD145">
        <v>84</v>
      </c>
      <c r="AE145">
        <v>2</v>
      </c>
      <c r="AF145">
        <v>39</v>
      </c>
      <c r="AG145">
        <v>12</v>
      </c>
    </row>
    <row r="146" spans="1:33" x14ac:dyDescent="0.3">
      <c r="A146" t="s">
        <v>80</v>
      </c>
      <c r="B146" t="s">
        <v>82</v>
      </c>
      <c r="C146" t="s">
        <v>32</v>
      </c>
      <c r="D146">
        <v>942</v>
      </c>
      <c r="E146">
        <v>0</v>
      </c>
      <c r="F146">
        <v>56</v>
      </c>
      <c r="G146">
        <v>0</v>
      </c>
      <c r="H146">
        <v>13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15</v>
      </c>
      <c r="O146">
        <v>0</v>
      </c>
      <c r="P146">
        <v>24</v>
      </c>
      <c r="Q146">
        <v>0</v>
      </c>
      <c r="R146">
        <v>0</v>
      </c>
      <c r="S146">
        <v>0</v>
      </c>
      <c r="T146">
        <v>0</v>
      </c>
      <c r="U146">
        <v>35</v>
      </c>
      <c r="V146">
        <v>162</v>
      </c>
      <c r="W146">
        <v>281</v>
      </c>
      <c r="X146" s="1">
        <v>0</v>
      </c>
      <c r="Y146">
        <v>61</v>
      </c>
      <c r="Z146">
        <v>25</v>
      </c>
      <c r="AA146">
        <v>27</v>
      </c>
      <c r="AB146">
        <v>41</v>
      </c>
      <c r="AC146">
        <v>160</v>
      </c>
      <c r="AD146">
        <v>22</v>
      </c>
      <c r="AE146">
        <v>0</v>
      </c>
      <c r="AF146">
        <v>13</v>
      </c>
      <c r="AG146">
        <v>6</v>
      </c>
    </row>
    <row r="147" spans="1:33" x14ac:dyDescent="0.3">
      <c r="A147" t="s">
        <v>80</v>
      </c>
      <c r="B147" t="s">
        <v>82</v>
      </c>
      <c r="C147" t="s">
        <v>35</v>
      </c>
      <c r="D147">
        <v>531</v>
      </c>
      <c r="E147">
        <v>0</v>
      </c>
      <c r="F147">
        <v>47</v>
      </c>
      <c r="G147">
        <v>0</v>
      </c>
      <c r="H147">
        <v>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13</v>
      </c>
      <c r="O147">
        <v>0</v>
      </c>
      <c r="P147">
        <v>8</v>
      </c>
      <c r="Q147">
        <v>0</v>
      </c>
      <c r="R147">
        <v>0</v>
      </c>
      <c r="S147">
        <v>0</v>
      </c>
      <c r="T147">
        <v>0</v>
      </c>
      <c r="U147">
        <v>32</v>
      </c>
      <c r="V147">
        <v>80</v>
      </c>
      <c r="W147">
        <v>251</v>
      </c>
      <c r="X147" s="1">
        <v>0</v>
      </c>
      <c r="Y147">
        <v>24</v>
      </c>
      <c r="Z147">
        <v>12</v>
      </c>
      <c r="AA147">
        <v>7</v>
      </c>
      <c r="AB147">
        <v>10</v>
      </c>
      <c r="AC147">
        <v>16</v>
      </c>
      <c r="AD147">
        <v>13</v>
      </c>
      <c r="AE147">
        <v>0</v>
      </c>
      <c r="AF147">
        <v>6</v>
      </c>
      <c r="AG147">
        <v>4</v>
      </c>
    </row>
    <row r="148" spans="1:33" x14ac:dyDescent="0.3">
      <c r="A148" t="s">
        <v>80</v>
      </c>
      <c r="B148" t="s">
        <v>82</v>
      </c>
      <c r="C148" t="s">
        <v>36</v>
      </c>
      <c r="D148">
        <v>411</v>
      </c>
      <c r="E148">
        <v>0</v>
      </c>
      <c r="F148">
        <v>9</v>
      </c>
      <c r="G148">
        <v>0</v>
      </c>
      <c r="H148">
        <v>5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16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82</v>
      </c>
      <c r="W148">
        <v>30</v>
      </c>
      <c r="X148" s="1">
        <v>0</v>
      </c>
      <c r="Y148">
        <v>37</v>
      </c>
      <c r="Z148">
        <v>13</v>
      </c>
      <c r="AA148">
        <v>20</v>
      </c>
      <c r="AB148">
        <v>31</v>
      </c>
      <c r="AC148">
        <v>144</v>
      </c>
      <c r="AD148">
        <v>9</v>
      </c>
      <c r="AE148">
        <v>0</v>
      </c>
      <c r="AF148">
        <v>7</v>
      </c>
      <c r="AG148">
        <v>2</v>
      </c>
    </row>
    <row r="149" spans="1:33" x14ac:dyDescent="0.3">
      <c r="A149" t="s">
        <v>80</v>
      </c>
      <c r="B149" t="s">
        <v>83</v>
      </c>
      <c r="C149" t="s">
        <v>32</v>
      </c>
      <c r="D149" s="1">
        <v>2014</v>
      </c>
      <c r="E149">
        <v>0</v>
      </c>
      <c r="F149">
        <v>1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15</v>
      </c>
      <c r="O149">
        <v>0</v>
      </c>
      <c r="P149">
        <v>12</v>
      </c>
      <c r="Q149">
        <v>0</v>
      </c>
      <c r="R149">
        <v>0</v>
      </c>
      <c r="S149">
        <v>0</v>
      </c>
      <c r="T149">
        <v>0</v>
      </c>
      <c r="U149">
        <v>215</v>
      </c>
      <c r="V149">
        <v>173</v>
      </c>
      <c r="W149">
        <v>997</v>
      </c>
      <c r="X149">
        <v>36</v>
      </c>
      <c r="Y149">
        <v>74</v>
      </c>
      <c r="Z149">
        <v>100</v>
      </c>
      <c r="AA149">
        <v>105</v>
      </c>
      <c r="AB149">
        <v>53</v>
      </c>
      <c r="AC149">
        <v>179</v>
      </c>
      <c r="AD149">
        <v>21</v>
      </c>
      <c r="AE149">
        <v>1</v>
      </c>
      <c r="AF149">
        <v>8</v>
      </c>
      <c r="AG149">
        <v>21</v>
      </c>
    </row>
    <row r="150" spans="1:33" x14ac:dyDescent="0.3">
      <c r="A150" t="s">
        <v>80</v>
      </c>
      <c r="B150" t="s">
        <v>83</v>
      </c>
      <c r="C150" t="s">
        <v>35</v>
      </c>
      <c r="D150" s="1">
        <v>1511</v>
      </c>
      <c r="E150">
        <v>0</v>
      </c>
      <c r="F150">
        <v>1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15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215</v>
      </c>
      <c r="V150">
        <v>110</v>
      </c>
      <c r="W150">
        <v>926</v>
      </c>
      <c r="X150">
        <v>36</v>
      </c>
      <c r="Y150">
        <v>30</v>
      </c>
      <c r="Z150">
        <v>79</v>
      </c>
      <c r="AA150">
        <v>25</v>
      </c>
      <c r="AB150">
        <v>17</v>
      </c>
      <c r="AC150">
        <v>16</v>
      </c>
      <c r="AD150">
        <v>15</v>
      </c>
      <c r="AE150">
        <v>0</v>
      </c>
      <c r="AF150">
        <v>2</v>
      </c>
      <c r="AG150">
        <v>21</v>
      </c>
    </row>
    <row r="151" spans="1:33" x14ac:dyDescent="0.3">
      <c r="A151" t="s">
        <v>80</v>
      </c>
      <c r="B151" t="s">
        <v>83</v>
      </c>
      <c r="C151" t="s">
        <v>36</v>
      </c>
      <c r="D151">
        <v>503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63</v>
      </c>
      <c r="W151">
        <v>71</v>
      </c>
      <c r="X151" s="1">
        <v>0</v>
      </c>
      <c r="Y151">
        <v>44</v>
      </c>
      <c r="Z151">
        <v>21</v>
      </c>
      <c r="AA151">
        <v>80</v>
      </c>
      <c r="AB151">
        <v>36</v>
      </c>
      <c r="AC151">
        <v>163</v>
      </c>
      <c r="AD151">
        <v>6</v>
      </c>
      <c r="AE151">
        <v>1</v>
      </c>
      <c r="AF151">
        <v>6</v>
      </c>
      <c r="AG151">
        <v>0</v>
      </c>
    </row>
    <row r="152" spans="1:33" x14ac:dyDescent="0.3">
      <c r="A152" t="s">
        <v>80</v>
      </c>
      <c r="B152" t="s">
        <v>84</v>
      </c>
      <c r="C152" t="s">
        <v>32</v>
      </c>
      <c r="D152" s="1">
        <v>27196</v>
      </c>
      <c r="E152">
        <v>0</v>
      </c>
      <c r="F152" s="1">
        <v>1442</v>
      </c>
      <c r="G152">
        <v>100</v>
      </c>
      <c r="H152" s="1">
        <v>1261</v>
      </c>
      <c r="I152">
        <v>0</v>
      </c>
      <c r="J152">
        <v>14</v>
      </c>
      <c r="K152">
        <v>5</v>
      </c>
      <c r="L152">
        <v>107</v>
      </c>
      <c r="M152">
        <v>17</v>
      </c>
      <c r="N152">
        <v>196</v>
      </c>
      <c r="O152">
        <v>4</v>
      </c>
      <c r="P152">
        <v>62</v>
      </c>
      <c r="Q152">
        <v>5</v>
      </c>
      <c r="R152">
        <v>0</v>
      </c>
      <c r="S152">
        <v>0</v>
      </c>
      <c r="T152">
        <v>77</v>
      </c>
      <c r="U152" s="1">
        <v>2398</v>
      </c>
      <c r="V152">
        <v>271</v>
      </c>
      <c r="W152" s="1">
        <v>10396</v>
      </c>
      <c r="X152" s="1">
        <v>0</v>
      </c>
      <c r="Y152" s="1">
        <v>1443</v>
      </c>
      <c r="Z152">
        <v>806</v>
      </c>
      <c r="AA152" s="1">
        <v>1713</v>
      </c>
      <c r="AB152" s="1">
        <v>1856</v>
      </c>
      <c r="AC152" s="1">
        <v>2038</v>
      </c>
      <c r="AD152" s="1">
        <v>2019</v>
      </c>
      <c r="AE152">
        <v>5</v>
      </c>
      <c r="AF152">
        <v>603</v>
      </c>
      <c r="AG152">
        <v>358</v>
      </c>
    </row>
    <row r="153" spans="1:33" x14ac:dyDescent="0.3">
      <c r="A153" t="s">
        <v>80</v>
      </c>
      <c r="B153" t="s">
        <v>84</v>
      </c>
      <c r="C153" t="s">
        <v>35</v>
      </c>
      <c r="D153" s="1">
        <v>19775</v>
      </c>
      <c r="E153">
        <v>0</v>
      </c>
      <c r="F153">
        <v>890</v>
      </c>
      <c r="G153">
        <v>93</v>
      </c>
      <c r="H153">
        <v>677</v>
      </c>
      <c r="I153">
        <v>0</v>
      </c>
      <c r="J153">
        <v>10</v>
      </c>
      <c r="K153">
        <v>4</v>
      </c>
      <c r="L153">
        <v>92</v>
      </c>
      <c r="M153">
        <v>15</v>
      </c>
      <c r="N153">
        <v>134</v>
      </c>
      <c r="O153">
        <v>2</v>
      </c>
      <c r="P153">
        <v>28</v>
      </c>
      <c r="Q153">
        <v>4</v>
      </c>
      <c r="R153">
        <v>0</v>
      </c>
      <c r="S153">
        <v>0</v>
      </c>
      <c r="T153">
        <v>10</v>
      </c>
      <c r="U153" s="1">
        <v>2338</v>
      </c>
      <c r="V153">
        <v>147</v>
      </c>
      <c r="W153" s="1">
        <v>9966</v>
      </c>
      <c r="X153" s="1">
        <v>0</v>
      </c>
      <c r="Y153">
        <v>570</v>
      </c>
      <c r="Z153">
        <v>371</v>
      </c>
      <c r="AA153">
        <v>534</v>
      </c>
      <c r="AB153">
        <v>994</v>
      </c>
      <c r="AC153">
        <v>508</v>
      </c>
      <c r="AD153" s="1">
        <v>1708</v>
      </c>
      <c r="AE153">
        <v>1</v>
      </c>
      <c r="AF153">
        <v>366</v>
      </c>
      <c r="AG153">
        <v>313</v>
      </c>
    </row>
    <row r="154" spans="1:33" x14ac:dyDescent="0.3">
      <c r="A154" t="s">
        <v>80</v>
      </c>
      <c r="B154" t="s">
        <v>84</v>
      </c>
      <c r="C154" t="s">
        <v>36</v>
      </c>
      <c r="D154" s="1">
        <v>7421</v>
      </c>
      <c r="E154">
        <v>0</v>
      </c>
      <c r="F154">
        <v>552</v>
      </c>
      <c r="G154">
        <v>7</v>
      </c>
      <c r="H154">
        <v>584</v>
      </c>
      <c r="I154">
        <v>0</v>
      </c>
      <c r="J154">
        <v>4</v>
      </c>
      <c r="K154">
        <v>1</v>
      </c>
      <c r="L154">
        <v>15</v>
      </c>
      <c r="M154">
        <v>2</v>
      </c>
      <c r="N154">
        <v>62</v>
      </c>
      <c r="O154">
        <v>2</v>
      </c>
      <c r="P154">
        <v>34</v>
      </c>
      <c r="Q154">
        <v>1</v>
      </c>
      <c r="R154">
        <v>0</v>
      </c>
      <c r="S154">
        <v>0</v>
      </c>
      <c r="T154">
        <v>67</v>
      </c>
      <c r="U154">
        <v>60</v>
      </c>
      <c r="V154">
        <v>124</v>
      </c>
      <c r="W154">
        <v>430</v>
      </c>
      <c r="X154" s="1">
        <v>0</v>
      </c>
      <c r="Y154">
        <v>873</v>
      </c>
      <c r="Z154">
        <v>435</v>
      </c>
      <c r="AA154" s="1">
        <v>1179</v>
      </c>
      <c r="AB154">
        <v>862</v>
      </c>
      <c r="AC154" s="1">
        <v>1530</v>
      </c>
      <c r="AD154">
        <v>311</v>
      </c>
      <c r="AE154">
        <v>4</v>
      </c>
      <c r="AF154">
        <v>237</v>
      </c>
      <c r="AG154">
        <v>45</v>
      </c>
    </row>
    <row r="155" spans="1:33" x14ac:dyDescent="0.3">
      <c r="A155" t="s">
        <v>80</v>
      </c>
      <c r="B155" t="s">
        <v>85</v>
      </c>
      <c r="C155" t="s">
        <v>32</v>
      </c>
      <c r="D155" s="1">
        <v>1295</v>
      </c>
      <c r="E155">
        <v>0</v>
      </c>
      <c r="F155">
        <v>36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5</v>
      </c>
      <c r="Q155">
        <v>0</v>
      </c>
      <c r="R155">
        <v>0</v>
      </c>
      <c r="S155">
        <v>0</v>
      </c>
      <c r="T155">
        <v>0</v>
      </c>
      <c r="U155">
        <v>46</v>
      </c>
      <c r="V155">
        <v>268</v>
      </c>
      <c r="W155">
        <v>591</v>
      </c>
      <c r="X155">
        <v>174</v>
      </c>
      <c r="Y155">
        <v>39</v>
      </c>
      <c r="Z155">
        <v>7</v>
      </c>
      <c r="AA155">
        <v>9</v>
      </c>
      <c r="AB155">
        <v>20</v>
      </c>
      <c r="AC155">
        <v>76</v>
      </c>
      <c r="AD155">
        <v>17</v>
      </c>
      <c r="AE155">
        <v>0</v>
      </c>
      <c r="AF155">
        <v>1</v>
      </c>
      <c r="AG155">
        <v>4</v>
      </c>
    </row>
    <row r="156" spans="1:33" x14ac:dyDescent="0.3">
      <c r="A156" t="s">
        <v>80</v>
      </c>
      <c r="B156" t="s">
        <v>85</v>
      </c>
      <c r="C156" t="s">
        <v>35</v>
      </c>
      <c r="D156">
        <v>978</v>
      </c>
      <c r="E156">
        <v>0</v>
      </c>
      <c r="F156">
        <v>27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44</v>
      </c>
      <c r="V156">
        <v>88</v>
      </c>
      <c r="W156">
        <v>583</v>
      </c>
      <c r="X156">
        <v>174</v>
      </c>
      <c r="Y156">
        <v>17</v>
      </c>
      <c r="Z156">
        <v>4</v>
      </c>
      <c r="AA156">
        <v>1</v>
      </c>
      <c r="AB156">
        <v>5</v>
      </c>
      <c r="AC156">
        <v>13</v>
      </c>
      <c r="AD156">
        <v>15</v>
      </c>
      <c r="AE156">
        <v>0</v>
      </c>
      <c r="AF156">
        <v>1</v>
      </c>
      <c r="AG156">
        <v>3</v>
      </c>
    </row>
    <row r="157" spans="1:33" x14ac:dyDescent="0.3">
      <c r="A157" t="s">
        <v>80</v>
      </c>
      <c r="B157" t="s">
        <v>85</v>
      </c>
      <c r="C157" t="s">
        <v>36</v>
      </c>
      <c r="D157">
        <v>317</v>
      </c>
      <c r="E157">
        <v>0</v>
      </c>
      <c r="F157">
        <v>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180</v>
      </c>
      <c r="W157">
        <v>8</v>
      </c>
      <c r="X157" s="1">
        <v>0</v>
      </c>
      <c r="Y157">
        <v>22</v>
      </c>
      <c r="Z157">
        <v>3</v>
      </c>
      <c r="AA157">
        <v>8</v>
      </c>
      <c r="AB157">
        <v>15</v>
      </c>
      <c r="AC157">
        <v>63</v>
      </c>
      <c r="AD157">
        <v>2</v>
      </c>
      <c r="AE157">
        <v>0</v>
      </c>
      <c r="AF157">
        <v>0</v>
      </c>
      <c r="AG157">
        <v>1</v>
      </c>
    </row>
    <row r="158" spans="1:33" x14ac:dyDescent="0.3">
      <c r="A158" t="s">
        <v>80</v>
      </c>
      <c r="B158" t="s">
        <v>86</v>
      </c>
      <c r="C158" t="s">
        <v>32</v>
      </c>
      <c r="D158" s="1">
        <v>5822</v>
      </c>
      <c r="E158">
        <v>0</v>
      </c>
      <c r="F158">
        <v>54</v>
      </c>
      <c r="G158">
        <v>1</v>
      </c>
      <c r="H158">
        <v>12</v>
      </c>
      <c r="I158">
        <v>0</v>
      </c>
      <c r="J158">
        <v>5</v>
      </c>
      <c r="K158">
        <v>0</v>
      </c>
      <c r="L158">
        <v>4</v>
      </c>
      <c r="M158">
        <v>0</v>
      </c>
      <c r="N158">
        <v>11</v>
      </c>
      <c r="O158">
        <v>2</v>
      </c>
      <c r="P158">
        <v>14</v>
      </c>
      <c r="Q158">
        <v>8</v>
      </c>
      <c r="R158">
        <v>0</v>
      </c>
      <c r="S158">
        <v>0</v>
      </c>
      <c r="T158">
        <v>0</v>
      </c>
      <c r="U158">
        <v>382</v>
      </c>
      <c r="V158" s="1">
        <v>1244</v>
      </c>
      <c r="W158" s="1">
        <v>2972</v>
      </c>
      <c r="X158" s="1">
        <v>0</v>
      </c>
      <c r="Y158">
        <v>134</v>
      </c>
      <c r="Z158">
        <v>152</v>
      </c>
      <c r="AA158">
        <v>208</v>
      </c>
      <c r="AB158">
        <v>124</v>
      </c>
      <c r="AC158">
        <v>314</v>
      </c>
      <c r="AD158">
        <v>152</v>
      </c>
      <c r="AE158">
        <v>0</v>
      </c>
      <c r="AF158">
        <v>16</v>
      </c>
      <c r="AG158">
        <v>13</v>
      </c>
    </row>
    <row r="159" spans="1:33" x14ac:dyDescent="0.3">
      <c r="A159" t="s">
        <v>80</v>
      </c>
      <c r="B159" t="s">
        <v>86</v>
      </c>
      <c r="C159" t="s">
        <v>35</v>
      </c>
      <c r="D159" s="1">
        <v>2727</v>
      </c>
      <c r="E159">
        <v>0</v>
      </c>
      <c r="F159">
        <v>24</v>
      </c>
      <c r="G159">
        <v>1</v>
      </c>
      <c r="H159">
        <v>6</v>
      </c>
      <c r="I159">
        <v>0</v>
      </c>
      <c r="J159">
        <v>5</v>
      </c>
      <c r="K159">
        <v>0</v>
      </c>
      <c r="L159">
        <v>4</v>
      </c>
      <c r="M159">
        <v>0</v>
      </c>
      <c r="N159">
        <v>8</v>
      </c>
      <c r="O159">
        <v>2</v>
      </c>
      <c r="P159">
        <v>4</v>
      </c>
      <c r="Q159">
        <v>5</v>
      </c>
      <c r="R159">
        <v>0</v>
      </c>
      <c r="S159">
        <v>0</v>
      </c>
      <c r="T159">
        <v>0</v>
      </c>
      <c r="U159">
        <v>344</v>
      </c>
      <c r="V159">
        <v>410</v>
      </c>
      <c r="W159" s="1">
        <v>1513</v>
      </c>
      <c r="X159" s="1">
        <v>0</v>
      </c>
      <c r="Y159">
        <v>55</v>
      </c>
      <c r="Z159">
        <v>97</v>
      </c>
      <c r="AA159">
        <v>50</v>
      </c>
      <c r="AB159">
        <v>54</v>
      </c>
      <c r="AC159">
        <v>32</v>
      </c>
      <c r="AD159">
        <v>98</v>
      </c>
      <c r="AE159">
        <v>0</v>
      </c>
      <c r="AF159">
        <v>6</v>
      </c>
      <c r="AG159">
        <v>9</v>
      </c>
    </row>
    <row r="160" spans="1:33" x14ac:dyDescent="0.3">
      <c r="A160" t="s">
        <v>80</v>
      </c>
      <c r="B160" t="s">
        <v>86</v>
      </c>
      <c r="C160" t="s">
        <v>36</v>
      </c>
      <c r="D160" s="1">
        <v>3095</v>
      </c>
      <c r="E160">
        <v>0</v>
      </c>
      <c r="F160">
        <v>30</v>
      </c>
      <c r="G160">
        <v>0</v>
      </c>
      <c r="H160">
        <v>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10</v>
      </c>
      <c r="Q160">
        <v>3</v>
      </c>
      <c r="R160">
        <v>0</v>
      </c>
      <c r="S160">
        <v>0</v>
      </c>
      <c r="T160">
        <v>0</v>
      </c>
      <c r="U160">
        <v>38</v>
      </c>
      <c r="V160">
        <v>834</v>
      </c>
      <c r="W160" s="1">
        <v>1459</v>
      </c>
      <c r="X160" s="1">
        <v>0</v>
      </c>
      <c r="Y160">
        <v>79</v>
      </c>
      <c r="Z160">
        <v>55</v>
      </c>
      <c r="AA160">
        <v>158</v>
      </c>
      <c r="AB160">
        <v>70</v>
      </c>
      <c r="AC160">
        <v>282</v>
      </c>
      <c r="AD160">
        <v>54</v>
      </c>
      <c r="AE160">
        <v>0</v>
      </c>
      <c r="AF160">
        <v>10</v>
      </c>
      <c r="AG160">
        <v>4</v>
      </c>
    </row>
    <row r="161" spans="1:33" x14ac:dyDescent="0.3">
      <c r="A161" t="s">
        <v>80</v>
      </c>
      <c r="B161" t="s">
        <v>87</v>
      </c>
      <c r="C161" t="s">
        <v>32</v>
      </c>
      <c r="D161" s="1">
        <v>4169</v>
      </c>
      <c r="E161">
        <v>0</v>
      </c>
      <c r="F161">
        <v>14</v>
      </c>
      <c r="G161">
        <v>0</v>
      </c>
      <c r="H161">
        <v>29</v>
      </c>
      <c r="I161">
        <v>0</v>
      </c>
      <c r="J161">
        <v>3</v>
      </c>
      <c r="K161">
        <v>22</v>
      </c>
      <c r="L161">
        <v>15</v>
      </c>
      <c r="M161">
        <v>4</v>
      </c>
      <c r="N161">
        <v>13</v>
      </c>
      <c r="O161">
        <v>0</v>
      </c>
      <c r="P161">
        <v>12</v>
      </c>
      <c r="Q161">
        <v>1</v>
      </c>
      <c r="R161">
        <v>8</v>
      </c>
      <c r="S161">
        <v>0</v>
      </c>
      <c r="T161">
        <v>24</v>
      </c>
      <c r="U161">
        <v>420</v>
      </c>
      <c r="V161">
        <v>180</v>
      </c>
      <c r="W161" s="1">
        <v>1259</v>
      </c>
      <c r="X161" s="1">
        <v>1176</v>
      </c>
      <c r="Y161">
        <v>162</v>
      </c>
      <c r="Z161">
        <v>67</v>
      </c>
      <c r="AA161">
        <v>188</v>
      </c>
      <c r="AB161">
        <v>105</v>
      </c>
      <c r="AC161">
        <v>341</v>
      </c>
      <c r="AD161">
        <v>46</v>
      </c>
      <c r="AE161">
        <v>0</v>
      </c>
      <c r="AF161">
        <v>32</v>
      </c>
      <c r="AG161">
        <v>48</v>
      </c>
    </row>
    <row r="162" spans="1:33" x14ac:dyDescent="0.3">
      <c r="A162" t="s">
        <v>80</v>
      </c>
      <c r="B162" t="s">
        <v>87</v>
      </c>
      <c r="C162" t="s">
        <v>35</v>
      </c>
      <c r="D162" s="1">
        <v>3301</v>
      </c>
      <c r="E162">
        <v>0</v>
      </c>
      <c r="F162">
        <v>9</v>
      </c>
      <c r="G162">
        <v>0</v>
      </c>
      <c r="H162">
        <v>25</v>
      </c>
      <c r="I162">
        <v>0</v>
      </c>
      <c r="J162">
        <v>3</v>
      </c>
      <c r="K162">
        <v>21</v>
      </c>
      <c r="L162">
        <v>12</v>
      </c>
      <c r="M162">
        <v>4</v>
      </c>
      <c r="N162">
        <v>7</v>
      </c>
      <c r="O162">
        <v>0</v>
      </c>
      <c r="P162">
        <v>1</v>
      </c>
      <c r="Q162">
        <v>1</v>
      </c>
      <c r="R162">
        <v>8</v>
      </c>
      <c r="S162">
        <v>0</v>
      </c>
      <c r="T162">
        <v>8</v>
      </c>
      <c r="U162">
        <v>400</v>
      </c>
      <c r="V162">
        <v>89</v>
      </c>
      <c r="W162" s="1">
        <v>1185</v>
      </c>
      <c r="X162" s="1">
        <v>1176</v>
      </c>
      <c r="Y162">
        <v>58</v>
      </c>
      <c r="Z162">
        <v>36</v>
      </c>
      <c r="AA162">
        <v>42</v>
      </c>
      <c r="AB162">
        <v>61</v>
      </c>
      <c r="AC162">
        <v>60</v>
      </c>
      <c r="AD162">
        <v>39</v>
      </c>
      <c r="AE162">
        <v>0</v>
      </c>
      <c r="AF162">
        <v>20</v>
      </c>
      <c r="AG162">
        <v>36</v>
      </c>
    </row>
    <row r="163" spans="1:33" x14ac:dyDescent="0.3">
      <c r="A163" t="s">
        <v>80</v>
      </c>
      <c r="B163" t="s">
        <v>87</v>
      </c>
      <c r="C163" t="s">
        <v>36</v>
      </c>
      <c r="D163">
        <v>868</v>
      </c>
      <c r="E163">
        <v>0</v>
      </c>
      <c r="F163">
        <v>5</v>
      </c>
      <c r="G163">
        <v>0</v>
      </c>
      <c r="H163">
        <v>4</v>
      </c>
      <c r="I163">
        <v>0</v>
      </c>
      <c r="J163">
        <v>0</v>
      </c>
      <c r="K163">
        <v>1</v>
      </c>
      <c r="L163">
        <v>3</v>
      </c>
      <c r="M163">
        <v>0</v>
      </c>
      <c r="N163">
        <v>6</v>
      </c>
      <c r="O163">
        <v>0</v>
      </c>
      <c r="P163">
        <v>11</v>
      </c>
      <c r="Q163">
        <v>0</v>
      </c>
      <c r="R163">
        <v>0</v>
      </c>
      <c r="S163">
        <v>0</v>
      </c>
      <c r="T163">
        <v>16</v>
      </c>
      <c r="U163">
        <v>20</v>
      </c>
      <c r="V163">
        <v>91</v>
      </c>
      <c r="W163">
        <v>74</v>
      </c>
      <c r="X163" s="1">
        <v>0</v>
      </c>
      <c r="Y163">
        <v>104</v>
      </c>
      <c r="Z163">
        <v>31</v>
      </c>
      <c r="AA163">
        <v>146</v>
      </c>
      <c r="AB163">
        <v>44</v>
      </c>
      <c r="AC163">
        <v>281</v>
      </c>
      <c r="AD163">
        <v>7</v>
      </c>
      <c r="AE163">
        <v>0</v>
      </c>
      <c r="AF163">
        <v>12</v>
      </c>
      <c r="AG163">
        <v>12</v>
      </c>
    </row>
    <row r="164" spans="1:33" x14ac:dyDescent="0.3">
      <c r="A164" t="s">
        <v>80</v>
      </c>
      <c r="B164" t="s">
        <v>88</v>
      </c>
      <c r="C164" t="s">
        <v>32</v>
      </c>
      <c r="D164" s="1">
        <v>1244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4</v>
      </c>
      <c r="Q164">
        <v>0</v>
      </c>
      <c r="R164">
        <v>0</v>
      </c>
      <c r="S164">
        <v>0</v>
      </c>
      <c r="T164">
        <v>0</v>
      </c>
      <c r="U164">
        <v>58</v>
      </c>
      <c r="V164">
        <v>299</v>
      </c>
      <c r="W164">
        <v>628</v>
      </c>
      <c r="X164" s="1">
        <v>0</v>
      </c>
      <c r="Y164">
        <v>50</v>
      </c>
      <c r="Z164">
        <v>29</v>
      </c>
      <c r="AA164">
        <v>46</v>
      </c>
      <c r="AB164">
        <v>17</v>
      </c>
      <c r="AC164">
        <v>84</v>
      </c>
      <c r="AD164">
        <v>11</v>
      </c>
      <c r="AE164">
        <v>0</v>
      </c>
      <c r="AF164">
        <v>9</v>
      </c>
      <c r="AG164">
        <v>3</v>
      </c>
    </row>
    <row r="165" spans="1:33" x14ac:dyDescent="0.3">
      <c r="A165" t="s">
        <v>80</v>
      </c>
      <c r="B165" t="s">
        <v>88</v>
      </c>
      <c r="C165" t="s">
        <v>35</v>
      </c>
      <c r="D165">
        <v>580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50</v>
      </c>
      <c r="V165">
        <v>102</v>
      </c>
      <c r="W165">
        <v>339</v>
      </c>
      <c r="X165" s="1">
        <v>0</v>
      </c>
      <c r="Y165">
        <v>18</v>
      </c>
      <c r="Z165">
        <v>26</v>
      </c>
      <c r="AA165">
        <v>10</v>
      </c>
      <c r="AB165">
        <v>6</v>
      </c>
      <c r="AC165">
        <v>6</v>
      </c>
      <c r="AD165">
        <v>9</v>
      </c>
      <c r="AE165">
        <v>0</v>
      </c>
      <c r="AF165">
        <v>4</v>
      </c>
      <c r="AG165">
        <v>3</v>
      </c>
    </row>
    <row r="166" spans="1:33" x14ac:dyDescent="0.3">
      <c r="A166" t="s">
        <v>80</v>
      </c>
      <c r="B166" t="s">
        <v>88</v>
      </c>
      <c r="C166" t="s">
        <v>36</v>
      </c>
      <c r="D166">
        <v>664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8</v>
      </c>
      <c r="V166">
        <v>197</v>
      </c>
      <c r="W166">
        <v>289</v>
      </c>
      <c r="X166" s="1">
        <v>0</v>
      </c>
      <c r="Y166">
        <v>32</v>
      </c>
      <c r="Z166">
        <v>3</v>
      </c>
      <c r="AA166">
        <v>36</v>
      </c>
      <c r="AB166">
        <v>11</v>
      </c>
      <c r="AC166">
        <v>78</v>
      </c>
      <c r="AD166">
        <v>2</v>
      </c>
      <c r="AE166">
        <v>0</v>
      </c>
      <c r="AF166">
        <v>5</v>
      </c>
      <c r="AG166">
        <v>0</v>
      </c>
    </row>
    <row r="167" spans="1:33" x14ac:dyDescent="0.3">
      <c r="A167" t="s">
        <v>80</v>
      </c>
      <c r="B167" t="s">
        <v>89</v>
      </c>
      <c r="C167" t="s">
        <v>32</v>
      </c>
      <c r="D167" s="1">
        <v>9496</v>
      </c>
      <c r="E167">
        <v>0</v>
      </c>
      <c r="F167">
        <v>573</v>
      </c>
      <c r="G167">
        <v>49</v>
      </c>
      <c r="H167">
        <v>171</v>
      </c>
      <c r="I167">
        <v>0</v>
      </c>
      <c r="J167">
        <v>4</v>
      </c>
      <c r="K167">
        <v>0</v>
      </c>
      <c r="L167">
        <v>31</v>
      </c>
      <c r="M167">
        <v>6</v>
      </c>
      <c r="N167">
        <v>73</v>
      </c>
      <c r="O167">
        <v>1</v>
      </c>
      <c r="P167">
        <v>68</v>
      </c>
      <c r="Q167">
        <v>5</v>
      </c>
      <c r="R167">
        <v>0</v>
      </c>
      <c r="S167">
        <v>0</v>
      </c>
      <c r="T167">
        <v>1</v>
      </c>
      <c r="U167">
        <v>686</v>
      </c>
      <c r="V167">
        <v>6</v>
      </c>
      <c r="W167" s="1">
        <v>3641</v>
      </c>
      <c r="X167" s="1">
        <v>0</v>
      </c>
      <c r="Y167">
        <v>421</v>
      </c>
      <c r="Z167">
        <v>233</v>
      </c>
      <c r="AA167">
        <v>609</v>
      </c>
      <c r="AB167">
        <v>663</v>
      </c>
      <c r="AC167" s="1">
        <v>1297</v>
      </c>
      <c r="AD167">
        <v>680</v>
      </c>
      <c r="AE167">
        <v>2</v>
      </c>
      <c r="AF167">
        <v>204</v>
      </c>
      <c r="AG167">
        <v>72</v>
      </c>
    </row>
    <row r="168" spans="1:33" x14ac:dyDescent="0.3">
      <c r="A168" t="s">
        <v>80</v>
      </c>
      <c r="B168" t="s">
        <v>89</v>
      </c>
      <c r="C168" t="s">
        <v>35</v>
      </c>
      <c r="D168" s="1">
        <v>6450</v>
      </c>
      <c r="E168">
        <v>0</v>
      </c>
      <c r="F168">
        <v>376</v>
      </c>
      <c r="G168">
        <v>47</v>
      </c>
      <c r="H168">
        <v>99</v>
      </c>
      <c r="I168">
        <v>0</v>
      </c>
      <c r="J168">
        <v>4</v>
      </c>
      <c r="K168">
        <v>0</v>
      </c>
      <c r="L168">
        <v>29</v>
      </c>
      <c r="M168">
        <v>6</v>
      </c>
      <c r="N168">
        <v>38</v>
      </c>
      <c r="O168">
        <v>1</v>
      </c>
      <c r="P168">
        <v>20</v>
      </c>
      <c r="Q168">
        <v>3</v>
      </c>
      <c r="R168">
        <v>0</v>
      </c>
      <c r="S168">
        <v>0</v>
      </c>
      <c r="T168">
        <v>0</v>
      </c>
      <c r="U168">
        <v>666</v>
      </c>
      <c r="V168">
        <v>0</v>
      </c>
      <c r="W168" s="1">
        <v>3450</v>
      </c>
      <c r="X168" s="1">
        <v>0</v>
      </c>
      <c r="Y168">
        <v>158</v>
      </c>
      <c r="Z168">
        <v>115</v>
      </c>
      <c r="AA168">
        <v>178</v>
      </c>
      <c r="AB168">
        <v>315</v>
      </c>
      <c r="AC168">
        <v>258</v>
      </c>
      <c r="AD168">
        <v>505</v>
      </c>
      <c r="AE168">
        <v>1</v>
      </c>
      <c r="AF168">
        <v>122</v>
      </c>
      <c r="AG168">
        <v>59</v>
      </c>
    </row>
    <row r="169" spans="1:33" x14ac:dyDescent="0.3">
      <c r="A169" t="s">
        <v>80</v>
      </c>
      <c r="B169" t="s">
        <v>89</v>
      </c>
      <c r="C169" t="s">
        <v>36</v>
      </c>
      <c r="D169" s="1">
        <v>3046</v>
      </c>
      <c r="E169">
        <v>0</v>
      </c>
      <c r="F169">
        <v>197</v>
      </c>
      <c r="G169">
        <v>2</v>
      </c>
      <c r="H169">
        <v>72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35</v>
      </c>
      <c r="O169">
        <v>0</v>
      </c>
      <c r="P169">
        <v>48</v>
      </c>
      <c r="Q169">
        <v>2</v>
      </c>
      <c r="R169">
        <v>0</v>
      </c>
      <c r="S169">
        <v>0</v>
      </c>
      <c r="T169">
        <v>1</v>
      </c>
      <c r="U169">
        <v>20</v>
      </c>
      <c r="V169">
        <v>6</v>
      </c>
      <c r="W169">
        <v>191</v>
      </c>
      <c r="X169" s="1">
        <v>0</v>
      </c>
      <c r="Y169">
        <v>263</v>
      </c>
      <c r="Z169">
        <v>118</v>
      </c>
      <c r="AA169">
        <v>431</v>
      </c>
      <c r="AB169">
        <v>348</v>
      </c>
      <c r="AC169" s="1">
        <v>1039</v>
      </c>
      <c r="AD169">
        <v>175</v>
      </c>
      <c r="AE169">
        <v>1</v>
      </c>
      <c r="AF169">
        <v>82</v>
      </c>
      <c r="AG169">
        <v>13</v>
      </c>
    </row>
    <row r="170" spans="1:33" x14ac:dyDescent="0.3">
      <c r="A170" t="s">
        <v>80</v>
      </c>
      <c r="B170" t="s">
        <v>90</v>
      </c>
      <c r="C170" t="s">
        <v>32</v>
      </c>
      <c r="D170" s="1">
        <v>1068</v>
      </c>
      <c r="E170">
        <v>0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5</v>
      </c>
      <c r="O170">
        <v>0</v>
      </c>
      <c r="P170">
        <v>6</v>
      </c>
      <c r="Q170">
        <v>0</v>
      </c>
      <c r="R170">
        <v>0</v>
      </c>
      <c r="S170">
        <v>0</v>
      </c>
      <c r="T170">
        <v>0</v>
      </c>
      <c r="U170">
        <v>100</v>
      </c>
      <c r="V170">
        <v>210</v>
      </c>
      <c r="W170">
        <v>473</v>
      </c>
      <c r="X170" s="1">
        <v>0</v>
      </c>
      <c r="Y170">
        <v>36</v>
      </c>
      <c r="Z170">
        <v>29</v>
      </c>
      <c r="AA170">
        <v>71</v>
      </c>
      <c r="AB170">
        <v>31</v>
      </c>
      <c r="AC170">
        <v>68</v>
      </c>
      <c r="AD170">
        <v>16</v>
      </c>
      <c r="AE170">
        <v>0</v>
      </c>
      <c r="AF170">
        <v>8</v>
      </c>
      <c r="AG170">
        <v>9</v>
      </c>
    </row>
    <row r="171" spans="1:33" x14ac:dyDescent="0.3">
      <c r="A171" t="s">
        <v>80</v>
      </c>
      <c r="B171" t="s">
        <v>90</v>
      </c>
      <c r="C171" t="s">
        <v>35</v>
      </c>
      <c r="D171">
        <v>722</v>
      </c>
      <c r="E171">
        <v>0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5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96</v>
      </c>
      <c r="V171">
        <v>114</v>
      </c>
      <c r="W171">
        <v>402</v>
      </c>
      <c r="X171" s="1">
        <v>0</v>
      </c>
      <c r="Y171">
        <v>12</v>
      </c>
      <c r="Z171">
        <v>20</v>
      </c>
      <c r="AA171">
        <v>16</v>
      </c>
      <c r="AB171">
        <v>14</v>
      </c>
      <c r="AC171">
        <v>10</v>
      </c>
      <c r="AD171">
        <v>16</v>
      </c>
      <c r="AE171">
        <v>0</v>
      </c>
      <c r="AF171">
        <v>5</v>
      </c>
      <c r="AG171">
        <v>6</v>
      </c>
    </row>
    <row r="172" spans="1:33" x14ac:dyDescent="0.3">
      <c r="A172" t="s">
        <v>80</v>
      </c>
      <c r="B172" t="s">
        <v>90</v>
      </c>
      <c r="C172" t="s">
        <v>36</v>
      </c>
      <c r="D172">
        <v>346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</v>
      </c>
      <c r="Q172">
        <v>0</v>
      </c>
      <c r="R172">
        <v>0</v>
      </c>
      <c r="S172">
        <v>0</v>
      </c>
      <c r="T172">
        <v>0</v>
      </c>
      <c r="U172">
        <v>4</v>
      </c>
      <c r="V172">
        <v>96</v>
      </c>
      <c r="W172">
        <v>71</v>
      </c>
      <c r="X172" s="1">
        <v>0</v>
      </c>
      <c r="Y172">
        <v>24</v>
      </c>
      <c r="Z172">
        <v>9</v>
      </c>
      <c r="AA172">
        <v>55</v>
      </c>
      <c r="AB172">
        <v>17</v>
      </c>
      <c r="AC172">
        <v>58</v>
      </c>
      <c r="AD172">
        <v>0</v>
      </c>
      <c r="AE172">
        <v>0</v>
      </c>
      <c r="AF172">
        <v>3</v>
      </c>
      <c r="AG172">
        <v>3</v>
      </c>
    </row>
    <row r="173" spans="1:33" x14ac:dyDescent="0.3">
      <c r="A173" t="s">
        <v>80</v>
      </c>
      <c r="B173" t="s">
        <v>91</v>
      </c>
      <c r="C173" t="s">
        <v>32</v>
      </c>
      <c r="D173" s="1">
        <v>6814</v>
      </c>
      <c r="E173">
        <v>0</v>
      </c>
      <c r="F173">
        <v>754</v>
      </c>
      <c r="G173">
        <v>3</v>
      </c>
      <c r="H173">
        <v>363</v>
      </c>
      <c r="I173">
        <v>0</v>
      </c>
      <c r="J173">
        <v>7</v>
      </c>
      <c r="K173">
        <v>9</v>
      </c>
      <c r="L173">
        <v>12</v>
      </c>
      <c r="M173">
        <v>3</v>
      </c>
      <c r="N173">
        <v>50</v>
      </c>
      <c r="O173">
        <v>12</v>
      </c>
      <c r="P173">
        <v>69</v>
      </c>
      <c r="Q173">
        <v>76</v>
      </c>
      <c r="R173">
        <v>5</v>
      </c>
      <c r="S173">
        <v>0</v>
      </c>
      <c r="T173">
        <v>21</v>
      </c>
      <c r="U173">
        <v>366</v>
      </c>
      <c r="V173">
        <v>853</v>
      </c>
      <c r="W173" s="1">
        <v>2016</v>
      </c>
      <c r="X173">
        <v>2</v>
      </c>
      <c r="Y173">
        <v>366</v>
      </c>
      <c r="Z173">
        <v>98</v>
      </c>
      <c r="AA173">
        <v>341</v>
      </c>
      <c r="AB173">
        <v>269</v>
      </c>
      <c r="AC173">
        <v>895</v>
      </c>
      <c r="AD173">
        <v>142</v>
      </c>
      <c r="AE173">
        <v>4</v>
      </c>
      <c r="AF173">
        <v>42</v>
      </c>
      <c r="AG173">
        <v>36</v>
      </c>
    </row>
    <row r="174" spans="1:33" x14ac:dyDescent="0.3">
      <c r="A174" t="s">
        <v>80</v>
      </c>
      <c r="B174" t="s">
        <v>91</v>
      </c>
      <c r="C174" t="s">
        <v>35</v>
      </c>
      <c r="D174" s="1">
        <v>4154</v>
      </c>
      <c r="E174">
        <v>0</v>
      </c>
      <c r="F174">
        <v>354</v>
      </c>
      <c r="G174">
        <v>3</v>
      </c>
      <c r="H174">
        <v>230</v>
      </c>
      <c r="I174">
        <v>0</v>
      </c>
      <c r="J174">
        <v>7</v>
      </c>
      <c r="K174">
        <v>9</v>
      </c>
      <c r="L174">
        <v>8</v>
      </c>
      <c r="M174">
        <v>2</v>
      </c>
      <c r="N174">
        <v>32</v>
      </c>
      <c r="O174">
        <v>9</v>
      </c>
      <c r="P174">
        <v>25</v>
      </c>
      <c r="Q174">
        <v>55</v>
      </c>
      <c r="R174">
        <v>5</v>
      </c>
      <c r="S174">
        <v>0</v>
      </c>
      <c r="T174">
        <v>7</v>
      </c>
      <c r="U174">
        <v>357</v>
      </c>
      <c r="V174">
        <v>491</v>
      </c>
      <c r="W174" s="1">
        <v>1810</v>
      </c>
      <c r="X174">
        <v>2</v>
      </c>
      <c r="Y174">
        <v>129</v>
      </c>
      <c r="Z174">
        <v>43</v>
      </c>
      <c r="AA174">
        <v>104</v>
      </c>
      <c r="AB174">
        <v>106</v>
      </c>
      <c r="AC174">
        <v>204</v>
      </c>
      <c r="AD174">
        <v>111</v>
      </c>
      <c r="AE174">
        <v>0</v>
      </c>
      <c r="AF174">
        <v>21</v>
      </c>
      <c r="AG174">
        <v>30</v>
      </c>
    </row>
    <row r="175" spans="1:33" x14ac:dyDescent="0.3">
      <c r="A175" t="s">
        <v>80</v>
      </c>
      <c r="B175" t="s">
        <v>91</v>
      </c>
      <c r="C175" t="s">
        <v>36</v>
      </c>
      <c r="D175" s="1">
        <v>2660</v>
      </c>
      <c r="E175">
        <v>0</v>
      </c>
      <c r="F175">
        <v>400</v>
      </c>
      <c r="G175">
        <v>0</v>
      </c>
      <c r="H175">
        <v>133</v>
      </c>
      <c r="I175">
        <v>0</v>
      </c>
      <c r="J175">
        <v>0</v>
      </c>
      <c r="K175">
        <v>0</v>
      </c>
      <c r="L175">
        <v>4</v>
      </c>
      <c r="M175">
        <v>1</v>
      </c>
      <c r="N175">
        <v>18</v>
      </c>
      <c r="O175">
        <v>3</v>
      </c>
      <c r="P175">
        <v>44</v>
      </c>
      <c r="Q175">
        <v>21</v>
      </c>
      <c r="R175">
        <v>0</v>
      </c>
      <c r="S175">
        <v>0</v>
      </c>
      <c r="T175">
        <v>14</v>
      </c>
      <c r="U175">
        <v>9</v>
      </c>
      <c r="V175">
        <v>362</v>
      </c>
      <c r="W175">
        <v>206</v>
      </c>
      <c r="X175" s="1">
        <v>0</v>
      </c>
      <c r="Y175">
        <v>237</v>
      </c>
      <c r="Z175">
        <v>55</v>
      </c>
      <c r="AA175">
        <v>237</v>
      </c>
      <c r="AB175">
        <v>163</v>
      </c>
      <c r="AC175">
        <v>691</v>
      </c>
      <c r="AD175">
        <v>31</v>
      </c>
      <c r="AE175">
        <v>4</v>
      </c>
      <c r="AF175">
        <v>21</v>
      </c>
      <c r="AG175">
        <v>6</v>
      </c>
    </row>
    <row r="176" spans="1:33" x14ac:dyDescent="0.3">
      <c r="A176" t="s">
        <v>80</v>
      </c>
      <c r="B176" t="s">
        <v>92</v>
      </c>
      <c r="C176" t="s">
        <v>32</v>
      </c>
      <c r="D176" s="1">
        <v>3621</v>
      </c>
      <c r="E176">
        <v>0</v>
      </c>
      <c r="F176">
        <v>25</v>
      </c>
      <c r="G176">
        <v>8</v>
      </c>
      <c r="H176">
        <v>4</v>
      </c>
      <c r="I176">
        <v>0</v>
      </c>
      <c r="J176">
        <v>0</v>
      </c>
      <c r="K176">
        <v>0</v>
      </c>
      <c r="L176">
        <v>2</v>
      </c>
      <c r="M176">
        <v>2</v>
      </c>
      <c r="N176">
        <v>5</v>
      </c>
      <c r="O176">
        <v>0</v>
      </c>
      <c r="P176">
        <v>8</v>
      </c>
      <c r="Q176">
        <v>0</v>
      </c>
      <c r="R176">
        <v>0</v>
      </c>
      <c r="S176">
        <v>0</v>
      </c>
      <c r="T176">
        <v>1</v>
      </c>
      <c r="U176">
        <v>291</v>
      </c>
      <c r="V176">
        <v>390</v>
      </c>
      <c r="W176" s="1">
        <v>1609</v>
      </c>
      <c r="X176" s="1">
        <v>0</v>
      </c>
      <c r="Y176">
        <v>138</v>
      </c>
      <c r="Z176">
        <v>52</v>
      </c>
      <c r="AA176">
        <v>215</v>
      </c>
      <c r="AB176">
        <v>64</v>
      </c>
      <c r="AC176">
        <v>247</v>
      </c>
      <c r="AD176">
        <v>413</v>
      </c>
      <c r="AE176">
        <v>0</v>
      </c>
      <c r="AF176">
        <v>107</v>
      </c>
      <c r="AG176">
        <v>40</v>
      </c>
    </row>
    <row r="177" spans="1:33" x14ac:dyDescent="0.3">
      <c r="A177" t="s">
        <v>80</v>
      </c>
      <c r="B177" t="s">
        <v>92</v>
      </c>
      <c r="C177" t="s">
        <v>35</v>
      </c>
      <c r="D177" s="1">
        <v>2611</v>
      </c>
      <c r="E177">
        <v>0</v>
      </c>
      <c r="F177">
        <v>18</v>
      </c>
      <c r="G177">
        <v>7</v>
      </c>
      <c r="H177">
        <v>3</v>
      </c>
      <c r="I177">
        <v>0</v>
      </c>
      <c r="J177">
        <v>0</v>
      </c>
      <c r="K177">
        <v>0</v>
      </c>
      <c r="L177">
        <v>2</v>
      </c>
      <c r="M177">
        <v>2</v>
      </c>
      <c r="N177">
        <v>3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278</v>
      </c>
      <c r="V177">
        <v>231</v>
      </c>
      <c r="W177" s="1">
        <v>1450</v>
      </c>
      <c r="X177" s="1">
        <v>0</v>
      </c>
      <c r="Y177">
        <v>58</v>
      </c>
      <c r="Z177">
        <v>25</v>
      </c>
      <c r="AA177">
        <v>75</v>
      </c>
      <c r="AB177">
        <v>30</v>
      </c>
      <c r="AC177">
        <v>46</v>
      </c>
      <c r="AD177">
        <v>283</v>
      </c>
      <c r="AE177">
        <v>0</v>
      </c>
      <c r="AF177">
        <v>68</v>
      </c>
      <c r="AG177">
        <v>31</v>
      </c>
    </row>
    <row r="178" spans="1:33" x14ac:dyDescent="0.3">
      <c r="A178" t="s">
        <v>80</v>
      </c>
      <c r="B178" t="s">
        <v>92</v>
      </c>
      <c r="C178" t="s">
        <v>36</v>
      </c>
      <c r="D178" s="1">
        <v>1010</v>
      </c>
      <c r="E178">
        <v>0</v>
      </c>
      <c r="F178">
        <v>7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7</v>
      </c>
      <c r="Q178">
        <v>0</v>
      </c>
      <c r="R178">
        <v>0</v>
      </c>
      <c r="S178">
        <v>0</v>
      </c>
      <c r="T178">
        <v>1</v>
      </c>
      <c r="U178">
        <v>13</v>
      </c>
      <c r="V178">
        <v>159</v>
      </c>
      <c r="W178">
        <v>159</v>
      </c>
      <c r="X178" s="1">
        <v>0</v>
      </c>
      <c r="Y178">
        <v>80</v>
      </c>
      <c r="Z178">
        <v>27</v>
      </c>
      <c r="AA178">
        <v>140</v>
      </c>
      <c r="AB178">
        <v>34</v>
      </c>
      <c r="AC178">
        <v>201</v>
      </c>
      <c r="AD178">
        <v>130</v>
      </c>
      <c r="AE178">
        <v>0</v>
      </c>
      <c r="AF178">
        <v>39</v>
      </c>
      <c r="AG178">
        <v>9</v>
      </c>
    </row>
    <row r="179" spans="1:33" x14ac:dyDescent="0.3">
      <c r="A179" t="s">
        <v>80</v>
      </c>
      <c r="B179" t="s">
        <v>93</v>
      </c>
      <c r="C179" t="s">
        <v>32</v>
      </c>
      <c r="D179" s="1">
        <v>2750</v>
      </c>
      <c r="E179">
        <v>0</v>
      </c>
      <c r="F179">
        <v>600</v>
      </c>
      <c r="G179">
        <v>1</v>
      </c>
      <c r="H179">
        <v>69</v>
      </c>
      <c r="I179">
        <v>0</v>
      </c>
      <c r="J179">
        <v>14</v>
      </c>
      <c r="K179">
        <v>0</v>
      </c>
      <c r="L179">
        <v>8</v>
      </c>
      <c r="M179">
        <v>1</v>
      </c>
      <c r="N179">
        <v>16</v>
      </c>
      <c r="O179">
        <v>0</v>
      </c>
      <c r="P179">
        <v>29</v>
      </c>
      <c r="Q179">
        <v>1</v>
      </c>
      <c r="R179">
        <v>0</v>
      </c>
      <c r="S179">
        <v>0</v>
      </c>
      <c r="T179">
        <v>2</v>
      </c>
      <c r="U179">
        <v>152</v>
      </c>
      <c r="V179">
        <v>13</v>
      </c>
      <c r="W179">
        <v>745</v>
      </c>
      <c r="X179">
        <v>206</v>
      </c>
      <c r="Y179">
        <v>155</v>
      </c>
      <c r="Z179">
        <v>52</v>
      </c>
      <c r="AA179">
        <v>71</v>
      </c>
      <c r="AB179">
        <v>181</v>
      </c>
      <c r="AC179">
        <v>359</v>
      </c>
      <c r="AD179">
        <v>28</v>
      </c>
      <c r="AE179">
        <v>2</v>
      </c>
      <c r="AF179">
        <v>31</v>
      </c>
      <c r="AG179">
        <v>14</v>
      </c>
    </row>
    <row r="180" spans="1:33" x14ac:dyDescent="0.3">
      <c r="A180" t="s">
        <v>80</v>
      </c>
      <c r="B180" t="s">
        <v>93</v>
      </c>
      <c r="C180" t="s">
        <v>35</v>
      </c>
      <c r="D180" s="1">
        <v>1748</v>
      </c>
      <c r="E180">
        <v>0</v>
      </c>
      <c r="F180">
        <v>350</v>
      </c>
      <c r="G180">
        <v>1</v>
      </c>
      <c r="H180">
        <v>40</v>
      </c>
      <c r="I180">
        <v>0</v>
      </c>
      <c r="J180">
        <v>7</v>
      </c>
      <c r="K180">
        <v>0</v>
      </c>
      <c r="L180">
        <v>7</v>
      </c>
      <c r="M180">
        <v>1</v>
      </c>
      <c r="N180">
        <v>6</v>
      </c>
      <c r="O180">
        <v>0</v>
      </c>
      <c r="P180">
        <v>8</v>
      </c>
      <c r="Q180">
        <v>0</v>
      </c>
      <c r="R180">
        <v>0</v>
      </c>
      <c r="S180">
        <v>0</v>
      </c>
      <c r="T180">
        <v>0</v>
      </c>
      <c r="U180">
        <v>146</v>
      </c>
      <c r="V180">
        <v>9</v>
      </c>
      <c r="W180">
        <v>683</v>
      </c>
      <c r="X180">
        <v>206</v>
      </c>
      <c r="Y180">
        <v>64</v>
      </c>
      <c r="Z180">
        <v>26</v>
      </c>
      <c r="AA180">
        <v>23</v>
      </c>
      <c r="AB180">
        <v>74</v>
      </c>
      <c r="AC180">
        <v>46</v>
      </c>
      <c r="AD180">
        <v>23</v>
      </c>
      <c r="AE180">
        <v>0</v>
      </c>
      <c r="AF180">
        <v>21</v>
      </c>
      <c r="AG180">
        <v>7</v>
      </c>
    </row>
    <row r="181" spans="1:33" x14ac:dyDescent="0.3">
      <c r="A181" t="s">
        <v>80</v>
      </c>
      <c r="B181" t="s">
        <v>93</v>
      </c>
      <c r="C181" t="s">
        <v>36</v>
      </c>
      <c r="D181" s="1">
        <v>1002</v>
      </c>
      <c r="E181">
        <v>0</v>
      </c>
      <c r="F181">
        <v>250</v>
      </c>
      <c r="G181">
        <v>0</v>
      </c>
      <c r="H181">
        <v>29</v>
      </c>
      <c r="I181">
        <v>0</v>
      </c>
      <c r="J181">
        <v>7</v>
      </c>
      <c r="K181">
        <v>0</v>
      </c>
      <c r="L181">
        <v>1</v>
      </c>
      <c r="M181">
        <v>0</v>
      </c>
      <c r="N181">
        <v>10</v>
      </c>
      <c r="O181">
        <v>0</v>
      </c>
      <c r="P181">
        <v>21</v>
      </c>
      <c r="Q181">
        <v>1</v>
      </c>
      <c r="R181">
        <v>0</v>
      </c>
      <c r="S181">
        <v>0</v>
      </c>
      <c r="T181">
        <v>2</v>
      </c>
      <c r="U181">
        <v>6</v>
      </c>
      <c r="V181">
        <v>4</v>
      </c>
      <c r="W181">
        <v>62</v>
      </c>
      <c r="X181" s="1">
        <v>0</v>
      </c>
      <c r="Y181">
        <v>91</v>
      </c>
      <c r="Z181">
        <v>26</v>
      </c>
      <c r="AA181">
        <v>48</v>
      </c>
      <c r="AB181">
        <v>107</v>
      </c>
      <c r="AC181">
        <v>313</v>
      </c>
      <c r="AD181">
        <v>5</v>
      </c>
      <c r="AE181">
        <v>2</v>
      </c>
      <c r="AF181">
        <v>10</v>
      </c>
      <c r="AG181">
        <v>7</v>
      </c>
    </row>
    <row r="182" spans="1:33" x14ac:dyDescent="0.3">
      <c r="A182" t="s">
        <v>80</v>
      </c>
      <c r="B182" t="s">
        <v>94</v>
      </c>
      <c r="C182" t="s">
        <v>32</v>
      </c>
      <c r="D182" s="1">
        <v>2921</v>
      </c>
      <c r="E182">
        <v>0</v>
      </c>
      <c r="F182">
        <v>435</v>
      </c>
      <c r="G182">
        <v>2</v>
      </c>
      <c r="H182">
        <v>332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32</v>
      </c>
      <c r="O182">
        <v>1</v>
      </c>
      <c r="P182">
        <v>9</v>
      </c>
      <c r="Q182">
        <v>0</v>
      </c>
      <c r="R182">
        <v>0</v>
      </c>
      <c r="S182">
        <v>0</v>
      </c>
      <c r="T182">
        <v>1</v>
      </c>
      <c r="U182">
        <v>160</v>
      </c>
      <c r="V182">
        <v>2</v>
      </c>
      <c r="W182">
        <v>739</v>
      </c>
      <c r="X182" s="1">
        <v>0</v>
      </c>
      <c r="Y182">
        <v>164</v>
      </c>
      <c r="Z182">
        <v>86</v>
      </c>
      <c r="AA182">
        <v>160</v>
      </c>
      <c r="AB182">
        <v>279</v>
      </c>
      <c r="AC182">
        <v>370</v>
      </c>
      <c r="AD182">
        <v>51</v>
      </c>
      <c r="AE182">
        <v>0</v>
      </c>
      <c r="AF182">
        <v>70</v>
      </c>
      <c r="AG182">
        <v>24</v>
      </c>
    </row>
    <row r="183" spans="1:33" x14ac:dyDescent="0.3">
      <c r="A183" t="s">
        <v>80</v>
      </c>
      <c r="B183" t="s">
        <v>94</v>
      </c>
      <c r="C183" t="s">
        <v>35</v>
      </c>
      <c r="D183" s="1">
        <v>1742</v>
      </c>
      <c r="E183">
        <v>0</v>
      </c>
      <c r="F183">
        <v>227</v>
      </c>
      <c r="G183">
        <v>1</v>
      </c>
      <c r="H183">
        <v>179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14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152</v>
      </c>
      <c r="V183">
        <v>1</v>
      </c>
      <c r="W183">
        <v>706</v>
      </c>
      <c r="X183" s="1">
        <v>0</v>
      </c>
      <c r="Y183">
        <v>56</v>
      </c>
      <c r="Z183">
        <v>36</v>
      </c>
      <c r="AA183">
        <v>48</v>
      </c>
      <c r="AB183">
        <v>143</v>
      </c>
      <c r="AC183">
        <v>66</v>
      </c>
      <c r="AD183">
        <v>45</v>
      </c>
      <c r="AE183">
        <v>0</v>
      </c>
      <c r="AF183">
        <v>44</v>
      </c>
      <c r="AG183">
        <v>18</v>
      </c>
    </row>
    <row r="184" spans="1:33" x14ac:dyDescent="0.3">
      <c r="A184" t="s">
        <v>80</v>
      </c>
      <c r="B184" t="s">
        <v>94</v>
      </c>
      <c r="C184" t="s">
        <v>36</v>
      </c>
      <c r="D184" s="1">
        <v>1179</v>
      </c>
      <c r="E184">
        <v>0</v>
      </c>
      <c r="F184">
        <v>208</v>
      </c>
      <c r="G184">
        <v>1</v>
      </c>
      <c r="H184">
        <v>153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18</v>
      </c>
      <c r="O184">
        <v>0</v>
      </c>
      <c r="P184">
        <v>8</v>
      </c>
      <c r="Q184">
        <v>0</v>
      </c>
      <c r="R184">
        <v>0</v>
      </c>
      <c r="S184">
        <v>0</v>
      </c>
      <c r="T184">
        <v>0</v>
      </c>
      <c r="U184">
        <v>8</v>
      </c>
      <c r="V184">
        <v>1</v>
      </c>
      <c r="W184">
        <v>33</v>
      </c>
      <c r="X184" s="1">
        <v>0</v>
      </c>
      <c r="Y184">
        <v>108</v>
      </c>
      <c r="Z184">
        <v>50</v>
      </c>
      <c r="AA184">
        <v>112</v>
      </c>
      <c r="AB184">
        <v>136</v>
      </c>
      <c r="AC184">
        <v>304</v>
      </c>
      <c r="AD184">
        <v>6</v>
      </c>
      <c r="AE184">
        <v>0</v>
      </c>
      <c r="AF184">
        <v>26</v>
      </c>
      <c r="AG184">
        <v>6</v>
      </c>
    </row>
    <row r="185" spans="1:33" x14ac:dyDescent="0.3">
      <c r="A185" t="s">
        <v>80</v>
      </c>
      <c r="B185" t="s">
        <v>95</v>
      </c>
      <c r="C185" t="s">
        <v>32</v>
      </c>
      <c r="D185" s="1">
        <v>4777</v>
      </c>
      <c r="E185">
        <v>0</v>
      </c>
      <c r="F185">
        <v>173</v>
      </c>
      <c r="G185">
        <v>35</v>
      </c>
      <c r="H185">
        <v>145</v>
      </c>
      <c r="I185">
        <v>0</v>
      </c>
      <c r="J185">
        <v>5</v>
      </c>
      <c r="K185">
        <v>7</v>
      </c>
      <c r="L185">
        <v>19</v>
      </c>
      <c r="M185">
        <v>4</v>
      </c>
      <c r="N185">
        <v>50</v>
      </c>
      <c r="O185">
        <v>1</v>
      </c>
      <c r="P185">
        <v>75</v>
      </c>
      <c r="Q185">
        <v>16</v>
      </c>
      <c r="R185">
        <v>2</v>
      </c>
      <c r="S185">
        <v>0</v>
      </c>
      <c r="T185">
        <v>46</v>
      </c>
      <c r="U185">
        <v>523</v>
      </c>
      <c r="V185">
        <v>6</v>
      </c>
      <c r="W185" s="1">
        <v>1615</v>
      </c>
      <c r="X185" s="1">
        <v>0</v>
      </c>
      <c r="Y185">
        <v>202</v>
      </c>
      <c r="Z185">
        <v>158</v>
      </c>
      <c r="AA185">
        <v>289</v>
      </c>
      <c r="AB185">
        <v>515</v>
      </c>
      <c r="AC185">
        <v>547</v>
      </c>
      <c r="AD185">
        <v>190</v>
      </c>
      <c r="AE185">
        <v>3</v>
      </c>
      <c r="AF185">
        <v>104</v>
      </c>
      <c r="AG185">
        <v>47</v>
      </c>
    </row>
    <row r="186" spans="1:33" x14ac:dyDescent="0.3">
      <c r="A186" t="s">
        <v>80</v>
      </c>
      <c r="B186" t="s">
        <v>95</v>
      </c>
      <c r="C186" t="s">
        <v>35</v>
      </c>
      <c r="D186" s="1">
        <v>3263</v>
      </c>
      <c r="E186">
        <v>0</v>
      </c>
      <c r="F186">
        <v>69</v>
      </c>
      <c r="G186">
        <v>34</v>
      </c>
      <c r="H186">
        <v>110</v>
      </c>
      <c r="I186">
        <v>0</v>
      </c>
      <c r="J186">
        <v>3</v>
      </c>
      <c r="K186">
        <v>7</v>
      </c>
      <c r="L186">
        <v>18</v>
      </c>
      <c r="M186">
        <v>3</v>
      </c>
      <c r="N186">
        <v>23</v>
      </c>
      <c r="O186">
        <v>1</v>
      </c>
      <c r="P186">
        <v>28</v>
      </c>
      <c r="Q186">
        <v>12</v>
      </c>
      <c r="R186">
        <v>2</v>
      </c>
      <c r="S186">
        <v>0</v>
      </c>
      <c r="T186">
        <v>10</v>
      </c>
      <c r="U186">
        <v>513</v>
      </c>
      <c r="V186">
        <v>3</v>
      </c>
      <c r="W186" s="1">
        <v>1577</v>
      </c>
      <c r="X186" s="1">
        <v>0</v>
      </c>
      <c r="Y186">
        <v>72</v>
      </c>
      <c r="Z186">
        <v>79</v>
      </c>
      <c r="AA186">
        <v>84</v>
      </c>
      <c r="AB186">
        <v>254</v>
      </c>
      <c r="AC186">
        <v>136</v>
      </c>
      <c r="AD186">
        <v>119</v>
      </c>
      <c r="AE186">
        <v>0</v>
      </c>
      <c r="AF186">
        <v>62</v>
      </c>
      <c r="AG186">
        <v>44</v>
      </c>
    </row>
    <row r="187" spans="1:33" x14ac:dyDescent="0.3">
      <c r="A187" t="s">
        <v>80</v>
      </c>
      <c r="B187" t="s">
        <v>95</v>
      </c>
      <c r="C187" t="s">
        <v>36</v>
      </c>
      <c r="D187" s="1">
        <v>1514</v>
      </c>
      <c r="E187">
        <v>0</v>
      </c>
      <c r="F187">
        <v>104</v>
      </c>
      <c r="G187">
        <v>1</v>
      </c>
      <c r="H187">
        <v>35</v>
      </c>
      <c r="I187">
        <v>0</v>
      </c>
      <c r="J187">
        <v>2</v>
      </c>
      <c r="K187">
        <v>0</v>
      </c>
      <c r="L187">
        <v>1</v>
      </c>
      <c r="M187">
        <v>1</v>
      </c>
      <c r="N187">
        <v>27</v>
      </c>
      <c r="O187">
        <v>0</v>
      </c>
      <c r="P187">
        <v>47</v>
      </c>
      <c r="Q187">
        <v>4</v>
      </c>
      <c r="R187">
        <v>0</v>
      </c>
      <c r="S187">
        <v>0</v>
      </c>
      <c r="T187">
        <v>36</v>
      </c>
      <c r="U187">
        <v>10</v>
      </c>
      <c r="V187">
        <v>3</v>
      </c>
      <c r="W187">
        <v>38</v>
      </c>
      <c r="X187" s="1">
        <v>0</v>
      </c>
      <c r="Y187">
        <v>130</v>
      </c>
      <c r="Z187">
        <v>79</v>
      </c>
      <c r="AA187">
        <v>205</v>
      </c>
      <c r="AB187">
        <v>261</v>
      </c>
      <c r="AC187">
        <v>411</v>
      </c>
      <c r="AD187">
        <v>71</v>
      </c>
      <c r="AE187">
        <v>3</v>
      </c>
      <c r="AF187">
        <v>42</v>
      </c>
      <c r="AG187">
        <v>3</v>
      </c>
    </row>
    <row r="188" spans="1:33" x14ac:dyDescent="0.3">
      <c r="A188" t="s">
        <v>80</v>
      </c>
      <c r="B188" t="s">
        <v>96</v>
      </c>
      <c r="C188" t="s">
        <v>32</v>
      </c>
      <c r="D188" s="1">
        <v>3904</v>
      </c>
      <c r="E188">
        <v>0</v>
      </c>
      <c r="F188">
        <v>393</v>
      </c>
      <c r="G188">
        <v>6</v>
      </c>
      <c r="H188">
        <v>111</v>
      </c>
      <c r="I188">
        <v>0</v>
      </c>
      <c r="J188">
        <v>2</v>
      </c>
      <c r="K188">
        <v>0</v>
      </c>
      <c r="L188">
        <v>5</v>
      </c>
      <c r="M188">
        <v>5</v>
      </c>
      <c r="N188">
        <v>70</v>
      </c>
      <c r="O188">
        <v>1</v>
      </c>
      <c r="P188">
        <v>30</v>
      </c>
      <c r="Q188">
        <v>14</v>
      </c>
      <c r="R188">
        <v>0</v>
      </c>
      <c r="S188">
        <v>0</v>
      </c>
      <c r="T188">
        <v>1</v>
      </c>
      <c r="U188">
        <v>289</v>
      </c>
      <c r="V188">
        <v>85</v>
      </c>
      <c r="W188" s="1">
        <v>1073</v>
      </c>
      <c r="X188">
        <v>2</v>
      </c>
      <c r="Y188">
        <v>206</v>
      </c>
      <c r="Z188">
        <v>180</v>
      </c>
      <c r="AA188">
        <v>275</v>
      </c>
      <c r="AB188">
        <v>420</v>
      </c>
      <c r="AC188">
        <v>549</v>
      </c>
      <c r="AD188">
        <v>69</v>
      </c>
      <c r="AE188">
        <v>3</v>
      </c>
      <c r="AF188">
        <v>91</v>
      </c>
      <c r="AG188">
        <v>24</v>
      </c>
    </row>
    <row r="189" spans="1:33" x14ac:dyDescent="0.3">
      <c r="A189" t="s">
        <v>80</v>
      </c>
      <c r="B189" t="s">
        <v>96</v>
      </c>
      <c r="C189" t="s">
        <v>35</v>
      </c>
      <c r="D189" s="1">
        <v>2305</v>
      </c>
      <c r="E189">
        <v>0</v>
      </c>
      <c r="F189">
        <v>169</v>
      </c>
      <c r="G189">
        <v>5</v>
      </c>
      <c r="H189">
        <v>52</v>
      </c>
      <c r="I189">
        <v>0</v>
      </c>
      <c r="J189">
        <v>0</v>
      </c>
      <c r="K189">
        <v>0</v>
      </c>
      <c r="L189">
        <v>5</v>
      </c>
      <c r="M189">
        <v>3</v>
      </c>
      <c r="N189">
        <v>29</v>
      </c>
      <c r="O189">
        <v>1</v>
      </c>
      <c r="P189">
        <v>6</v>
      </c>
      <c r="Q189">
        <v>12</v>
      </c>
      <c r="R189">
        <v>0</v>
      </c>
      <c r="S189">
        <v>0</v>
      </c>
      <c r="T189">
        <v>0</v>
      </c>
      <c r="U189">
        <v>280</v>
      </c>
      <c r="V189">
        <v>51</v>
      </c>
      <c r="W189">
        <v>999</v>
      </c>
      <c r="X189">
        <v>2</v>
      </c>
      <c r="Y189">
        <v>77</v>
      </c>
      <c r="Z189">
        <v>78</v>
      </c>
      <c r="AA189">
        <v>95</v>
      </c>
      <c r="AB189">
        <v>194</v>
      </c>
      <c r="AC189">
        <v>125</v>
      </c>
      <c r="AD189">
        <v>56</v>
      </c>
      <c r="AE189">
        <v>2</v>
      </c>
      <c r="AF189">
        <v>46</v>
      </c>
      <c r="AG189">
        <v>18</v>
      </c>
    </row>
    <row r="190" spans="1:33" x14ac:dyDescent="0.3">
      <c r="A190" t="s">
        <v>80</v>
      </c>
      <c r="B190" t="s">
        <v>96</v>
      </c>
      <c r="C190" t="s">
        <v>36</v>
      </c>
      <c r="D190" s="1">
        <v>1599</v>
      </c>
      <c r="E190">
        <v>0</v>
      </c>
      <c r="F190">
        <v>224</v>
      </c>
      <c r="G190">
        <v>1</v>
      </c>
      <c r="H190">
        <v>59</v>
      </c>
      <c r="I190">
        <v>0</v>
      </c>
      <c r="J190">
        <v>2</v>
      </c>
      <c r="K190">
        <v>0</v>
      </c>
      <c r="L190">
        <v>0</v>
      </c>
      <c r="M190">
        <v>2</v>
      </c>
      <c r="N190">
        <v>41</v>
      </c>
      <c r="O190">
        <v>0</v>
      </c>
      <c r="P190">
        <v>24</v>
      </c>
      <c r="Q190">
        <v>2</v>
      </c>
      <c r="R190">
        <v>0</v>
      </c>
      <c r="S190">
        <v>0</v>
      </c>
      <c r="T190">
        <v>1</v>
      </c>
      <c r="U190">
        <v>9</v>
      </c>
      <c r="V190">
        <v>34</v>
      </c>
      <c r="W190">
        <v>74</v>
      </c>
      <c r="X190" s="1">
        <v>0</v>
      </c>
      <c r="Y190">
        <v>129</v>
      </c>
      <c r="Z190">
        <v>102</v>
      </c>
      <c r="AA190">
        <v>180</v>
      </c>
      <c r="AB190">
        <v>226</v>
      </c>
      <c r="AC190">
        <v>424</v>
      </c>
      <c r="AD190">
        <v>13</v>
      </c>
      <c r="AE190">
        <v>1</v>
      </c>
      <c r="AF190">
        <v>45</v>
      </c>
      <c r="AG190">
        <v>6</v>
      </c>
    </row>
    <row r="191" spans="1:33" x14ac:dyDescent="0.3">
      <c r="A191" t="s">
        <v>80</v>
      </c>
      <c r="B191" t="s">
        <v>97</v>
      </c>
      <c r="C191" t="s">
        <v>32</v>
      </c>
      <c r="D191" s="1">
        <v>5341</v>
      </c>
      <c r="E191">
        <v>0</v>
      </c>
      <c r="F191">
        <v>112</v>
      </c>
      <c r="G191">
        <v>10</v>
      </c>
      <c r="H191">
        <v>12</v>
      </c>
      <c r="I191">
        <v>0</v>
      </c>
      <c r="J191">
        <v>4</v>
      </c>
      <c r="K191">
        <v>1</v>
      </c>
      <c r="L191">
        <v>11</v>
      </c>
      <c r="M191">
        <v>8</v>
      </c>
      <c r="N191">
        <v>37</v>
      </c>
      <c r="O191">
        <v>1</v>
      </c>
      <c r="P191">
        <v>16</v>
      </c>
      <c r="Q191">
        <v>1</v>
      </c>
      <c r="R191">
        <v>0</v>
      </c>
      <c r="S191">
        <v>0</v>
      </c>
      <c r="T191">
        <v>1</v>
      </c>
      <c r="U191">
        <v>544</v>
      </c>
      <c r="V191">
        <v>0</v>
      </c>
      <c r="W191" s="1">
        <v>1890</v>
      </c>
      <c r="X191" s="1">
        <v>0</v>
      </c>
      <c r="Y191">
        <v>262</v>
      </c>
      <c r="Z191">
        <v>209</v>
      </c>
      <c r="AA191">
        <v>439</v>
      </c>
      <c r="AB191">
        <v>489</v>
      </c>
      <c r="AC191">
        <v>663</v>
      </c>
      <c r="AD191">
        <v>159</v>
      </c>
      <c r="AE191">
        <v>1</v>
      </c>
      <c r="AF191">
        <v>116</v>
      </c>
      <c r="AG191">
        <v>355</v>
      </c>
    </row>
    <row r="192" spans="1:33" x14ac:dyDescent="0.3">
      <c r="A192" t="s">
        <v>80</v>
      </c>
      <c r="B192" t="s">
        <v>97</v>
      </c>
      <c r="C192" t="s">
        <v>35</v>
      </c>
      <c r="D192" s="1">
        <v>3677</v>
      </c>
      <c r="E192">
        <v>0</v>
      </c>
      <c r="F192">
        <v>76</v>
      </c>
      <c r="G192">
        <v>8</v>
      </c>
      <c r="H192">
        <v>3</v>
      </c>
      <c r="I192">
        <v>0</v>
      </c>
      <c r="J192">
        <v>4</v>
      </c>
      <c r="K192">
        <v>1</v>
      </c>
      <c r="L192">
        <v>9</v>
      </c>
      <c r="M192">
        <v>8</v>
      </c>
      <c r="N192">
        <v>26</v>
      </c>
      <c r="O192">
        <v>1</v>
      </c>
      <c r="P192">
        <v>7</v>
      </c>
      <c r="Q192">
        <v>0</v>
      </c>
      <c r="R192">
        <v>0</v>
      </c>
      <c r="S192">
        <v>0</v>
      </c>
      <c r="T192">
        <v>0</v>
      </c>
      <c r="U192">
        <v>522</v>
      </c>
      <c r="V192">
        <v>0</v>
      </c>
      <c r="W192" s="1">
        <v>1828</v>
      </c>
      <c r="X192" s="1">
        <v>0</v>
      </c>
      <c r="Y192">
        <v>97</v>
      </c>
      <c r="Z192">
        <v>96</v>
      </c>
      <c r="AA192">
        <v>145</v>
      </c>
      <c r="AB192">
        <v>265</v>
      </c>
      <c r="AC192">
        <v>173</v>
      </c>
      <c r="AD192">
        <v>134</v>
      </c>
      <c r="AE192">
        <v>0</v>
      </c>
      <c r="AF192">
        <v>62</v>
      </c>
      <c r="AG192">
        <v>212</v>
      </c>
    </row>
    <row r="193" spans="1:33" x14ac:dyDescent="0.3">
      <c r="A193" t="s">
        <v>80</v>
      </c>
      <c r="B193" t="s">
        <v>97</v>
      </c>
      <c r="C193" t="s">
        <v>36</v>
      </c>
      <c r="D193" s="1">
        <v>1664</v>
      </c>
      <c r="E193">
        <v>0</v>
      </c>
      <c r="F193">
        <v>36</v>
      </c>
      <c r="G193">
        <v>2</v>
      </c>
      <c r="H193">
        <v>9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11</v>
      </c>
      <c r="O193">
        <v>0</v>
      </c>
      <c r="P193">
        <v>9</v>
      </c>
      <c r="Q193">
        <v>1</v>
      </c>
      <c r="R193">
        <v>0</v>
      </c>
      <c r="S193">
        <v>0</v>
      </c>
      <c r="T193">
        <v>1</v>
      </c>
      <c r="U193">
        <v>22</v>
      </c>
      <c r="V193">
        <v>0</v>
      </c>
      <c r="W193">
        <v>62</v>
      </c>
      <c r="X193" s="1">
        <v>0</v>
      </c>
      <c r="Y193">
        <v>165</v>
      </c>
      <c r="Z193">
        <v>113</v>
      </c>
      <c r="AA193">
        <v>294</v>
      </c>
      <c r="AB193">
        <v>224</v>
      </c>
      <c r="AC193">
        <v>490</v>
      </c>
      <c r="AD193">
        <v>25</v>
      </c>
      <c r="AE193">
        <v>1</v>
      </c>
      <c r="AF193">
        <v>54</v>
      </c>
      <c r="AG193">
        <v>143</v>
      </c>
    </row>
    <row r="194" spans="1:33" x14ac:dyDescent="0.3">
      <c r="A194" t="s">
        <v>80</v>
      </c>
      <c r="B194" t="s">
        <v>98</v>
      </c>
      <c r="C194" t="s">
        <v>32</v>
      </c>
      <c r="D194" s="1">
        <v>5332</v>
      </c>
      <c r="E194">
        <v>0</v>
      </c>
      <c r="F194">
        <v>20</v>
      </c>
      <c r="G194">
        <v>0</v>
      </c>
      <c r="H194">
        <v>8</v>
      </c>
      <c r="I194">
        <v>0</v>
      </c>
      <c r="J194">
        <v>3</v>
      </c>
      <c r="K194">
        <v>0</v>
      </c>
      <c r="L194">
        <v>1</v>
      </c>
      <c r="M194">
        <v>0</v>
      </c>
      <c r="N194">
        <v>12</v>
      </c>
      <c r="O194">
        <v>0</v>
      </c>
      <c r="P194">
        <v>13</v>
      </c>
      <c r="Q194">
        <v>2</v>
      </c>
      <c r="R194">
        <v>0</v>
      </c>
      <c r="S194">
        <v>0</v>
      </c>
      <c r="T194">
        <v>0</v>
      </c>
      <c r="U194">
        <v>306</v>
      </c>
      <c r="V194">
        <v>395</v>
      </c>
      <c r="W194" s="1">
        <v>2032</v>
      </c>
      <c r="X194" s="1">
        <v>1685</v>
      </c>
      <c r="Y194">
        <v>144</v>
      </c>
      <c r="Z194">
        <v>28</v>
      </c>
      <c r="AA194">
        <v>44</v>
      </c>
      <c r="AB194">
        <v>142</v>
      </c>
      <c r="AC194">
        <v>346</v>
      </c>
      <c r="AD194">
        <v>84</v>
      </c>
      <c r="AE194">
        <v>0</v>
      </c>
      <c r="AF194">
        <v>46</v>
      </c>
      <c r="AG194">
        <v>21</v>
      </c>
    </row>
    <row r="195" spans="1:33" x14ac:dyDescent="0.3">
      <c r="A195" t="s">
        <v>80</v>
      </c>
      <c r="B195" t="s">
        <v>98</v>
      </c>
      <c r="C195" t="s">
        <v>35</v>
      </c>
      <c r="D195" s="1">
        <v>4505</v>
      </c>
      <c r="E195">
        <v>0</v>
      </c>
      <c r="F195">
        <v>8</v>
      </c>
      <c r="G195">
        <v>0</v>
      </c>
      <c r="H195">
        <v>8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9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298</v>
      </c>
      <c r="V195">
        <v>210</v>
      </c>
      <c r="W195" s="1">
        <v>1968</v>
      </c>
      <c r="X195" s="1">
        <v>1685</v>
      </c>
      <c r="Y195">
        <v>58</v>
      </c>
      <c r="Z195">
        <v>4</v>
      </c>
      <c r="AA195">
        <v>12</v>
      </c>
      <c r="AB195">
        <v>59</v>
      </c>
      <c r="AC195">
        <v>67</v>
      </c>
      <c r="AD195">
        <v>73</v>
      </c>
      <c r="AE195">
        <v>0</v>
      </c>
      <c r="AF195">
        <v>23</v>
      </c>
      <c r="AG195">
        <v>18</v>
      </c>
    </row>
    <row r="196" spans="1:33" x14ac:dyDescent="0.3">
      <c r="A196" t="s">
        <v>80</v>
      </c>
      <c r="B196" t="s">
        <v>98</v>
      </c>
      <c r="C196" t="s">
        <v>36</v>
      </c>
      <c r="D196">
        <v>827</v>
      </c>
      <c r="E196">
        <v>0</v>
      </c>
      <c r="F196">
        <v>12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3</v>
      </c>
      <c r="O196">
        <v>0</v>
      </c>
      <c r="P196">
        <v>12</v>
      </c>
      <c r="Q196">
        <v>1</v>
      </c>
      <c r="R196">
        <v>0</v>
      </c>
      <c r="S196">
        <v>0</v>
      </c>
      <c r="T196">
        <v>0</v>
      </c>
      <c r="U196">
        <v>8</v>
      </c>
      <c r="V196">
        <v>185</v>
      </c>
      <c r="W196">
        <v>64</v>
      </c>
      <c r="X196" s="1">
        <v>0</v>
      </c>
      <c r="Y196">
        <v>86</v>
      </c>
      <c r="Z196">
        <v>24</v>
      </c>
      <c r="AA196">
        <v>32</v>
      </c>
      <c r="AB196">
        <v>83</v>
      </c>
      <c r="AC196">
        <v>279</v>
      </c>
      <c r="AD196">
        <v>11</v>
      </c>
      <c r="AE196">
        <v>0</v>
      </c>
      <c r="AF196">
        <v>23</v>
      </c>
      <c r="AG196">
        <v>3</v>
      </c>
    </row>
    <row r="197" spans="1:33" x14ac:dyDescent="0.3">
      <c r="A197" t="s">
        <v>80</v>
      </c>
      <c r="B197" t="s">
        <v>99</v>
      </c>
      <c r="C197" t="s">
        <v>32</v>
      </c>
      <c r="D197" s="1">
        <v>1132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10</v>
      </c>
      <c r="N197">
        <v>0</v>
      </c>
      <c r="O197">
        <v>0</v>
      </c>
      <c r="P197">
        <v>11</v>
      </c>
      <c r="Q197">
        <v>0</v>
      </c>
      <c r="R197">
        <v>0</v>
      </c>
      <c r="S197">
        <v>0</v>
      </c>
      <c r="T197">
        <v>0</v>
      </c>
      <c r="U197">
        <v>45</v>
      </c>
      <c r="V197">
        <v>542</v>
      </c>
      <c r="W197">
        <v>300</v>
      </c>
      <c r="X197" s="1">
        <v>0</v>
      </c>
      <c r="Y197">
        <v>66</v>
      </c>
      <c r="Z197">
        <v>5</v>
      </c>
      <c r="AA197">
        <v>14</v>
      </c>
      <c r="AB197">
        <v>25</v>
      </c>
      <c r="AC197">
        <v>96</v>
      </c>
      <c r="AD197">
        <v>7</v>
      </c>
      <c r="AE197">
        <v>0</v>
      </c>
      <c r="AF197">
        <v>7</v>
      </c>
      <c r="AG197">
        <v>3</v>
      </c>
    </row>
    <row r="198" spans="1:33" x14ac:dyDescent="0.3">
      <c r="A198" t="s">
        <v>80</v>
      </c>
      <c r="B198" t="s">
        <v>99</v>
      </c>
      <c r="C198" t="s">
        <v>35</v>
      </c>
      <c r="D198">
        <v>582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41</v>
      </c>
      <c r="V198">
        <v>283</v>
      </c>
      <c r="W198">
        <v>196</v>
      </c>
      <c r="X198" s="1">
        <v>0</v>
      </c>
      <c r="Y198">
        <v>25</v>
      </c>
      <c r="Z198">
        <v>0</v>
      </c>
      <c r="AA198">
        <v>3</v>
      </c>
      <c r="AB198">
        <v>5</v>
      </c>
      <c r="AC198">
        <v>1</v>
      </c>
      <c r="AD198">
        <v>7</v>
      </c>
      <c r="AE198">
        <v>0</v>
      </c>
      <c r="AF198">
        <v>7</v>
      </c>
      <c r="AG198">
        <v>3</v>
      </c>
    </row>
    <row r="199" spans="1:33" x14ac:dyDescent="0.3">
      <c r="A199" t="s">
        <v>80</v>
      </c>
      <c r="B199" t="s">
        <v>99</v>
      </c>
      <c r="C199" t="s">
        <v>36</v>
      </c>
      <c r="D199">
        <v>550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10</v>
      </c>
      <c r="Q199">
        <v>0</v>
      </c>
      <c r="R199">
        <v>0</v>
      </c>
      <c r="S199">
        <v>0</v>
      </c>
      <c r="T199">
        <v>0</v>
      </c>
      <c r="U199">
        <v>4</v>
      </c>
      <c r="V199">
        <v>259</v>
      </c>
      <c r="W199">
        <v>104</v>
      </c>
      <c r="X199" s="1">
        <v>0</v>
      </c>
      <c r="Y199">
        <v>41</v>
      </c>
      <c r="Z199">
        <v>5</v>
      </c>
      <c r="AA199">
        <v>11</v>
      </c>
      <c r="AB199">
        <v>20</v>
      </c>
      <c r="AC199">
        <v>95</v>
      </c>
      <c r="AD199">
        <v>0</v>
      </c>
      <c r="AE199">
        <v>0</v>
      </c>
      <c r="AF199">
        <v>0</v>
      </c>
      <c r="AG199">
        <v>0</v>
      </c>
    </row>
    <row r="200" spans="1:33" x14ac:dyDescent="0.3">
      <c r="A200" t="s">
        <v>80</v>
      </c>
      <c r="B200" t="s">
        <v>100</v>
      </c>
      <c r="C200" t="s">
        <v>32</v>
      </c>
      <c r="D200" s="1">
        <v>5187</v>
      </c>
      <c r="E200">
        <v>0</v>
      </c>
      <c r="F200">
        <v>30</v>
      </c>
      <c r="G200">
        <v>6</v>
      </c>
      <c r="H200">
        <v>3</v>
      </c>
      <c r="I200">
        <v>0</v>
      </c>
      <c r="J200">
        <v>3</v>
      </c>
      <c r="K200">
        <v>0</v>
      </c>
      <c r="L200">
        <v>13</v>
      </c>
      <c r="M200">
        <v>0</v>
      </c>
      <c r="N200">
        <v>15</v>
      </c>
      <c r="O200">
        <v>0</v>
      </c>
      <c r="P200">
        <v>10</v>
      </c>
      <c r="Q200">
        <v>0</v>
      </c>
      <c r="R200">
        <v>0</v>
      </c>
      <c r="S200">
        <v>0</v>
      </c>
      <c r="T200">
        <v>4</v>
      </c>
      <c r="U200">
        <v>631</v>
      </c>
      <c r="V200">
        <v>208</v>
      </c>
      <c r="W200" s="1">
        <v>3048</v>
      </c>
      <c r="X200" s="1">
        <v>0</v>
      </c>
      <c r="Y200">
        <v>111</v>
      </c>
      <c r="Z200">
        <v>113</v>
      </c>
      <c r="AA200">
        <v>283</v>
      </c>
      <c r="AB200">
        <v>153</v>
      </c>
      <c r="AC200">
        <v>266</v>
      </c>
      <c r="AD200">
        <v>208</v>
      </c>
      <c r="AE200">
        <v>0</v>
      </c>
      <c r="AF200">
        <v>24</v>
      </c>
      <c r="AG200">
        <v>58</v>
      </c>
    </row>
    <row r="201" spans="1:33" x14ac:dyDescent="0.3">
      <c r="A201" t="s">
        <v>80</v>
      </c>
      <c r="B201" t="s">
        <v>100</v>
      </c>
      <c r="C201" t="s">
        <v>35</v>
      </c>
      <c r="D201" s="1">
        <v>4347</v>
      </c>
      <c r="E201">
        <v>0</v>
      </c>
      <c r="F201">
        <v>14</v>
      </c>
      <c r="G201">
        <v>5</v>
      </c>
      <c r="H201">
        <v>1</v>
      </c>
      <c r="I201">
        <v>0</v>
      </c>
      <c r="J201">
        <v>0</v>
      </c>
      <c r="K201">
        <v>0</v>
      </c>
      <c r="L201">
        <v>10</v>
      </c>
      <c r="M201">
        <v>0</v>
      </c>
      <c r="N201">
        <v>4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4</v>
      </c>
      <c r="U201">
        <v>623</v>
      </c>
      <c r="V201">
        <v>129</v>
      </c>
      <c r="W201" s="1">
        <v>2973</v>
      </c>
      <c r="X201" s="1">
        <v>0</v>
      </c>
      <c r="Y201">
        <v>42</v>
      </c>
      <c r="Z201">
        <v>81</v>
      </c>
      <c r="AA201">
        <v>71</v>
      </c>
      <c r="AB201">
        <v>72</v>
      </c>
      <c r="AC201">
        <v>73</v>
      </c>
      <c r="AD201">
        <v>177</v>
      </c>
      <c r="AE201">
        <v>0</v>
      </c>
      <c r="AF201">
        <v>14</v>
      </c>
      <c r="AG201">
        <v>53</v>
      </c>
    </row>
    <row r="202" spans="1:33" x14ac:dyDescent="0.3">
      <c r="A202" t="s">
        <v>80</v>
      </c>
      <c r="B202" t="s">
        <v>100</v>
      </c>
      <c r="C202" t="s">
        <v>36</v>
      </c>
      <c r="D202">
        <v>840</v>
      </c>
      <c r="E202">
        <v>0</v>
      </c>
      <c r="F202">
        <v>16</v>
      </c>
      <c r="G202">
        <v>1</v>
      </c>
      <c r="H202">
        <v>2</v>
      </c>
      <c r="I202">
        <v>0</v>
      </c>
      <c r="J202">
        <v>3</v>
      </c>
      <c r="K202">
        <v>0</v>
      </c>
      <c r="L202">
        <v>3</v>
      </c>
      <c r="M202">
        <v>0</v>
      </c>
      <c r="N202">
        <v>11</v>
      </c>
      <c r="O202">
        <v>0</v>
      </c>
      <c r="P202">
        <v>9</v>
      </c>
      <c r="Q202">
        <v>0</v>
      </c>
      <c r="R202">
        <v>0</v>
      </c>
      <c r="S202">
        <v>0</v>
      </c>
      <c r="T202">
        <v>0</v>
      </c>
      <c r="U202">
        <v>8</v>
      </c>
      <c r="V202">
        <v>79</v>
      </c>
      <c r="W202">
        <v>75</v>
      </c>
      <c r="X202" s="1">
        <v>0</v>
      </c>
      <c r="Y202">
        <v>69</v>
      </c>
      <c r="Z202">
        <v>32</v>
      </c>
      <c r="AA202">
        <v>212</v>
      </c>
      <c r="AB202">
        <v>81</v>
      </c>
      <c r="AC202">
        <v>193</v>
      </c>
      <c r="AD202">
        <v>31</v>
      </c>
      <c r="AE202">
        <v>0</v>
      </c>
      <c r="AF202">
        <v>10</v>
      </c>
      <c r="AG202">
        <v>5</v>
      </c>
    </row>
    <row r="203" spans="1:33" x14ac:dyDescent="0.3">
      <c r="A203" t="s">
        <v>80</v>
      </c>
      <c r="B203" t="s">
        <v>101</v>
      </c>
      <c r="C203" t="s">
        <v>32</v>
      </c>
      <c r="D203">
        <v>563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10</v>
      </c>
      <c r="Q203">
        <v>1</v>
      </c>
      <c r="R203">
        <v>0</v>
      </c>
      <c r="S203">
        <v>0</v>
      </c>
      <c r="T203">
        <v>0</v>
      </c>
      <c r="U203">
        <v>28</v>
      </c>
      <c r="V203">
        <v>97</v>
      </c>
      <c r="W203">
        <v>205</v>
      </c>
      <c r="X203" s="1">
        <v>0</v>
      </c>
      <c r="Y203">
        <v>43</v>
      </c>
      <c r="Z203">
        <v>2</v>
      </c>
      <c r="AA203">
        <v>19</v>
      </c>
      <c r="AB203">
        <v>34</v>
      </c>
      <c r="AC203">
        <v>97</v>
      </c>
      <c r="AD203">
        <v>19</v>
      </c>
      <c r="AE203">
        <v>0</v>
      </c>
      <c r="AF203">
        <v>5</v>
      </c>
      <c r="AG203">
        <v>1</v>
      </c>
    </row>
    <row r="204" spans="1:33" x14ac:dyDescent="0.3">
      <c r="A204" t="s">
        <v>80</v>
      </c>
      <c r="B204" t="s">
        <v>101</v>
      </c>
      <c r="C204" t="s">
        <v>35</v>
      </c>
      <c r="D204">
        <v>315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1</v>
      </c>
      <c r="R204">
        <v>0</v>
      </c>
      <c r="S204">
        <v>0</v>
      </c>
      <c r="T204">
        <v>0</v>
      </c>
      <c r="U204">
        <v>25</v>
      </c>
      <c r="V204">
        <v>32</v>
      </c>
      <c r="W204">
        <v>201</v>
      </c>
      <c r="X204" s="1">
        <v>0</v>
      </c>
      <c r="Y204">
        <v>16</v>
      </c>
      <c r="Z204">
        <v>0</v>
      </c>
      <c r="AA204">
        <v>3</v>
      </c>
      <c r="AB204">
        <v>7</v>
      </c>
      <c r="AC204">
        <v>8</v>
      </c>
      <c r="AD204">
        <v>15</v>
      </c>
      <c r="AE204">
        <v>0</v>
      </c>
      <c r="AF204">
        <v>3</v>
      </c>
      <c r="AG204">
        <v>1</v>
      </c>
    </row>
    <row r="205" spans="1:33" x14ac:dyDescent="0.3">
      <c r="A205" t="s">
        <v>80</v>
      </c>
      <c r="B205" t="s">
        <v>101</v>
      </c>
      <c r="C205" t="s">
        <v>36</v>
      </c>
      <c r="D205">
        <v>248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65</v>
      </c>
      <c r="W205">
        <v>4</v>
      </c>
      <c r="X205" s="1">
        <v>0</v>
      </c>
      <c r="Y205">
        <v>27</v>
      </c>
      <c r="Z205">
        <v>2</v>
      </c>
      <c r="AA205">
        <v>16</v>
      </c>
      <c r="AB205">
        <v>27</v>
      </c>
      <c r="AC205">
        <v>89</v>
      </c>
      <c r="AD205">
        <v>4</v>
      </c>
      <c r="AE205">
        <v>0</v>
      </c>
      <c r="AF205">
        <v>2</v>
      </c>
      <c r="AG205">
        <v>0</v>
      </c>
    </row>
    <row r="206" spans="1:33" x14ac:dyDescent="0.3">
      <c r="A206" t="s">
        <v>80</v>
      </c>
      <c r="B206" t="s">
        <v>102</v>
      </c>
      <c r="C206" t="s">
        <v>32</v>
      </c>
      <c r="D206" s="1">
        <v>1095</v>
      </c>
      <c r="E206">
        <v>0</v>
      </c>
      <c r="F206">
        <v>2</v>
      </c>
      <c r="G206">
        <v>0</v>
      </c>
      <c r="H206">
        <v>1</v>
      </c>
      <c r="I206">
        <v>0</v>
      </c>
      <c r="J206">
        <v>5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9</v>
      </c>
      <c r="Q206">
        <v>0</v>
      </c>
      <c r="R206">
        <v>0</v>
      </c>
      <c r="S206">
        <v>0</v>
      </c>
      <c r="T206">
        <v>1</v>
      </c>
      <c r="U206">
        <v>60</v>
      </c>
      <c r="V206">
        <v>229</v>
      </c>
      <c r="W206">
        <v>495</v>
      </c>
      <c r="X206" s="1">
        <v>0</v>
      </c>
      <c r="Y206">
        <v>45</v>
      </c>
      <c r="Z206">
        <v>10</v>
      </c>
      <c r="AA206">
        <v>39</v>
      </c>
      <c r="AB206">
        <v>42</v>
      </c>
      <c r="AC206">
        <v>132</v>
      </c>
      <c r="AD206">
        <v>17</v>
      </c>
      <c r="AE206">
        <v>0</v>
      </c>
      <c r="AF206">
        <v>5</v>
      </c>
      <c r="AG206">
        <v>2</v>
      </c>
    </row>
    <row r="207" spans="1:33" x14ac:dyDescent="0.3">
      <c r="A207" t="s">
        <v>80</v>
      </c>
      <c r="B207" t="s">
        <v>102</v>
      </c>
      <c r="C207" t="s">
        <v>35</v>
      </c>
      <c r="D207">
        <v>648</v>
      </c>
      <c r="E207">
        <v>0</v>
      </c>
      <c r="F207">
        <v>1</v>
      </c>
      <c r="G207">
        <v>0</v>
      </c>
      <c r="H207">
        <v>1</v>
      </c>
      <c r="I207">
        <v>0</v>
      </c>
      <c r="J207">
        <v>3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53</v>
      </c>
      <c r="V207">
        <v>110</v>
      </c>
      <c r="W207">
        <v>407</v>
      </c>
      <c r="X207" s="1">
        <v>0</v>
      </c>
      <c r="Y207">
        <v>14</v>
      </c>
      <c r="Z207">
        <v>4</v>
      </c>
      <c r="AA207">
        <v>12</v>
      </c>
      <c r="AB207">
        <v>11</v>
      </c>
      <c r="AC207">
        <v>7</v>
      </c>
      <c r="AD207">
        <v>16</v>
      </c>
      <c r="AE207">
        <v>0</v>
      </c>
      <c r="AF207">
        <v>5</v>
      </c>
      <c r="AG207">
        <v>2</v>
      </c>
    </row>
    <row r="208" spans="1:33" x14ac:dyDescent="0.3">
      <c r="A208" t="s">
        <v>80</v>
      </c>
      <c r="B208" t="s">
        <v>102</v>
      </c>
      <c r="C208" t="s">
        <v>36</v>
      </c>
      <c r="D208">
        <v>447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</v>
      </c>
      <c r="Q208">
        <v>0</v>
      </c>
      <c r="R208">
        <v>0</v>
      </c>
      <c r="S208">
        <v>0</v>
      </c>
      <c r="T208">
        <v>0</v>
      </c>
      <c r="U208">
        <v>7</v>
      </c>
      <c r="V208">
        <v>119</v>
      </c>
      <c r="W208">
        <v>88</v>
      </c>
      <c r="X208" s="1">
        <v>0</v>
      </c>
      <c r="Y208">
        <v>31</v>
      </c>
      <c r="Z208">
        <v>6</v>
      </c>
      <c r="AA208">
        <v>27</v>
      </c>
      <c r="AB208">
        <v>31</v>
      </c>
      <c r="AC208">
        <v>125</v>
      </c>
      <c r="AD208">
        <v>1</v>
      </c>
      <c r="AE208">
        <v>0</v>
      </c>
      <c r="AF208">
        <v>0</v>
      </c>
      <c r="AG208">
        <v>0</v>
      </c>
    </row>
    <row r="209" spans="1:33" x14ac:dyDescent="0.3">
      <c r="A209" t="s">
        <v>103</v>
      </c>
      <c r="B209" t="s">
        <v>32</v>
      </c>
      <c r="C209" t="s">
        <v>32</v>
      </c>
      <c r="D209" s="1">
        <v>88013</v>
      </c>
      <c r="E209">
        <v>2</v>
      </c>
      <c r="F209" s="1">
        <v>16324</v>
      </c>
      <c r="G209">
        <v>70</v>
      </c>
      <c r="H209" s="1">
        <v>6318</v>
      </c>
      <c r="I209">
        <v>0</v>
      </c>
      <c r="J209">
        <v>79</v>
      </c>
      <c r="K209">
        <v>6</v>
      </c>
      <c r="L209">
        <v>223</v>
      </c>
      <c r="M209">
        <v>124</v>
      </c>
      <c r="N209" s="1">
        <v>1378</v>
      </c>
      <c r="O209">
        <v>212</v>
      </c>
      <c r="P209">
        <v>405</v>
      </c>
      <c r="Q209">
        <v>185</v>
      </c>
      <c r="R209">
        <v>3</v>
      </c>
      <c r="S209">
        <v>0</v>
      </c>
      <c r="T209">
        <v>112</v>
      </c>
      <c r="U209" s="1">
        <v>4010</v>
      </c>
      <c r="V209" s="1">
        <v>4153</v>
      </c>
      <c r="W209" s="1">
        <v>23333</v>
      </c>
      <c r="X209" s="1">
        <v>3027</v>
      </c>
      <c r="Y209" s="1">
        <v>3963</v>
      </c>
      <c r="Z209" s="1">
        <v>2035</v>
      </c>
      <c r="AA209" s="1">
        <v>3984</v>
      </c>
      <c r="AB209" s="1">
        <v>3575</v>
      </c>
      <c r="AC209" s="1">
        <v>7599</v>
      </c>
      <c r="AD209" s="1">
        <v>4142</v>
      </c>
      <c r="AE209">
        <v>47</v>
      </c>
      <c r="AF209" s="1">
        <v>1524</v>
      </c>
      <c r="AG209" s="1">
        <v>1180</v>
      </c>
    </row>
    <row r="210" spans="1:33" x14ac:dyDescent="0.3">
      <c r="A210" t="s">
        <v>103</v>
      </c>
      <c r="B210" t="s">
        <v>32</v>
      </c>
      <c r="C210" t="s">
        <v>35</v>
      </c>
      <c r="D210" s="1">
        <f>D213+D216+D219+D222+D225+D228+D231+D234+D237+D240+D243+D246+D249+D252+D255+D258+D261+D264+D267+D270+D273+D276+D279</f>
        <v>57005</v>
      </c>
      <c r="E210" s="1">
        <f t="shared" ref="E210:AG210" si="6">E213+E216+E219+E222+E225+E228+E231+E234+E237+E240+E243+E246+E249+E252+E255+E258+E261+E264+E267+E270+E273+E276+E279</f>
        <v>0</v>
      </c>
      <c r="F210" s="1">
        <f t="shared" si="6"/>
        <v>9442</v>
      </c>
      <c r="G210" s="1">
        <f t="shared" si="6"/>
        <v>37</v>
      </c>
      <c r="H210" s="1">
        <f t="shared" si="6"/>
        <v>3874</v>
      </c>
      <c r="I210" s="1">
        <f t="shared" si="6"/>
        <v>0</v>
      </c>
      <c r="J210" s="1">
        <f t="shared" si="6"/>
        <v>47</v>
      </c>
      <c r="K210" s="1">
        <f t="shared" si="6"/>
        <v>6</v>
      </c>
      <c r="L210" s="1">
        <f t="shared" si="6"/>
        <v>194</v>
      </c>
      <c r="M210" s="1">
        <f t="shared" si="6"/>
        <v>104</v>
      </c>
      <c r="N210" s="1">
        <f t="shared" si="6"/>
        <v>698</v>
      </c>
      <c r="O210" s="1">
        <f t="shared" si="6"/>
        <v>161</v>
      </c>
      <c r="P210" s="1">
        <f t="shared" si="6"/>
        <v>145</v>
      </c>
      <c r="Q210" s="1">
        <f t="shared" si="6"/>
        <v>147</v>
      </c>
      <c r="R210" s="1">
        <f t="shared" si="6"/>
        <v>3</v>
      </c>
      <c r="S210" s="1">
        <f t="shared" si="6"/>
        <v>0</v>
      </c>
      <c r="T210" s="1">
        <f t="shared" si="6"/>
        <v>21</v>
      </c>
      <c r="U210" s="1">
        <f t="shared" si="6"/>
        <v>3843</v>
      </c>
      <c r="V210" s="1">
        <f t="shared" si="6"/>
        <v>2475</v>
      </c>
      <c r="W210" s="1">
        <f t="shared" si="6"/>
        <v>21208</v>
      </c>
      <c r="X210" s="1">
        <f t="shared" si="6"/>
        <v>3027</v>
      </c>
      <c r="Y210" s="1">
        <f t="shared" si="6"/>
        <v>1567</v>
      </c>
      <c r="Z210" s="1">
        <f t="shared" si="6"/>
        <v>1034</v>
      </c>
      <c r="AA210" s="1">
        <f t="shared" si="6"/>
        <v>1270</v>
      </c>
      <c r="AB210" s="1">
        <f t="shared" si="6"/>
        <v>1706</v>
      </c>
      <c r="AC210" s="1">
        <f t="shared" si="6"/>
        <v>1168</v>
      </c>
      <c r="AD210" s="1">
        <f t="shared" si="6"/>
        <v>3128</v>
      </c>
      <c r="AE210" s="1">
        <f t="shared" si="6"/>
        <v>15</v>
      </c>
      <c r="AF210" s="1">
        <f t="shared" si="6"/>
        <v>847</v>
      </c>
      <c r="AG210" s="1">
        <f t="shared" si="6"/>
        <v>838</v>
      </c>
    </row>
    <row r="211" spans="1:33" x14ac:dyDescent="0.3">
      <c r="A211" t="s">
        <v>103</v>
      </c>
      <c r="B211" t="s">
        <v>32</v>
      </c>
      <c r="C211" t="s">
        <v>36</v>
      </c>
      <c r="D211" s="1">
        <f>D214+D217+D220+D223+D226+D229+D232+D235+D238+D241+D244+D247+D250+D253+D256+D259+D262+D265+D268+D271+D274+D277+D280</f>
        <v>31008</v>
      </c>
      <c r="E211" s="1">
        <f t="shared" ref="E211:AG211" si="7">E214+E217+E220+E223+E226+E229+E232+E235+E238+E241+E244+E247+E250+E253+E256+E259+E262+E265+E268+E271+E274+E277+E280</f>
        <v>2</v>
      </c>
      <c r="F211" s="1">
        <f t="shared" si="7"/>
        <v>6882</v>
      </c>
      <c r="G211" s="1">
        <f t="shared" si="7"/>
        <v>33</v>
      </c>
      <c r="H211" s="1">
        <f t="shared" si="7"/>
        <v>2444</v>
      </c>
      <c r="I211" s="1">
        <f t="shared" si="7"/>
        <v>0</v>
      </c>
      <c r="J211" s="1">
        <f t="shared" si="7"/>
        <v>32</v>
      </c>
      <c r="K211" s="1">
        <f t="shared" si="7"/>
        <v>0</v>
      </c>
      <c r="L211" s="1">
        <f t="shared" si="7"/>
        <v>29</v>
      </c>
      <c r="M211" s="1">
        <f t="shared" si="7"/>
        <v>20</v>
      </c>
      <c r="N211" s="1">
        <f t="shared" si="7"/>
        <v>680</v>
      </c>
      <c r="O211" s="1">
        <f t="shared" si="7"/>
        <v>51</v>
      </c>
      <c r="P211" s="1">
        <f t="shared" si="7"/>
        <v>260</v>
      </c>
      <c r="Q211" s="1">
        <f t="shared" si="7"/>
        <v>38</v>
      </c>
      <c r="R211" s="1">
        <f t="shared" si="7"/>
        <v>0</v>
      </c>
      <c r="S211" s="1">
        <f t="shared" si="7"/>
        <v>0</v>
      </c>
      <c r="T211" s="1">
        <f t="shared" si="7"/>
        <v>91</v>
      </c>
      <c r="U211" s="1">
        <f t="shared" si="7"/>
        <v>167</v>
      </c>
      <c r="V211" s="1">
        <f t="shared" si="7"/>
        <v>1678</v>
      </c>
      <c r="W211" s="1">
        <f t="shared" si="7"/>
        <v>2125</v>
      </c>
      <c r="X211" s="1">
        <f t="shared" si="7"/>
        <v>0</v>
      </c>
      <c r="Y211" s="1">
        <f t="shared" si="7"/>
        <v>2396</v>
      </c>
      <c r="Z211" s="1">
        <f t="shared" si="7"/>
        <v>1001</v>
      </c>
      <c r="AA211" s="1">
        <f t="shared" si="7"/>
        <v>2714</v>
      </c>
      <c r="AB211" s="1">
        <f t="shared" si="7"/>
        <v>1869</v>
      </c>
      <c r="AC211" s="1">
        <f t="shared" si="7"/>
        <v>6431</v>
      </c>
      <c r="AD211" s="1">
        <f t="shared" si="7"/>
        <v>1014</v>
      </c>
      <c r="AE211" s="1">
        <f t="shared" si="7"/>
        <v>32</v>
      </c>
      <c r="AF211" s="1">
        <f t="shared" si="7"/>
        <v>677</v>
      </c>
      <c r="AG211" s="1">
        <f t="shared" si="7"/>
        <v>342</v>
      </c>
    </row>
    <row r="212" spans="1:33" x14ac:dyDescent="0.3">
      <c r="A212" t="s">
        <v>103</v>
      </c>
      <c r="B212" t="s">
        <v>104</v>
      </c>
      <c r="C212" t="s">
        <v>32</v>
      </c>
      <c r="D212" s="1">
        <v>22346</v>
      </c>
      <c r="E212">
        <v>0</v>
      </c>
      <c r="F212" s="1">
        <v>11325</v>
      </c>
      <c r="G212">
        <v>5</v>
      </c>
      <c r="H212" s="1">
        <v>3284</v>
      </c>
      <c r="I212">
        <v>0</v>
      </c>
      <c r="J212">
        <v>14</v>
      </c>
      <c r="K212">
        <v>1</v>
      </c>
      <c r="L212">
        <v>46</v>
      </c>
      <c r="M212">
        <v>39</v>
      </c>
      <c r="N212">
        <v>814</v>
      </c>
      <c r="O212">
        <v>169</v>
      </c>
      <c r="P212">
        <v>37</v>
      </c>
      <c r="Q212">
        <v>38</v>
      </c>
      <c r="R212">
        <v>0</v>
      </c>
      <c r="S212">
        <v>0</v>
      </c>
      <c r="T212">
        <v>5</v>
      </c>
      <c r="U212">
        <v>548</v>
      </c>
      <c r="V212">
        <v>19</v>
      </c>
      <c r="W212" s="1">
        <v>2484</v>
      </c>
      <c r="X212">
        <v>1</v>
      </c>
      <c r="Y212">
        <v>416</v>
      </c>
      <c r="Z212">
        <v>299</v>
      </c>
      <c r="AA212">
        <v>865</v>
      </c>
      <c r="AB212">
        <v>445</v>
      </c>
      <c r="AC212">
        <v>806</v>
      </c>
      <c r="AD212">
        <v>481</v>
      </c>
      <c r="AE212">
        <v>4</v>
      </c>
      <c r="AF212">
        <v>69</v>
      </c>
      <c r="AG212">
        <v>132</v>
      </c>
    </row>
    <row r="213" spans="1:33" x14ac:dyDescent="0.3">
      <c r="A213" t="s">
        <v>103</v>
      </c>
      <c r="B213" t="s">
        <v>104</v>
      </c>
      <c r="C213" t="s">
        <v>35</v>
      </c>
      <c r="D213" s="1">
        <v>13768</v>
      </c>
      <c r="E213">
        <v>0</v>
      </c>
      <c r="F213" s="1">
        <v>6759</v>
      </c>
      <c r="G213">
        <v>3</v>
      </c>
      <c r="H213" s="1">
        <v>1929</v>
      </c>
      <c r="I213">
        <v>0</v>
      </c>
      <c r="J213">
        <v>7</v>
      </c>
      <c r="K213">
        <v>1</v>
      </c>
      <c r="L213">
        <v>36</v>
      </c>
      <c r="M213">
        <v>28</v>
      </c>
      <c r="N213">
        <v>431</v>
      </c>
      <c r="O213">
        <v>130</v>
      </c>
      <c r="P213">
        <v>22</v>
      </c>
      <c r="Q213">
        <v>28</v>
      </c>
      <c r="R213">
        <v>0</v>
      </c>
      <c r="S213">
        <v>0</v>
      </c>
      <c r="T213">
        <v>4</v>
      </c>
      <c r="U213">
        <v>522</v>
      </c>
      <c r="V213">
        <v>12</v>
      </c>
      <c r="W213" s="1">
        <v>2306</v>
      </c>
      <c r="X213">
        <v>1</v>
      </c>
      <c r="Y213">
        <v>150</v>
      </c>
      <c r="Z213">
        <v>133</v>
      </c>
      <c r="AA213">
        <v>278</v>
      </c>
      <c r="AB213">
        <v>245</v>
      </c>
      <c r="AC213">
        <v>187</v>
      </c>
      <c r="AD213">
        <v>407</v>
      </c>
      <c r="AE213">
        <v>2</v>
      </c>
      <c r="AF213">
        <v>34</v>
      </c>
      <c r="AG213">
        <v>113</v>
      </c>
    </row>
    <row r="214" spans="1:33" x14ac:dyDescent="0.3">
      <c r="A214" t="s">
        <v>103</v>
      </c>
      <c r="B214" t="s">
        <v>104</v>
      </c>
      <c r="C214" t="s">
        <v>36</v>
      </c>
      <c r="D214" s="1">
        <v>8578</v>
      </c>
      <c r="E214">
        <v>0</v>
      </c>
      <c r="F214" s="1">
        <v>4566</v>
      </c>
      <c r="G214">
        <v>2</v>
      </c>
      <c r="H214" s="1">
        <v>1355</v>
      </c>
      <c r="I214">
        <v>0</v>
      </c>
      <c r="J214">
        <v>7</v>
      </c>
      <c r="K214">
        <v>0</v>
      </c>
      <c r="L214">
        <v>10</v>
      </c>
      <c r="M214">
        <v>11</v>
      </c>
      <c r="N214">
        <v>383</v>
      </c>
      <c r="O214">
        <v>39</v>
      </c>
      <c r="P214">
        <v>15</v>
      </c>
      <c r="Q214">
        <v>10</v>
      </c>
      <c r="R214">
        <v>0</v>
      </c>
      <c r="S214">
        <v>0</v>
      </c>
      <c r="T214">
        <v>1</v>
      </c>
      <c r="U214">
        <v>26</v>
      </c>
      <c r="V214">
        <v>7</v>
      </c>
      <c r="W214">
        <v>178</v>
      </c>
      <c r="X214" s="1">
        <v>0</v>
      </c>
      <c r="Y214">
        <v>266</v>
      </c>
      <c r="Z214">
        <v>166</v>
      </c>
      <c r="AA214">
        <v>587</v>
      </c>
      <c r="AB214">
        <v>200</v>
      </c>
      <c r="AC214">
        <v>619</v>
      </c>
      <c r="AD214">
        <v>74</v>
      </c>
      <c r="AE214">
        <v>2</v>
      </c>
      <c r="AF214">
        <v>35</v>
      </c>
      <c r="AG214">
        <v>19</v>
      </c>
    </row>
    <row r="215" spans="1:33" x14ac:dyDescent="0.3">
      <c r="A215" t="s">
        <v>103</v>
      </c>
      <c r="B215" t="s">
        <v>105</v>
      </c>
      <c r="C215" t="s">
        <v>32</v>
      </c>
      <c r="D215" s="1">
        <v>15621</v>
      </c>
      <c r="E215">
        <v>1</v>
      </c>
      <c r="F215" s="1">
        <v>1823</v>
      </c>
      <c r="G215">
        <v>10</v>
      </c>
      <c r="H215">
        <v>712</v>
      </c>
      <c r="I215">
        <v>0</v>
      </c>
      <c r="J215">
        <v>12</v>
      </c>
      <c r="K215">
        <v>0</v>
      </c>
      <c r="L215">
        <v>20</v>
      </c>
      <c r="M215">
        <v>4</v>
      </c>
      <c r="N215">
        <v>194</v>
      </c>
      <c r="O215">
        <v>4</v>
      </c>
      <c r="P215">
        <v>35</v>
      </c>
      <c r="Q215">
        <v>2</v>
      </c>
      <c r="R215">
        <v>1</v>
      </c>
      <c r="S215">
        <v>0</v>
      </c>
      <c r="T215">
        <v>22</v>
      </c>
      <c r="U215">
        <v>771</v>
      </c>
      <c r="V215">
        <v>350</v>
      </c>
      <c r="W215" s="1">
        <v>4293</v>
      </c>
      <c r="X215">
        <v>461</v>
      </c>
      <c r="Y215" s="1">
        <v>1065</v>
      </c>
      <c r="Z215">
        <v>308</v>
      </c>
      <c r="AA215">
        <v>934</v>
      </c>
      <c r="AB215">
        <v>786</v>
      </c>
      <c r="AC215">
        <v>979</v>
      </c>
      <c r="AD215" s="1">
        <v>1781</v>
      </c>
      <c r="AE215">
        <v>4</v>
      </c>
      <c r="AF215">
        <v>924</v>
      </c>
      <c r="AG215">
        <v>125</v>
      </c>
    </row>
    <row r="216" spans="1:33" x14ac:dyDescent="0.3">
      <c r="A216" t="s">
        <v>103</v>
      </c>
      <c r="B216" t="s">
        <v>105</v>
      </c>
      <c r="C216" t="s">
        <v>35</v>
      </c>
      <c r="D216" s="1">
        <v>10648</v>
      </c>
      <c r="E216">
        <v>0</v>
      </c>
      <c r="F216" s="1">
        <v>1008</v>
      </c>
      <c r="G216">
        <v>10</v>
      </c>
      <c r="H216">
        <v>466</v>
      </c>
      <c r="I216">
        <v>0</v>
      </c>
      <c r="J216">
        <v>5</v>
      </c>
      <c r="K216">
        <v>0</v>
      </c>
      <c r="L216">
        <v>14</v>
      </c>
      <c r="M216">
        <v>1</v>
      </c>
      <c r="N216">
        <v>83</v>
      </c>
      <c r="O216">
        <v>4</v>
      </c>
      <c r="P216">
        <v>15</v>
      </c>
      <c r="Q216">
        <v>0</v>
      </c>
      <c r="R216">
        <v>1</v>
      </c>
      <c r="S216">
        <v>0</v>
      </c>
      <c r="T216">
        <v>8</v>
      </c>
      <c r="U216">
        <v>753</v>
      </c>
      <c r="V216">
        <v>203</v>
      </c>
      <c r="W216" s="1">
        <v>3999</v>
      </c>
      <c r="X216">
        <v>461</v>
      </c>
      <c r="Y216">
        <v>477</v>
      </c>
      <c r="Z216">
        <v>117</v>
      </c>
      <c r="AA216">
        <v>358</v>
      </c>
      <c r="AB216">
        <v>432</v>
      </c>
      <c r="AC216">
        <v>217</v>
      </c>
      <c r="AD216" s="1">
        <v>1393</v>
      </c>
      <c r="AE216">
        <v>2</v>
      </c>
      <c r="AF216">
        <v>513</v>
      </c>
      <c r="AG216">
        <v>108</v>
      </c>
    </row>
    <row r="217" spans="1:33" x14ac:dyDescent="0.3">
      <c r="A217" t="s">
        <v>103</v>
      </c>
      <c r="B217" t="s">
        <v>105</v>
      </c>
      <c r="C217" t="s">
        <v>36</v>
      </c>
      <c r="D217" s="1">
        <v>4973</v>
      </c>
      <c r="E217">
        <v>1</v>
      </c>
      <c r="F217">
        <v>815</v>
      </c>
      <c r="G217">
        <v>0</v>
      </c>
      <c r="H217">
        <v>246</v>
      </c>
      <c r="I217">
        <v>0</v>
      </c>
      <c r="J217">
        <v>7</v>
      </c>
      <c r="K217">
        <v>0</v>
      </c>
      <c r="L217">
        <v>6</v>
      </c>
      <c r="M217">
        <v>3</v>
      </c>
      <c r="N217">
        <v>111</v>
      </c>
      <c r="O217">
        <v>0</v>
      </c>
      <c r="P217">
        <v>20</v>
      </c>
      <c r="Q217">
        <v>2</v>
      </c>
      <c r="R217">
        <v>0</v>
      </c>
      <c r="S217">
        <v>0</v>
      </c>
      <c r="T217">
        <v>14</v>
      </c>
      <c r="U217">
        <v>18</v>
      </c>
      <c r="V217">
        <v>147</v>
      </c>
      <c r="W217">
        <v>294</v>
      </c>
      <c r="X217">
        <v>0</v>
      </c>
      <c r="Y217">
        <v>588</v>
      </c>
      <c r="Z217">
        <v>191</v>
      </c>
      <c r="AA217">
        <v>576</v>
      </c>
      <c r="AB217">
        <v>354</v>
      </c>
      <c r="AC217">
        <v>762</v>
      </c>
      <c r="AD217">
        <v>388</v>
      </c>
      <c r="AE217">
        <v>2</v>
      </c>
      <c r="AF217">
        <v>411</v>
      </c>
      <c r="AG217">
        <v>17</v>
      </c>
    </row>
    <row r="218" spans="1:33" x14ac:dyDescent="0.3">
      <c r="A218" t="s">
        <v>103</v>
      </c>
      <c r="B218" t="s">
        <v>106</v>
      </c>
      <c r="C218" t="s">
        <v>32</v>
      </c>
      <c r="D218" s="1">
        <v>2630</v>
      </c>
      <c r="E218">
        <v>0</v>
      </c>
      <c r="F218">
        <v>20</v>
      </c>
      <c r="G218">
        <v>0</v>
      </c>
      <c r="H218">
        <v>17</v>
      </c>
      <c r="I218">
        <v>0</v>
      </c>
      <c r="J218">
        <v>0</v>
      </c>
      <c r="K218">
        <v>0</v>
      </c>
      <c r="L218">
        <v>4</v>
      </c>
      <c r="M218">
        <v>0</v>
      </c>
      <c r="N218">
        <v>1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227</v>
      </c>
      <c r="V218">
        <v>317</v>
      </c>
      <c r="W218" s="1">
        <v>1531</v>
      </c>
      <c r="X218">
        <v>0</v>
      </c>
      <c r="Y218">
        <v>64</v>
      </c>
      <c r="Z218">
        <v>75</v>
      </c>
      <c r="AA218">
        <v>114</v>
      </c>
      <c r="AB218">
        <v>69</v>
      </c>
      <c r="AC218">
        <v>124</v>
      </c>
      <c r="AD218">
        <v>30</v>
      </c>
      <c r="AE218">
        <v>0</v>
      </c>
      <c r="AF218">
        <v>21</v>
      </c>
      <c r="AG218">
        <v>14</v>
      </c>
    </row>
    <row r="219" spans="1:33" x14ac:dyDescent="0.3">
      <c r="A219" t="s">
        <v>103</v>
      </c>
      <c r="B219" t="s">
        <v>106</v>
      </c>
      <c r="C219" t="s">
        <v>35</v>
      </c>
      <c r="D219" s="1">
        <v>1982</v>
      </c>
      <c r="E219">
        <v>0</v>
      </c>
      <c r="F219">
        <v>12</v>
      </c>
      <c r="G219">
        <v>0</v>
      </c>
      <c r="H219">
        <v>16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224</v>
      </c>
      <c r="V219">
        <v>86</v>
      </c>
      <c r="W219" s="1">
        <v>1446</v>
      </c>
      <c r="X219">
        <v>0</v>
      </c>
      <c r="Y219">
        <v>26</v>
      </c>
      <c r="Z219">
        <v>39</v>
      </c>
      <c r="AA219">
        <v>30</v>
      </c>
      <c r="AB219">
        <v>37</v>
      </c>
      <c r="AC219">
        <v>12</v>
      </c>
      <c r="AD219">
        <v>27</v>
      </c>
      <c r="AE219">
        <v>0</v>
      </c>
      <c r="AF219">
        <v>13</v>
      </c>
      <c r="AG219">
        <v>9</v>
      </c>
    </row>
    <row r="220" spans="1:33" x14ac:dyDescent="0.3">
      <c r="A220" t="s">
        <v>103</v>
      </c>
      <c r="B220" t="s">
        <v>106</v>
      </c>
      <c r="C220" t="s">
        <v>36</v>
      </c>
      <c r="D220">
        <v>648</v>
      </c>
      <c r="E220">
        <v>0</v>
      </c>
      <c r="F220">
        <v>8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3</v>
      </c>
      <c r="V220">
        <v>231</v>
      </c>
      <c r="W220">
        <v>85</v>
      </c>
      <c r="X220">
        <v>0</v>
      </c>
      <c r="Y220">
        <v>38</v>
      </c>
      <c r="Z220">
        <v>36</v>
      </c>
      <c r="AA220">
        <v>84</v>
      </c>
      <c r="AB220">
        <v>32</v>
      </c>
      <c r="AC220">
        <v>112</v>
      </c>
      <c r="AD220">
        <v>3</v>
      </c>
      <c r="AE220">
        <v>0</v>
      </c>
      <c r="AF220">
        <v>8</v>
      </c>
      <c r="AG220">
        <v>5</v>
      </c>
    </row>
    <row r="221" spans="1:33" x14ac:dyDescent="0.3">
      <c r="A221" t="s">
        <v>103</v>
      </c>
      <c r="B221" t="s">
        <v>107</v>
      </c>
      <c r="C221" t="s">
        <v>32</v>
      </c>
      <c r="D221" s="1">
        <v>7618</v>
      </c>
      <c r="E221">
        <v>0</v>
      </c>
      <c r="F221" s="1">
        <v>1474</v>
      </c>
      <c r="G221">
        <v>37</v>
      </c>
      <c r="H221">
        <v>195</v>
      </c>
      <c r="I221">
        <v>0</v>
      </c>
      <c r="J221">
        <v>8</v>
      </c>
      <c r="K221">
        <v>3</v>
      </c>
      <c r="L221">
        <v>50</v>
      </c>
      <c r="M221">
        <v>61</v>
      </c>
      <c r="N221">
        <v>112</v>
      </c>
      <c r="O221">
        <v>1</v>
      </c>
      <c r="P221">
        <v>79</v>
      </c>
      <c r="Q221">
        <v>31</v>
      </c>
      <c r="R221">
        <v>0</v>
      </c>
      <c r="S221">
        <v>0</v>
      </c>
      <c r="T221">
        <v>12</v>
      </c>
      <c r="U221">
        <v>412</v>
      </c>
      <c r="V221">
        <v>49</v>
      </c>
      <c r="W221" s="1">
        <v>1975</v>
      </c>
      <c r="X221">
        <v>0</v>
      </c>
      <c r="Y221">
        <v>363</v>
      </c>
      <c r="Z221">
        <v>227</v>
      </c>
      <c r="AA221">
        <v>362</v>
      </c>
      <c r="AB221">
        <v>612</v>
      </c>
      <c r="AC221" s="1">
        <v>1100</v>
      </c>
      <c r="AD221">
        <v>243</v>
      </c>
      <c r="AE221">
        <v>1</v>
      </c>
      <c r="AF221">
        <v>159</v>
      </c>
      <c r="AG221">
        <v>52</v>
      </c>
    </row>
    <row r="222" spans="1:33" x14ac:dyDescent="0.3">
      <c r="A222" t="s">
        <v>103</v>
      </c>
      <c r="B222" t="s">
        <v>107</v>
      </c>
      <c r="C222" t="s">
        <v>35</v>
      </c>
      <c r="D222" s="1">
        <v>4370</v>
      </c>
      <c r="E222">
        <v>0</v>
      </c>
      <c r="F222">
        <v>738</v>
      </c>
      <c r="G222">
        <v>15</v>
      </c>
      <c r="H222">
        <v>129</v>
      </c>
      <c r="I222">
        <v>0</v>
      </c>
      <c r="J222">
        <v>6</v>
      </c>
      <c r="K222">
        <v>3</v>
      </c>
      <c r="L222">
        <v>44</v>
      </c>
      <c r="M222">
        <v>61</v>
      </c>
      <c r="N222">
        <v>47</v>
      </c>
      <c r="O222">
        <v>1</v>
      </c>
      <c r="P222">
        <v>25</v>
      </c>
      <c r="Q222">
        <v>27</v>
      </c>
      <c r="R222">
        <v>0</v>
      </c>
      <c r="S222">
        <v>0</v>
      </c>
      <c r="T222">
        <v>2</v>
      </c>
      <c r="U222">
        <v>394</v>
      </c>
      <c r="V222">
        <v>29</v>
      </c>
      <c r="W222" s="1">
        <v>1767</v>
      </c>
      <c r="X222">
        <v>0</v>
      </c>
      <c r="Y222">
        <v>124</v>
      </c>
      <c r="Z222">
        <v>96</v>
      </c>
      <c r="AA222">
        <v>92</v>
      </c>
      <c r="AB222">
        <v>277</v>
      </c>
      <c r="AC222">
        <v>180</v>
      </c>
      <c r="AD222">
        <v>176</v>
      </c>
      <c r="AE222">
        <v>1</v>
      </c>
      <c r="AF222">
        <v>90</v>
      </c>
      <c r="AG222">
        <v>46</v>
      </c>
    </row>
    <row r="223" spans="1:33" x14ac:dyDescent="0.3">
      <c r="A223" t="s">
        <v>103</v>
      </c>
      <c r="B223" t="s">
        <v>107</v>
      </c>
      <c r="C223" t="s">
        <v>36</v>
      </c>
      <c r="D223" s="1">
        <v>3248</v>
      </c>
      <c r="E223">
        <v>0</v>
      </c>
      <c r="F223">
        <v>736</v>
      </c>
      <c r="G223">
        <v>22</v>
      </c>
      <c r="H223">
        <v>66</v>
      </c>
      <c r="I223">
        <v>0</v>
      </c>
      <c r="J223">
        <v>2</v>
      </c>
      <c r="K223">
        <v>0</v>
      </c>
      <c r="L223">
        <v>6</v>
      </c>
      <c r="M223">
        <v>0</v>
      </c>
      <c r="N223">
        <v>65</v>
      </c>
      <c r="O223">
        <v>0</v>
      </c>
      <c r="P223">
        <v>54</v>
      </c>
      <c r="Q223">
        <v>4</v>
      </c>
      <c r="R223">
        <v>0</v>
      </c>
      <c r="S223">
        <v>0</v>
      </c>
      <c r="T223">
        <v>10</v>
      </c>
      <c r="U223">
        <v>18</v>
      </c>
      <c r="V223">
        <v>20</v>
      </c>
      <c r="W223">
        <v>208</v>
      </c>
      <c r="X223">
        <v>0</v>
      </c>
      <c r="Y223">
        <v>239</v>
      </c>
      <c r="Z223">
        <v>131</v>
      </c>
      <c r="AA223">
        <v>270</v>
      </c>
      <c r="AB223">
        <v>335</v>
      </c>
      <c r="AC223">
        <v>920</v>
      </c>
      <c r="AD223">
        <v>67</v>
      </c>
      <c r="AE223">
        <v>0</v>
      </c>
      <c r="AF223">
        <v>69</v>
      </c>
      <c r="AG223">
        <v>6</v>
      </c>
    </row>
    <row r="224" spans="1:33" x14ac:dyDescent="0.3">
      <c r="A224" t="s">
        <v>103</v>
      </c>
      <c r="B224" t="s">
        <v>108</v>
      </c>
      <c r="C224" t="s">
        <v>32</v>
      </c>
      <c r="D224" s="1">
        <v>4256</v>
      </c>
      <c r="E224">
        <v>0</v>
      </c>
      <c r="F224">
        <v>468</v>
      </c>
      <c r="G224">
        <v>4</v>
      </c>
      <c r="H224">
        <v>652</v>
      </c>
      <c r="I224">
        <v>0</v>
      </c>
      <c r="J224">
        <v>7</v>
      </c>
      <c r="K224">
        <v>0</v>
      </c>
      <c r="L224">
        <v>15</v>
      </c>
      <c r="M224">
        <v>8</v>
      </c>
      <c r="N224">
        <v>66</v>
      </c>
      <c r="O224">
        <v>0</v>
      </c>
      <c r="P224">
        <v>23</v>
      </c>
      <c r="Q224">
        <v>2</v>
      </c>
      <c r="R224">
        <v>0</v>
      </c>
      <c r="S224">
        <v>0</v>
      </c>
      <c r="T224">
        <v>3</v>
      </c>
      <c r="U224">
        <v>245</v>
      </c>
      <c r="V224">
        <v>81</v>
      </c>
      <c r="W224" s="1">
        <v>1513</v>
      </c>
      <c r="X224">
        <v>0</v>
      </c>
      <c r="Y224">
        <v>160</v>
      </c>
      <c r="Z224">
        <v>79</v>
      </c>
      <c r="AA224">
        <v>167</v>
      </c>
      <c r="AB224">
        <v>137</v>
      </c>
      <c r="AC224">
        <v>371</v>
      </c>
      <c r="AD224">
        <v>188</v>
      </c>
      <c r="AE224">
        <v>0</v>
      </c>
      <c r="AF224">
        <v>33</v>
      </c>
      <c r="AG224">
        <v>34</v>
      </c>
    </row>
    <row r="225" spans="1:33" x14ac:dyDescent="0.3">
      <c r="A225" t="s">
        <v>103</v>
      </c>
      <c r="B225" t="s">
        <v>108</v>
      </c>
      <c r="C225" t="s">
        <v>35</v>
      </c>
      <c r="D225" s="1">
        <v>2803</v>
      </c>
      <c r="E225">
        <v>0</v>
      </c>
      <c r="F225">
        <v>269</v>
      </c>
      <c r="G225">
        <v>0</v>
      </c>
      <c r="H225">
        <v>404</v>
      </c>
      <c r="I225">
        <v>0</v>
      </c>
      <c r="J225">
        <v>6</v>
      </c>
      <c r="K225">
        <v>0</v>
      </c>
      <c r="L225">
        <v>14</v>
      </c>
      <c r="M225">
        <v>6</v>
      </c>
      <c r="N225">
        <v>32</v>
      </c>
      <c r="O225">
        <v>0</v>
      </c>
      <c r="P225">
        <v>7</v>
      </c>
      <c r="Q225">
        <v>1</v>
      </c>
      <c r="R225">
        <v>0</v>
      </c>
      <c r="S225">
        <v>0</v>
      </c>
      <c r="T225">
        <v>0</v>
      </c>
      <c r="U225">
        <v>230</v>
      </c>
      <c r="V225">
        <v>56</v>
      </c>
      <c r="W225" s="1">
        <v>1326</v>
      </c>
      <c r="X225">
        <v>0</v>
      </c>
      <c r="Y225">
        <v>56</v>
      </c>
      <c r="Z225">
        <v>43</v>
      </c>
      <c r="AA225">
        <v>41</v>
      </c>
      <c r="AB225">
        <v>69</v>
      </c>
      <c r="AC225">
        <v>56</v>
      </c>
      <c r="AD225">
        <v>134</v>
      </c>
      <c r="AE225">
        <v>0</v>
      </c>
      <c r="AF225">
        <v>21</v>
      </c>
      <c r="AG225">
        <v>32</v>
      </c>
    </row>
    <row r="226" spans="1:33" x14ac:dyDescent="0.3">
      <c r="A226" t="s">
        <v>103</v>
      </c>
      <c r="B226" t="s">
        <v>108</v>
      </c>
      <c r="C226" t="s">
        <v>36</v>
      </c>
      <c r="D226" s="1">
        <v>1453</v>
      </c>
      <c r="E226">
        <v>0</v>
      </c>
      <c r="F226">
        <v>199</v>
      </c>
      <c r="G226">
        <v>4</v>
      </c>
      <c r="H226">
        <v>248</v>
      </c>
      <c r="I226">
        <v>0</v>
      </c>
      <c r="J226">
        <v>1</v>
      </c>
      <c r="K226">
        <v>0</v>
      </c>
      <c r="L226">
        <v>1</v>
      </c>
      <c r="M226">
        <v>2</v>
      </c>
      <c r="N226">
        <v>34</v>
      </c>
      <c r="O226">
        <v>0</v>
      </c>
      <c r="P226">
        <v>16</v>
      </c>
      <c r="Q226">
        <v>1</v>
      </c>
      <c r="R226">
        <v>0</v>
      </c>
      <c r="S226">
        <v>0</v>
      </c>
      <c r="T226">
        <v>3</v>
      </c>
      <c r="U226">
        <v>15</v>
      </c>
      <c r="V226">
        <v>25</v>
      </c>
      <c r="W226">
        <v>187</v>
      </c>
      <c r="X226">
        <v>0</v>
      </c>
      <c r="Y226">
        <v>104</v>
      </c>
      <c r="Z226">
        <v>36</v>
      </c>
      <c r="AA226">
        <v>126</v>
      </c>
      <c r="AB226">
        <v>68</v>
      </c>
      <c r="AC226">
        <v>315</v>
      </c>
      <c r="AD226">
        <v>54</v>
      </c>
      <c r="AE226">
        <v>0</v>
      </c>
      <c r="AF226">
        <v>12</v>
      </c>
      <c r="AG226">
        <v>2</v>
      </c>
    </row>
    <row r="227" spans="1:33" x14ac:dyDescent="0.3">
      <c r="A227" t="s">
        <v>103</v>
      </c>
      <c r="B227" t="s">
        <v>109</v>
      </c>
      <c r="C227" t="s">
        <v>32</v>
      </c>
      <c r="D227" s="1">
        <v>1216</v>
      </c>
      <c r="E227">
        <v>0</v>
      </c>
      <c r="F227">
        <v>24</v>
      </c>
      <c r="G227">
        <v>0</v>
      </c>
      <c r="H227">
        <v>25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2</v>
      </c>
      <c r="O227">
        <v>0</v>
      </c>
      <c r="P227">
        <v>11</v>
      </c>
      <c r="Q227">
        <v>0</v>
      </c>
      <c r="R227">
        <v>0</v>
      </c>
      <c r="S227">
        <v>0</v>
      </c>
      <c r="T227">
        <v>1</v>
      </c>
      <c r="U227">
        <v>52</v>
      </c>
      <c r="V227">
        <v>272</v>
      </c>
      <c r="W227">
        <v>352</v>
      </c>
      <c r="X227">
        <v>0</v>
      </c>
      <c r="Y227">
        <v>82</v>
      </c>
      <c r="Z227">
        <v>25</v>
      </c>
      <c r="AA227">
        <v>37</v>
      </c>
      <c r="AB227">
        <v>70</v>
      </c>
      <c r="AC227">
        <v>174</v>
      </c>
      <c r="AD227">
        <v>44</v>
      </c>
      <c r="AE227">
        <v>3</v>
      </c>
      <c r="AF227">
        <v>37</v>
      </c>
      <c r="AG227">
        <v>3</v>
      </c>
    </row>
    <row r="228" spans="1:33" x14ac:dyDescent="0.3">
      <c r="A228" t="s">
        <v>103</v>
      </c>
      <c r="B228" t="s">
        <v>109</v>
      </c>
      <c r="C228" t="s">
        <v>35</v>
      </c>
      <c r="D228">
        <v>708</v>
      </c>
      <c r="E228">
        <v>0</v>
      </c>
      <c r="F228">
        <v>23</v>
      </c>
      <c r="G228">
        <v>0</v>
      </c>
      <c r="H228">
        <v>14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2</v>
      </c>
      <c r="O228">
        <v>0</v>
      </c>
      <c r="P228">
        <v>3</v>
      </c>
      <c r="Q228">
        <v>0</v>
      </c>
      <c r="R228">
        <v>0</v>
      </c>
      <c r="S228">
        <v>0</v>
      </c>
      <c r="T228">
        <v>1</v>
      </c>
      <c r="U228">
        <v>46</v>
      </c>
      <c r="V228">
        <v>174</v>
      </c>
      <c r="W228">
        <v>276</v>
      </c>
      <c r="X228">
        <v>0</v>
      </c>
      <c r="Y228">
        <v>31</v>
      </c>
      <c r="Z228">
        <v>18</v>
      </c>
      <c r="AA228">
        <v>11</v>
      </c>
      <c r="AB228">
        <v>36</v>
      </c>
      <c r="AC228">
        <v>19</v>
      </c>
      <c r="AD228">
        <v>33</v>
      </c>
      <c r="AE228">
        <v>0</v>
      </c>
      <c r="AF228">
        <v>17</v>
      </c>
      <c r="AG228">
        <v>3</v>
      </c>
    </row>
    <row r="229" spans="1:33" x14ac:dyDescent="0.3">
      <c r="A229" t="s">
        <v>103</v>
      </c>
      <c r="B229" t="s">
        <v>109</v>
      </c>
      <c r="C229" t="s">
        <v>36</v>
      </c>
      <c r="D229">
        <v>508</v>
      </c>
      <c r="E229">
        <v>0</v>
      </c>
      <c r="F229">
        <v>1</v>
      </c>
      <c r="G229">
        <v>0</v>
      </c>
      <c r="H229">
        <v>11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8</v>
      </c>
      <c r="Q229">
        <v>0</v>
      </c>
      <c r="R229">
        <v>0</v>
      </c>
      <c r="S229">
        <v>0</v>
      </c>
      <c r="T229">
        <v>0</v>
      </c>
      <c r="U229">
        <v>6</v>
      </c>
      <c r="V229">
        <v>98</v>
      </c>
      <c r="W229">
        <v>76</v>
      </c>
      <c r="X229">
        <v>0</v>
      </c>
      <c r="Y229">
        <v>51</v>
      </c>
      <c r="Z229">
        <v>7</v>
      </c>
      <c r="AA229">
        <v>26</v>
      </c>
      <c r="AB229">
        <v>34</v>
      </c>
      <c r="AC229">
        <v>155</v>
      </c>
      <c r="AD229">
        <v>11</v>
      </c>
      <c r="AE229">
        <v>3</v>
      </c>
      <c r="AF229">
        <v>20</v>
      </c>
      <c r="AG229">
        <v>0</v>
      </c>
    </row>
    <row r="230" spans="1:33" x14ac:dyDescent="0.3">
      <c r="A230" t="s">
        <v>103</v>
      </c>
      <c r="B230" t="s">
        <v>110</v>
      </c>
      <c r="C230" t="s">
        <v>32</v>
      </c>
      <c r="D230">
        <v>412</v>
      </c>
      <c r="E230">
        <v>0</v>
      </c>
      <c r="F230">
        <v>3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16</v>
      </c>
      <c r="V230">
        <v>7</v>
      </c>
      <c r="W230">
        <v>164</v>
      </c>
      <c r="X230">
        <v>0</v>
      </c>
      <c r="Y230">
        <v>55</v>
      </c>
      <c r="Z230">
        <v>5</v>
      </c>
      <c r="AA230">
        <v>8</v>
      </c>
      <c r="AB230">
        <v>34</v>
      </c>
      <c r="AC230">
        <v>103</v>
      </c>
      <c r="AD230">
        <v>8</v>
      </c>
      <c r="AE230">
        <v>0</v>
      </c>
      <c r="AF230">
        <v>6</v>
      </c>
      <c r="AG230">
        <v>1</v>
      </c>
    </row>
    <row r="231" spans="1:33" x14ac:dyDescent="0.3">
      <c r="A231" t="s">
        <v>103</v>
      </c>
      <c r="B231" t="s">
        <v>110</v>
      </c>
      <c r="C231" t="s">
        <v>35</v>
      </c>
      <c r="D231">
        <v>204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15</v>
      </c>
      <c r="V231">
        <v>5</v>
      </c>
      <c r="W231">
        <v>133</v>
      </c>
      <c r="X231">
        <v>0</v>
      </c>
      <c r="Y231">
        <v>20</v>
      </c>
      <c r="Z231">
        <v>2</v>
      </c>
      <c r="AA231">
        <v>2</v>
      </c>
      <c r="AB231">
        <v>9</v>
      </c>
      <c r="AC231">
        <v>4</v>
      </c>
      <c r="AD231">
        <v>7</v>
      </c>
      <c r="AE231">
        <v>0</v>
      </c>
      <c r="AF231">
        <v>2</v>
      </c>
      <c r="AG231">
        <v>1</v>
      </c>
    </row>
    <row r="232" spans="1:33" x14ac:dyDescent="0.3">
      <c r="A232" t="s">
        <v>103</v>
      </c>
      <c r="B232" t="s">
        <v>110</v>
      </c>
      <c r="C232" t="s">
        <v>36</v>
      </c>
      <c r="D232">
        <v>208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2</v>
      </c>
      <c r="W232">
        <v>31</v>
      </c>
      <c r="X232">
        <v>0</v>
      </c>
      <c r="Y232">
        <v>35</v>
      </c>
      <c r="Z232">
        <v>3</v>
      </c>
      <c r="AA232">
        <v>6</v>
      </c>
      <c r="AB232">
        <v>25</v>
      </c>
      <c r="AC232">
        <v>99</v>
      </c>
      <c r="AD232">
        <v>1</v>
      </c>
      <c r="AE232">
        <v>0</v>
      </c>
      <c r="AF232">
        <v>4</v>
      </c>
      <c r="AG232">
        <v>0</v>
      </c>
    </row>
    <row r="233" spans="1:33" x14ac:dyDescent="0.3">
      <c r="A233" t="s">
        <v>103</v>
      </c>
      <c r="B233" t="s">
        <v>111</v>
      </c>
      <c r="C233" t="s">
        <v>32</v>
      </c>
      <c r="D233" s="1">
        <v>2295</v>
      </c>
      <c r="E233">
        <v>0</v>
      </c>
      <c r="F233">
        <v>57</v>
      </c>
      <c r="G233">
        <v>0</v>
      </c>
      <c r="H233">
        <v>1</v>
      </c>
      <c r="I233">
        <v>0</v>
      </c>
      <c r="J233">
        <v>7</v>
      </c>
      <c r="K233">
        <v>0</v>
      </c>
      <c r="L233">
        <v>2</v>
      </c>
      <c r="M233">
        <v>0</v>
      </c>
      <c r="N233">
        <v>7</v>
      </c>
      <c r="O233">
        <v>1</v>
      </c>
      <c r="P233">
        <v>8</v>
      </c>
      <c r="Q233">
        <v>3</v>
      </c>
      <c r="R233">
        <v>0</v>
      </c>
      <c r="S233">
        <v>0</v>
      </c>
      <c r="T233">
        <v>0</v>
      </c>
      <c r="U233">
        <v>56</v>
      </c>
      <c r="V233">
        <v>913</v>
      </c>
      <c r="W233">
        <v>409</v>
      </c>
      <c r="X233">
        <v>0</v>
      </c>
      <c r="Y233">
        <v>123</v>
      </c>
      <c r="Z233">
        <v>95</v>
      </c>
      <c r="AA233">
        <v>82</v>
      </c>
      <c r="AB233">
        <v>86</v>
      </c>
      <c r="AC233">
        <v>318</v>
      </c>
      <c r="AD233">
        <v>95</v>
      </c>
      <c r="AE233">
        <v>1</v>
      </c>
      <c r="AF233">
        <v>24</v>
      </c>
      <c r="AG233">
        <v>7</v>
      </c>
    </row>
    <row r="234" spans="1:33" x14ac:dyDescent="0.3">
      <c r="A234" t="s">
        <v>103</v>
      </c>
      <c r="B234" t="s">
        <v>111</v>
      </c>
      <c r="C234" t="s">
        <v>35</v>
      </c>
      <c r="D234" s="1">
        <v>1245</v>
      </c>
      <c r="E234">
        <v>0</v>
      </c>
      <c r="F234">
        <v>29</v>
      </c>
      <c r="G234">
        <v>0</v>
      </c>
      <c r="H234">
        <v>1</v>
      </c>
      <c r="I234">
        <v>0</v>
      </c>
      <c r="J234">
        <v>6</v>
      </c>
      <c r="K234">
        <v>0</v>
      </c>
      <c r="L234">
        <v>1</v>
      </c>
      <c r="M234">
        <v>0</v>
      </c>
      <c r="N234">
        <v>4</v>
      </c>
      <c r="O234">
        <v>1</v>
      </c>
      <c r="P234">
        <v>1</v>
      </c>
      <c r="Q234">
        <v>3</v>
      </c>
      <c r="R234">
        <v>0</v>
      </c>
      <c r="S234">
        <v>0</v>
      </c>
      <c r="T234">
        <v>0</v>
      </c>
      <c r="U234">
        <v>55</v>
      </c>
      <c r="V234">
        <v>536</v>
      </c>
      <c r="W234">
        <v>341</v>
      </c>
      <c r="X234">
        <v>0</v>
      </c>
      <c r="Y234">
        <v>51</v>
      </c>
      <c r="Z234">
        <v>49</v>
      </c>
      <c r="AA234">
        <v>27</v>
      </c>
      <c r="AB234">
        <v>35</v>
      </c>
      <c r="AC234">
        <v>31</v>
      </c>
      <c r="AD234">
        <v>60</v>
      </c>
      <c r="AE234">
        <v>0</v>
      </c>
      <c r="AF234">
        <v>11</v>
      </c>
      <c r="AG234">
        <v>3</v>
      </c>
    </row>
    <row r="235" spans="1:33" x14ac:dyDescent="0.3">
      <c r="A235" t="s">
        <v>103</v>
      </c>
      <c r="B235" t="s">
        <v>111</v>
      </c>
      <c r="C235" t="s">
        <v>36</v>
      </c>
      <c r="D235" s="1">
        <v>1050</v>
      </c>
      <c r="E235">
        <v>0</v>
      </c>
      <c r="F235">
        <v>28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3</v>
      </c>
      <c r="O235">
        <v>0</v>
      </c>
      <c r="P235">
        <v>7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377</v>
      </c>
      <c r="W235">
        <v>68</v>
      </c>
      <c r="X235">
        <v>0</v>
      </c>
      <c r="Y235">
        <v>72</v>
      </c>
      <c r="Z235">
        <v>46</v>
      </c>
      <c r="AA235">
        <v>55</v>
      </c>
      <c r="AB235">
        <v>51</v>
      </c>
      <c r="AC235">
        <v>287</v>
      </c>
      <c r="AD235">
        <v>35</v>
      </c>
      <c r="AE235">
        <v>1</v>
      </c>
      <c r="AF235">
        <v>13</v>
      </c>
      <c r="AG235">
        <v>4</v>
      </c>
    </row>
    <row r="236" spans="1:33" x14ac:dyDescent="0.3">
      <c r="A236" t="s">
        <v>103</v>
      </c>
      <c r="B236" t="s">
        <v>112</v>
      </c>
      <c r="C236" t="s">
        <v>32</v>
      </c>
      <c r="D236" s="1">
        <v>2897</v>
      </c>
      <c r="E236">
        <v>0</v>
      </c>
      <c r="F236">
        <v>28</v>
      </c>
      <c r="G236">
        <v>0</v>
      </c>
      <c r="H236">
        <v>14</v>
      </c>
      <c r="I236">
        <v>0</v>
      </c>
      <c r="J236">
        <v>4</v>
      </c>
      <c r="K236">
        <v>0</v>
      </c>
      <c r="L236">
        <v>4</v>
      </c>
      <c r="M236">
        <v>2</v>
      </c>
      <c r="N236">
        <v>8</v>
      </c>
      <c r="O236">
        <v>0</v>
      </c>
      <c r="P236">
        <v>7</v>
      </c>
      <c r="Q236">
        <v>0</v>
      </c>
      <c r="R236">
        <v>0</v>
      </c>
      <c r="S236">
        <v>0</v>
      </c>
      <c r="T236">
        <v>0</v>
      </c>
      <c r="U236">
        <v>272</v>
      </c>
      <c r="V236">
        <v>559</v>
      </c>
      <c r="W236" s="1">
        <v>1310</v>
      </c>
      <c r="X236">
        <v>0</v>
      </c>
      <c r="Y236">
        <v>80</v>
      </c>
      <c r="Z236">
        <v>101</v>
      </c>
      <c r="AA236">
        <v>184</v>
      </c>
      <c r="AB236">
        <v>54</v>
      </c>
      <c r="AC236">
        <v>154</v>
      </c>
      <c r="AD236">
        <v>91</v>
      </c>
      <c r="AE236">
        <v>1</v>
      </c>
      <c r="AF236">
        <v>8</v>
      </c>
      <c r="AG236">
        <v>16</v>
      </c>
    </row>
    <row r="237" spans="1:33" x14ac:dyDescent="0.3">
      <c r="A237" t="s">
        <v>103</v>
      </c>
      <c r="B237" t="s">
        <v>112</v>
      </c>
      <c r="C237" t="s">
        <v>35</v>
      </c>
      <c r="D237" s="1">
        <v>2268</v>
      </c>
      <c r="E237">
        <v>0</v>
      </c>
      <c r="F237">
        <v>22</v>
      </c>
      <c r="G237">
        <v>0</v>
      </c>
      <c r="H237">
        <v>2</v>
      </c>
      <c r="I237">
        <v>0</v>
      </c>
      <c r="J237">
        <v>4</v>
      </c>
      <c r="K237">
        <v>0</v>
      </c>
      <c r="L237">
        <v>3</v>
      </c>
      <c r="M237">
        <v>2</v>
      </c>
      <c r="N237">
        <v>3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265</v>
      </c>
      <c r="V237">
        <v>454</v>
      </c>
      <c r="W237" s="1">
        <v>1222</v>
      </c>
      <c r="X237">
        <v>0</v>
      </c>
      <c r="Y237">
        <v>27</v>
      </c>
      <c r="Z237">
        <v>70</v>
      </c>
      <c r="AA237">
        <v>55</v>
      </c>
      <c r="AB237">
        <v>34</v>
      </c>
      <c r="AC237">
        <v>15</v>
      </c>
      <c r="AD237">
        <v>69</v>
      </c>
      <c r="AE237">
        <v>0</v>
      </c>
      <c r="AF237">
        <v>6</v>
      </c>
      <c r="AG237">
        <v>14</v>
      </c>
    </row>
    <row r="238" spans="1:33" x14ac:dyDescent="0.3">
      <c r="A238" t="s">
        <v>103</v>
      </c>
      <c r="B238" t="s">
        <v>112</v>
      </c>
      <c r="C238" t="s">
        <v>36</v>
      </c>
      <c r="D238">
        <v>629</v>
      </c>
      <c r="E238">
        <v>0</v>
      </c>
      <c r="F238">
        <v>6</v>
      </c>
      <c r="G238">
        <v>0</v>
      </c>
      <c r="H238">
        <v>12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5</v>
      </c>
      <c r="O238">
        <v>0</v>
      </c>
      <c r="P238">
        <v>6</v>
      </c>
      <c r="Q238">
        <v>0</v>
      </c>
      <c r="R238">
        <v>0</v>
      </c>
      <c r="S238">
        <v>0</v>
      </c>
      <c r="T238">
        <v>0</v>
      </c>
      <c r="U238">
        <v>7</v>
      </c>
      <c r="V238">
        <v>105</v>
      </c>
      <c r="W238">
        <v>88</v>
      </c>
      <c r="X238">
        <v>0</v>
      </c>
      <c r="Y238">
        <v>53</v>
      </c>
      <c r="Z238">
        <v>31</v>
      </c>
      <c r="AA238">
        <v>129</v>
      </c>
      <c r="AB238">
        <v>20</v>
      </c>
      <c r="AC238">
        <v>139</v>
      </c>
      <c r="AD238">
        <v>22</v>
      </c>
      <c r="AE238">
        <v>1</v>
      </c>
      <c r="AF238">
        <v>2</v>
      </c>
      <c r="AG238">
        <v>2</v>
      </c>
    </row>
    <row r="239" spans="1:33" x14ac:dyDescent="0.3">
      <c r="A239" t="s">
        <v>103</v>
      </c>
      <c r="B239" t="s">
        <v>113</v>
      </c>
      <c r="C239" t="s">
        <v>32</v>
      </c>
      <c r="D239" s="1">
        <v>2193</v>
      </c>
      <c r="E239">
        <v>0</v>
      </c>
      <c r="F239">
        <v>216</v>
      </c>
      <c r="G239">
        <v>0</v>
      </c>
      <c r="H239">
        <v>206</v>
      </c>
      <c r="I239">
        <v>0</v>
      </c>
      <c r="J239">
        <v>3</v>
      </c>
      <c r="K239">
        <v>0</v>
      </c>
      <c r="L239">
        <v>2</v>
      </c>
      <c r="M239">
        <v>1</v>
      </c>
      <c r="N239">
        <v>24</v>
      </c>
      <c r="O239">
        <v>1</v>
      </c>
      <c r="P239">
        <v>36</v>
      </c>
      <c r="Q239">
        <v>7</v>
      </c>
      <c r="R239">
        <v>0</v>
      </c>
      <c r="S239">
        <v>0</v>
      </c>
      <c r="T239">
        <v>2</v>
      </c>
      <c r="U239">
        <v>54</v>
      </c>
      <c r="V239">
        <v>291</v>
      </c>
      <c r="W239">
        <v>372</v>
      </c>
      <c r="X239">
        <v>0</v>
      </c>
      <c r="Y239">
        <v>192</v>
      </c>
      <c r="Z239">
        <v>88</v>
      </c>
      <c r="AA239">
        <v>96</v>
      </c>
      <c r="AB239">
        <v>91</v>
      </c>
      <c r="AC239">
        <v>418</v>
      </c>
      <c r="AD239">
        <v>57</v>
      </c>
      <c r="AE239">
        <v>2</v>
      </c>
      <c r="AF239">
        <v>27</v>
      </c>
      <c r="AG239">
        <v>7</v>
      </c>
    </row>
    <row r="240" spans="1:33" x14ac:dyDescent="0.3">
      <c r="A240" t="s">
        <v>103</v>
      </c>
      <c r="B240" t="s">
        <v>113</v>
      </c>
      <c r="C240" t="s">
        <v>35</v>
      </c>
      <c r="D240" s="1">
        <v>1103</v>
      </c>
      <c r="E240">
        <v>0</v>
      </c>
      <c r="F240">
        <v>106</v>
      </c>
      <c r="G240">
        <v>0</v>
      </c>
      <c r="H240">
        <v>133</v>
      </c>
      <c r="I240">
        <v>0</v>
      </c>
      <c r="J240">
        <v>0</v>
      </c>
      <c r="K240">
        <v>0</v>
      </c>
      <c r="L240">
        <v>2</v>
      </c>
      <c r="M240">
        <v>1</v>
      </c>
      <c r="N240">
        <v>10</v>
      </c>
      <c r="O240">
        <v>1</v>
      </c>
      <c r="P240">
        <v>17</v>
      </c>
      <c r="Q240">
        <v>6</v>
      </c>
      <c r="R240">
        <v>0</v>
      </c>
      <c r="S240">
        <v>0</v>
      </c>
      <c r="T240">
        <v>0</v>
      </c>
      <c r="U240">
        <v>51</v>
      </c>
      <c r="V240">
        <v>183</v>
      </c>
      <c r="W240">
        <v>327</v>
      </c>
      <c r="X240">
        <v>0</v>
      </c>
      <c r="Y240">
        <v>70</v>
      </c>
      <c r="Z240">
        <v>42</v>
      </c>
      <c r="AA240">
        <v>35</v>
      </c>
      <c r="AB240">
        <v>24</v>
      </c>
      <c r="AC240">
        <v>41</v>
      </c>
      <c r="AD240">
        <v>36</v>
      </c>
      <c r="AE240">
        <v>0</v>
      </c>
      <c r="AF240">
        <v>12</v>
      </c>
      <c r="AG240">
        <v>6</v>
      </c>
    </row>
    <row r="241" spans="1:33" x14ac:dyDescent="0.3">
      <c r="A241" t="s">
        <v>103</v>
      </c>
      <c r="B241" t="s">
        <v>113</v>
      </c>
      <c r="C241" t="s">
        <v>36</v>
      </c>
      <c r="D241" s="1">
        <v>1090</v>
      </c>
      <c r="E241">
        <v>0</v>
      </c>
      <c r="F241">
        <v>110</v>
      </c>
      <c r="G241">
        <v>0</v>
      </c>
      <c r="H241">
        <v>73</v>
      </c>
      <c r="I241">
        <v>0</v>
      </c>
      <c r="J241">
        <v>3</v>
      </c>
      <c r="K241">
        <v>0</v>
      </c>
      <c r="L241">
        <v>0</v>
      </c>
      <c r="M241">
        <v>0</v>
      </c>
      <c r="N241">
        <v>14</v>
      </c>
      <c r="O241">
        <v>0</v>
      </c>
      <c r="P241">
        <v>19</v>
      </c>
      <c r="Q241">
        <v>1</v>
      </c>
      <c r="R241">
        <v>0</v>
      </c>
      <c r="S241">
        <v>0</v>
      </c>
      <c r="T241">
        <v>2</v>
      </c>
      <c r="U241">
        <v>3</v>
      </c>
      <c r="V241">
        <v>108</v>
      </c>
      <c r="W241">
        <v>45</v>
      </c>
      <c r="X241">
        <v>0</v>
      </c>
      <c r="Y241">
        <v>122</v>
      </c>
      <c r="Z241">
        <v>46</v>
      </c>
      <c r="AA241">
        <v>61</v>
      </c>
      <c r="AB241">
        <v>67</v>
      </c>
      <c r="AC241">
        <v>377</v>
      </c>
      <c r="AD241">
        <v>21</v>
      </c>
      <c r="AE241">
        <v>2</v>
      </c>
      <c r="AF241">
        <v>15</v>
      </c>
      <c r="AG241">
        <v>1</v>
      </c>
    </row>
    <row r="242" spans="1:33" x14ac:dyDescent="0.3">
      <c r="A242" t="s">
        <v>103</v>
      </c>
      <c r="B242" t="s">
        <v>114</v>
      </c>
      <c r="C242" t="s">
        <v>32</v>
      </c>
      <c r="D242" s="1">
        <v>1365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7</v>
      </c>
      <c r="M242">
        <v>0</v>
      </c>
      <c r="N242">
        <v>1</v>
      </c>
      <c r="O242">
        <v>0</v>
      </c>
      <c r="P242">
        <v>3</v>
      </c>
      <c r="Q242">
        <v>0</v>
      </c>
      <c r="R242">
        <v>0</v>
      </c>
      <c r="S242">
        <v>0</v>
      </c>
      <c r="T242">
        <v>0</v>
      </c>
      <c r="U242">
        <v>55</v>
      </c>
      <c r="V242">
        <v>178</v>
      </c>
      <c r="W242">
        <v>447</v>
      </c>
      <c r="X242">
        <v>456</v>
      </c>
      <c r="Y242">
        <v>30</v>
      </c>
      <c r="Z242">
        <v>12</v>
      </c>
      <c r="AA242">
        <v>10</v>
      </c>
      <c r="AB242">
        <v>31</v>
      </c>
      <c r="AC242">
        <v>89</v>
      </c>
      <c r="AD242">
        <v>3</v>
      </c>
      <c r="AE242">
        <v>27</v>
      </c>
      <c r="AF242">
        <v>5</v>
      </c>
      <c r="AG242">
        <v>8</v>
      </c>
    </row>
    <row r="243" spans="1:33" x14ac:dyDescent="0.3">
      <c r="A243" t="s">
        <v>103</v>
      </c>
      <c r="B243" t="s">
        <v>114</v>
      </c>
      <c r="C243" t="s">
        <v>35</v>
      </c>
      <c r="D243" s="1">
        <v>1067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53</v>
      </c>
      <c r="V243">
        <v>108</v>
      </c>
      <c r="W243">
        <v>386</v>
      </c>
      <c r="X243">
        <v>456</v>
      </c>
      <c r="Y243">
        <v>9</v>
      </c>
      <c r="Z243">
        <v>8</v>
      </c>
      <c r="AA243">
        <v>3</v>
      </c>
      <c r="AB243">
        <v>8</v>
      </c>
      <c r="AC243">
        <v>7</v>
      </c>
      <c r="AD243">
        <v>2</v>
      </c>
      <c r="AE243">
        <v>10</v>
      </c>
      <c r="AF243">
        <v>1</v>
      </c>
      <c r="AG243">
        <v>7</v>
      </c>
    </row>
    <row r="244" spans="1:33" x14ac:dyDescent="0.3">
      <c r="A244" t="s">
        <v>103</v>
      </c>
      <c r="B244" t="s">
        <v>114</v>
      </c>
      <c r="C244" t="s">
        <v>36</v>
      </c>
      <c r="D244">
        <v>298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3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70</v>
      </c>
      <c r="W244">
        <v>61</v>
      </c>
      <c r="X244">
        <v>0</v>
      </c>
      <c r="Y244">
        <v>21</v>
      </c>
      <c r="Z244">
        <v>4</v>
      </c>
      <c r="AA244">
        <v>7</v>
      </c>
      <c r="AB244">
        <v>23</v>
      </c>
      <c r="AC244">
        <v>82</v>
      </c>
      <c r="AD244">
        <v>1</v>
      </c>
      <c r="AE244">
        <v>17</v>
      </c>
      <c r="AF244">
        <v>4</v>
      </c>
      <c r="AG244">
        <v>1</v>
      </c>
    </row>
    <row r="245" spans="1:33" x14ac:dyDescent="0.3">
      <c r="A245" t="s">
        <v>103</v>
      </c>
      <c r="B245" t="s">
        <v>115</v>
      </c>
      <c r="C245" t="s">
        <v>32</v>
      </c>
      <c r="D245">
        <v>250</v>
      </c>
      <c r="E245">
        <v>0</v>
      </c>
      <c r="F245">
        <v>3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>
        <v>0</v>
      </c>
      <c r="R245">
        <v>0</v>
      </c>
      <c r="S245">
        <v>0</v>
      </c>
      <c r="T245">
        <v>0</v>
      </c>
      <c r="U245">
        <v>10</v>
      </c>
      <c r="V245">
        <v>60</v>
      </c>
      <c r="W245">
        <v>40</v>
      </c>
      <c r="X245">
        <v>0</v>
      </c>
      <c r="Y245">
        <v>47</v>
      </c>
      <c r="Z245">
        <v>3</v>
      </c>
      <c r="AA245">
        <v>0</v>
      </c>
      <c r="AB245">
        <v>7</v>
      </c>
      <c r="AC245">
        <v>74</v>
      </c>
      <c r="AD245">
        <v>1</v>
      </c>
      <c r="AE245">
        <v>0</v>
      </c>
      <c r="AF245">
        <v>1</v>
      </c>
      <c r="AG245">
        <v>0</v>
      </c>
    </row>
    <row r="246" spans="1:33" x14ac:dyDescent="0.3">
      <c r="A246" t="s">
        <v>103</v>
      </c>
      <c r="B246" t="s">
        <v>115</v>
      </c>
      <c r="C246" t="s">
        <v>35</v>
      </c>
      <c r="D246">
        <v>119</v>
      </c>
      <c r="E246">
        <v>0</v>
      </c>
      <c r="F246">
        <v>3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9</v>
      </c>
      <c r="V246">
        <v>41</v>
      </c>
      <c r="W246">
        <v>37</v>
      </c>
      <c r="X246">
        <v>0</v>
      </c>
      <c r="Y246">
        <v>19</v>
      </c>
      <c r="Z246">
        <v>1</v>
      </c>
      <c r="AA246">
        <v>0</v>
      </c>
      <c r="AB246">
        <v>1</v>
      </c>
      <c r="AC246">
        <v>5</v>
      </c>
      <c r="AD246">
        <v>1</v>
      </c>
      <c r="AE246">
        <v>0</v>
      </c>
      <c r="AF246">
        <v>1</v>
      </c>
      <c r="AG246">
        <v>0</v>
      </c>
    </row>
    <row r="247" spans="1:33" x14ac:dyDescent="0.3">
      <c r="A247" t="s">
        <v>103</v>
      </c>
      <c r="B247" t="s">
        <v>115</v>
      </c>
      <c r="C247" t="s">
        <v>36</v>
      </c>
      <c r="D247">
        <v>131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19</v>
      </c>
      <c r="W247">
        <v>3</v>
      </c>
      <c r="X247">
        <v>0</v>
      </c>
      <c r="Y247">
        <v>28</v>
      </c>
      <c r="Z247">
        <v>2</v>
      </c>
      <c r="AA247">
        <v>0</v>
      </c>
      <c r="AB247">
        <v>6</v>
      </c>
      <c r="AC247">
        <v>69</v>
      </c>
      <c r="AD247">
        <v>0</v>
      </c>
      <c r="AE247">
        <v>0</v>
      </c>
      <c r="AF247">
        <v>0</v>
      </c>
      <c r="AG247">
        <v>0</v>
      </c>
    </row>
    <row r="248" spans="1:33" x14ac:dyDescent="0.3">
      <c r="A248" t="s">
        <v>103</v>
      </c>
      <c r="B248" t="s">
        <v>116</v>
      </c>
      <c r="C248" t="s">
        <v>32</v>
      </c>
      <c r="D248" s="1">
        <v>1532</v>
      </c>
      <c r="E248">
        <v>0</v>
      </c>
      <c r="F248">
        <v>129</v>
      </c>
      <c r="G248">
        <v>1</v>
      </c>
      <c r="H248">
        <v>66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9</v>
      </c>
      <c r="O248">
        <v>3</v>
      </c>
      <c r="P248">
        <v>22</v>
      </c>
      <c r="Q248">
        <v>0</v>
      </c>
      <c r="R248">
        <v>0</v>
      </c>
      <c r="S248">
        <v>0</v>
      </c>
      <c r="T248">
        <v>0</v>
      </c>
      <c r="U248">
        <v>91</v>
      </c>
      <c r="V248">
        <v>66</v>
      </c>
      <c r="W248">
        <v>345</v>
      </c>
      <c r="X248">
        <v>0</v>
      </c>
      <c r="Y248">
        <v>133</v>
      </c>
      <c r="Z248">
        <v>133</v>
      </c>
      <c r="AA248">
        <v>99</v>
      </c>
      <c r="AB248">
        <v>45</v>
      </c>
      <c r="AC248">
        <v>282</v>
      </c>
      <c r="AD248">
        <v>72</v>
      </c>
      <c r="AE248">
        <v>0</v>
      </c>
      <c r="AF248">
        <v>27</v>
      </c>
      <c r="AG248">
        <v>9</v>
      </c>
    </row>
    <row r="249" spans="1:33" x14ac:dyDescent="0.3">
      <c r="A249" t="s">
        <v>103</v>
      </c>
      <c r="B249" t="s">
        <v>116</v>
      </c>
      <c r="C249" t="s">
        <v>35</v>
      </c>
      <c r="D249">
        <v>889</v>
      </c>
      <c r="E249">
        <v>0</v>
      </c>
      <c r="F249">
        <v>65</v>
      </c>
      <c r="G249">
        <v>0</v>
      </c>
      <c r="H249">
        <v>41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6</v>
      </c>
      <c r="O249">
        <v>2</v>
      </c>
      <c r="P249">
        <v>6</v>
      </c>
      <c r="Q249">
        <v>0</v>
      </c>
      <c r="R249">
        <v>0</v>
      </c>
      <c r="S249">
        <v>0</v>
      </c>
      <c r="T249">
        <v>0</v>
      </c>
      <c r="U249">
        <v>89</v>
      </c>
      <c r="V249">
        <v>57</v>
      </c>
      <c r="W249">
        <v>328</v>
      </c>
      <c r="X249">
        <v>0</v>
      </c>
      <c r="Y249">
        <v>47</v>
      </c>
      <c r="Z249">
        <v>120</v>
      </c>
      <c r="AA249">
        <v>25</v>
      </c>
      <c r="AB249">
        <v>15</v>
      </c>
      <c r="AC249">
        <v>18</v>
      </c>
      <c r="AD249">
        <v>43</v>
      </c>
      <c r="AE249">
        <v>0</v>
      </c>
      <c r="AF249">
        <v>19</v>
      </c>
      <c r="AG249">
        <v>8</v>
      </c>
    </row>
    <row r="250" spans="1:33" x14ac:dyDescent="0.3">
      <c r="A250" t="s">
        <v>103</v>
      </c>
      <c r="B250" t="s">
        <v>116</v>
      </c>
      <c r="C250" t="s">
        <v>36</v>
      </c>
      <c r="D250">
        <v>643</v>
      </c>
      <c r="E250">
        <v>0</v>
      </c>
      <c r="F250">
        <v>64</v>
      </c>
      <c r="G250">
        <v>1</v>
      </c>
      <c r="H250">
        <v>25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1</v>
      </c>
      <c r="P250">
        <v>16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9</v>
      </c>
      <c r="W250">
        <v>17</v>
      </c>
      <c r="X250">
        <v>0</v>
      </c>
      <c r="Y250">
        <v>86</v>
      </c>
      <c r="Z250">
        <v>13</v>
      </c>
      <c r="AA250">
        <v>74</v>
      </c>
      <c r="AB250">
        <v>30</v>
      </c>
      <c r="AC250">
        <v>264</v>
      </c>
      <c r="AD250">
        <v>29</v>
      </c>
      <c r="AE250">
        <v>0</v>
      </c>
      <c r="AF250">
        <v>8</v>
      </c>
      <c r="AG250">
        <v>1</v>
      </c>
    </row>
    <row r="251" spans="1:33" x14ac:dyDescent="0.3">
      <c r="A251" t="s">
        <v>103</v>
      </c>
      <c r="B251" t="s">
        <v>117</v>
      </c>
      <c r="C251" t="s">
        <v>32</v>
      </c>
      <c r="D251" s="1">
        <v>4355</v>
      </c>
      <c r="E251">
        <v>1</v>
      </c>
      <c r="F251">
        <v>73</v>
      </c>
      <c r="G251">
        <v>3</v>
      </c>
      <c r="H251">
        <v>242</v>
      </c>
      <c r="I251">
        <v>0</v>
      </c>
      <c r="J251">
        <v>2</v>
      </c>
      <c r="K251">
        <v>0</v>
      </c>
      <c r="L251">
        <v>11</v>
      </c>
      <c r="M251">
        <v>2</v>
      </c>
      <c r="N251">
        <v>24</v>
      </c>
      <c r="O251">
        <v>0</v>
      </c>
      <c r="P251">
        <v>9</v>
      </c>
      <c r="Q251">
        <v>0</v>
      </c>
      <c r="R251">
        <v>0</v>
      </c>
      <c r="S251">
        <v>0</v>
      </c>
      <c r="T251">
        <v>0</v>
      </c>
      <c r="U251">
        <v>350</v>
      </c>
      <c r="V251">
        <v>85</v>
      </c>
      <c r="W251" s="1">
        <v>1849</v>
      </c>
      <c r="X251">
        <v>0</v>
      </c>
      <c r="Y251">
        <v>222</v>
      </c>
      <c r="Z251">
        <v>277</v>
      </c>
      <c r="AA251">
        <v>450</v>
      </c>
      <c r="AB251">
        <v>199</v>
      </c>
      <c r="AC251">
        <v>369</v>
      </c>
      <c r="AD251">
        <v>123</v>
      </c>
      <c r="AE251">
        <v>0</v>
      </c>
      <c r="AF251">
        <v>42</v>
      </c>
      <c r="AG251">
        <v>22</v>
      </c>
    </row>
    <row r="252" spans="1:33" x14ac:dyDescent="0.3">
      <c r="A252" t="s">
        <v>103</v>
      </c>
      <c r="B252" t="s">
        <v>117</v>
      </c>
      <c r="C252" t="s">
        <v>35</v>
      </c>
      <c r="D252" s="1">
        <v>3117</v>
      </c>
      <c r="E252">
        <v>0</v>
      </c>
      <c r="F252">
        <v>38</v>
      </c>
      <c r="G252">
        <v>3</v>
      </c>
      <c r="H252">
        <v>161</v>
      </c>
      <c r="I252">
        <v>0</v>
      </c>
      <c r="J252">
        <v>2</v>
      </c>
      <c r="K252">
        <v>0</v>
      </c>
      <c r="L252">
        <v>11</v>
      </c>
      <c r="M252">
        <v>1</v>
      </c>
      <c r="N252">
        <v>17</v>
      </c>
      <c r="O252">
        <v>0</v>
      </c>
      <c r="P252">
        <v>3</v>
      </c>
      <c r="Q252">
        <v>0</v>
      </c>
      <c r="R252">
        <v>0</v>
      </c>
      <c r="S252">
        <v>0</v>
      </c>
      <c r="T252">
        <v>0</v>
      </c>
      <c r="U252">
        <v>334</v>
      </c>
      <c r="V252">
        <v>53</v>
      </c>
      <c r="W252" s="1">
        <v>1760</v>
      </c>
      <c r="X252">
        <v>0</v>
      </c>
      <c r="Y252">
        <v>90</v>
      </c>
      <c r="Z252">
        <v>162</v>
      </c>
      <c r="AA252">
        <v>175</v>
      </c>
      <c r="AB252">
        <v>97</v>
      </c>
      <c r="AC252">
        <v>67</v>
      </c>
      <c r="AD252">
        <v>95</v>
      </c>
      <c r="AE252">
        <v>0</v>
      </c>
      <c r="AF252">
        <v>28</v>
      </c>
      <c r="AG252">
        <v>20</v>
      </c>
    </row>
    <row r="253" spans="1:33" x14ac:dyDescent="0.3">
      <c r="A253" t="s">
        <v>103</v>
      </c>
      <c r="B253" t="s">
        <v>117</v>
      </c>
      <c r="C253" t="s">
        <v>36</v>
      </c>
      <c r="D253" s="1">
        <v>1238</v>
      </c>
      <c r="E253">
        <v>1</v>
      </c>
      <c r="F253">
        <v>35</v>
      </c>
      <c r="G253">
        <v>0</v>
      </c>
      <c r="H253">
        <v>81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7</v>
      </c>
      <c r="O253">
        <v>0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16</v>
      </c>
      <c r="V253">
        <v>32</v>
      </c>
      <c r="W253">
        <v>89</v>
      </c>
      <c r="X253">
        <v>0</v>
      </c>
      <c r="Y253">
        <v>132</v>
      </c>
      <c r="Z253">
        <v>115</v>
      </c>
      <c r="AA253">
        <v>275</v>
      </c>
      <c r="AB253">
        <v>102</v>
      </c>
      <c r="AC253">
        <v>302</v>
      </c>
      <c r="AD253">
        <v>28</v>
      </c>
      <c r="AE253">
        <v>0</v>
      </c>
      <c r="AF253">
        <v>14</v>
      </c>
      <c r="AG253">
        <v>2</v>
      </c>
    </row>
    <row r="254" spans="1:33" x14ac:dyDescent="0.3">
      <c r="A254" t="s">
        <v>103</v>
      </c>
      <c r="B254" t="s">
        <v>118</v>
      </c>
      <c r="C254" t="s">
        <v>32</v>
      </c>
      <c r="D254">
        <v>569</v>
      </c>
      <c r="E254">
        <v>0</v>
      </c>
      <c r="F254">
        <v>4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12</v>
      </c>
      <c r="Q254">
        <v>0</v>
      </c>
      <c r="R254">
        <v>0</v>
      </c>
      <c r="S254">
        <v>0</v>
      </c>
      <c r="T254">
        <v>0</v>
      </c>
      <c r="U254">
        <v>20</v>
      </c>
      <c r="V254">
        <v>10</v>
      </c>
      <c r="W254">
        <v>165</v>
      </c>
      <c r="X254">
        <v>1</v>
      </c>
      <c r="Y254">
        <v>99</v>
      </c>
      <c r="Z254">
        <v>10</v>
      </c>
      <c r="AA254">
        <v>20</v>
      </c>
      <c r="AB254">
        <v>37</v>
      </c>
      <c r="AC254">
        <v>161</v>
      </c>
      <c r="AD254">
        <v>13</v>
      </c>
      <c r="AE254">
        <v>0</v>
      </c>
      <c r="AF254">
        <v>7</v>
      </c>
      <c r="AG254">
        <v>8</v>
      </c>
    </row>
    <row r="255" spans="1:33" x14ac:dyDescent="0.3">
      <c r="A255" t="s">
        <v>103</v>
      </c>
      <c r="B255" t="s">
        <v>118</v>
      </c>
      <c r="C255" t="s">
        <v>35</v>
      </c>
      <c r="D255">
        <v>287</v>
      </c>
      <c r="E255">
        <v>0</v>
      </c>
      <c r="F255">
        <v>3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20</v>
      </c>
      <c r="V255">
        <v>5</v>
      </c>
      <c r="W255">
        <v>157</v>
      </c>
      <c r="X255">
        <v>1</v>
      </c>
      <c r="Y255">
        <v>42</v>
      </c>
      <c r="Z255">
        <v>6</v>
      </c>
      <c r="AA255">
        <v>5</v>
      </c>
      <c r="AB255">
        <v>12</v>
      </c>
      <c r="AC255">
        <v>18</v>
      </c>
      <c r="AD255">
        <v>8</v>
      </c>
      <c r="AE255">
        <v>0</v>
      </c>
      <c r="AF255">
        <v>4</v>
      </c>
      <c r="AG255">
        <v>3</v>
      </c>
    </row>
    <row r="256" spans="1:33" x14ac:dyDescent="0.3">
      <c r="A256" t="s">
        <v>103</v>
      </c>
      <c r="B256" t="s">
        <v>118</v>
      </c>
      <c r="C256" t="s">
        <v>36</v>
      </c>
      <c r="D256">
        <v>282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5</v>
      </c>
      <c r="W256">
        <v>8</v>
      </c>
      <c r="X256">
        <v>0</v>
      </c>
      <c r="Y256">
        <v>57</v>
      </c>
      <c r="Z256">
        <v>4</v>
      </c>
      <c r="AA256">
        <v>15</v>
      </c>
      <c r="AB256">
        <v>25</v>
      </c>
      <c r="AC256">
        <v>143</v>
      </c>
      <c r="AD256">
        <v>5</v>
      </c>
      <c r="AE256">
        <v>0</v>
      </c>
      <c r="AF256">
        <v>3</v>
      </c>
      <c r="AG256">
        <v>5</v>
      </c>
    </row>
    <row r="257" spans="1:33" x14ac:dyDescent="0.3">
      <c r="A257" t="s">
        <v>103</v>
      </c>
      <c r="B257" t="s">
        <v>119</v>
      </c>
      <c r="C257" t="s">
        <v>32</v>
      </c>
      <c r="D257">
        <v>156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3</v>
      </c>
      <c r="V257">
        <v>0</v>
      </c>
      <c r="W257">
        <v>62</v>
      </c>
      <c r="X257">
        <v>36</v>
      </c>
      <c r="Y257">
        <v>3</v>
      </c>
      <c r="Z257">
        <v>3</v>
      </c>
      <c r="AA257">
        <v>0</v>
      </c>
      <c r="AB257">
        <v>9</v>
      </c>
      <c r="AC257">
        <v>13</v>
      </c>
      <c r="AD257">
        <v>19</v>
      </c>
      <c r="AE257">
        <v>0</v>
      </c>
      <c r="AF257">
        <v>5</v>
      </c>
      <c r="AG257">
        <v>1</v>
      </c>
    </row>
    <row r="258" spans="1:33" x14ac:dyDescent="0.3">
      <c r="A258" t="s">
        <v>103</v>
      </c>
      <c r="B258" t="s">
        <v>119</v>
      </c>
      <c r="C258" t="s">
        <v>35</v>
      </c>
      <c r="D258">
        <v>126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3</v>
      </c>
      <c r="V258">
        <v>0</v>
      </c>
      <c r="W258">
        <v>62</v>
      </c>
      <c r="X258">
        <v>36</v>
      </c>
      <c r="Y258">
        <v>1</v>
      </c>
      <c r="Z258">
        <v>1</v>
      </c>
      <c r="AA258">
        <v>0</v>
      </c>
      <c r="AB258">
        <v>1</v>
      </c>
      <c r="AC258">
        <v>0</v>
      </c>
      <c r="AD258">
        <v>19</v>
      </c>
      <c r="AE258">
        <v>0</v>
      </c>
      <c r="AF258">
        <v>1</v>
      </c>
      <c r="AG258">
        <v>1</v>
      </c>
    </row>
    <row r="259" spans="1:33" x14ac:dyDescent="0.3">
      <c r="A259" t="s">
        <v>103</v>
      </c>
      <c r="B259" t="s">
        <v>119</v>
      </c>
      <c r="C259" t="s">
        <v>36</v>
      </c>
      <c r="D259">
        <v>30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2</v>
      </c>
      <c r="AA259">
        <v>0</v>
      </c>
      <c r="AB259">
        <v>8</v>
      </c>
      <c r="AC259">
        <v>13</v>
      </c>
      <c r="AD259">
        <v>0</v>
      </c>
      <c r="AE259">
        <v>0</v>
      </c>
      <c r="AF259">
        <v>4</v>
      </c>
      <c r="AG259">
        <v>0</v>
      </c>
    </row>
    <row r="260" spans="1:33" x14ac:dyDescent="0.3">
      <c r="A260" t="s">
        <v>103</v>
      </c>
      <c r="B260" t="s">
        <v>120</v>
      </c>
      <c r="C260" t="s">
        <v>32</v>
      </c>
      <c r="D260" s="1">
        <v>1763</v>
      </c>
      <c r="E260">
        <v>0</v>
      </c>
      <c r="F260">
        <v>3</v>
      </c>
      <c r="G260">
        <v>0</v>
      </c>
      <c r="H260">
        <v>1</v>
      </c>
      <c r="I260">
        <v>0</v>
      </c>
      <c r="J260">
        <v>3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13</v>
      </c>
      <c r="Q260">
        <v>0</v>
      </c>
      <c r="R260">
        <v>0</v>
      </c>
      <c r="S260">
        <v>0</v>
      </c>
      <c r="T260">
        <v>0</v>
      </c>
      <c r="U260">
        <v>60</v>
      </c>
      <c r="V260">
        <v>1</v>
      </c>
      <c r="W260">
        <v>539</v>
      </c>
      <c r="X260">
        <v>887</v>
      </c>
      <c r="Y260">
        <v>57</v>
      </c>
      <c r="Z260">
        <v>7</v>
      </c>
      <c r="AA260">
        <v>14</v>
      </c>
      <c r="AB260">
        <v>30</v>
      </c>
      <c r="AC260">
        <v>111</v>
      </c>
      <c r="AD260">
        <v>14</v>
      </c>
      <c r="AE260">
        <v>0</v>
      </c>
      <c r="AF260">
        <v>10</v>
      </c>
      <c r="AG260">
        <v>12</v>
      </c>
    </row>
    <row r="261" spans="1:33" x14ac:dyDescent="0.3">
      <c r="A261" t="s">
        <v>103</v>
      </c>
      <c r="B261" t="s">
        <v>120</v>
      </c>
      <c r="C261" t="s">
        <v>35</v>
      </c>
      <c r="D261" s="1">
        <v>1539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</v>
      </c>
      <c r="Q261">
        <v>0</v>
      </c>
      <c r="R261">
        <v>0</v>
      </c>
      <c r="S261">
        <v>0</v>
      </c>
      <c r="T261">
        <v>0</v>
      </c>
      <c r="U261">
        <v>59</v>
      </c>
      <c r="V261">
        <v>1</v>
      </c>
      <c r="W261">
        <v>526</v>
      </c>
      <c r="X261">
        <v>887</v>
      </c>
      <c r="Y261">
        <v>21</v>
      </c>
      <c r="Z261">
        <v>3</v>
      </c>
      <c r="AA261">
        <v>1</v>
      </c>
      <c r="AB261">
        <v>8</v>
      </c>
      <c r="AC261">
        <v>3</v>
      </c>
      <c r="AD261">
        <v>5</v>
      </c>
      <c r="AE261">
        <v>0</v>
      </c>
      <c r="AF261">
        <v>5</v>
      </c>
      <c r="AG261">
        <v>12</v>
      </c>
    </row>
    <row r="262" spans="1:33" x14ac:dyDescent="0.3">
      <c r="A262" t="s">
        <v>103</v>
      </c>
      <c r="B262" t="s">
        <v>120</v>
      </c>
      <c r="C262" t="s">
        <v>36</v>
      </c>
      <c r="D262">
        <v>224</v>
      </c>
      <c r="E262">
        <v>0</v>
      </c>
      <c r="F262">
        <v>2</v>
      </c>
      <c r="G262">
        <v>0</v>
      </c>
      <c r="H262">
        <v>1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6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13</v>
      </c>
      <c r="X262">
        <v>0</v>
      </c>
      <c r="Y262">
        <v>36</v>
      </c>
      <c r="Z262">
        <v>4</v>
      </c>
      <c r="AA262">
        <v>13</v>
      </c>
      <c r="AB262">
        <v>22</v>
      </c>
      <c r="AC262">
        <v>108</v>
      </c>
      <c r="AD262">
        <v>9</v>
      </c>
      <c r="AE262">
        <v>0</v>
      </c>
      <c r="AF262">
        <v>5</v>
      </c>
      <c r="AG262">
        <v>0</v>
      </c>
    </row>
    <row r="263" spans="1:33" x14ac:dyDescent="0.3">
      <c r="A263" t="s">
        <v>103</v>
      </c>
      <c r="B263" t="s">
        <v>121</v>
      </c>
      <c r="C263" t="s">
        <v>32</v>
      </c>
      <c r="D263">
        <v>893</v>
      </c>
      <c r="E263">
        <v>0</v>
      </c>
      <c r="F263">
        <v>4</v>
      </c>
      <c r="G263">
        <v>0</v>
      </c>
      <c r="H263">
        <v>17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0</v>
      </c>
      <c r="P263">
        <v>3</v>
      </c>
      <c r="Q263">
        <v>2</v>
      </c>
      <c r="R263">
        <v>0</v>
      </c>
      <c r="S263">
        <v>0</v>
      </c>
      <c r="T263">
        <v>0</v>
      </c>
      <c r="U263">
        <v>69</v>
      </c>
      <c r="V263">
        <v>34</v>
      </c>
      <c r="W263">
        <v>363</v>
      </c>
      <c r="X263">
        <v>0</v>
      </c>
      <c r="Y263">
        <v>87</v>
      </c>
      <c r="Z263">
        <v>38</v>
      </c>
      <c r="AA263">
        <v>60</v>
      </c>
      <c r="AB263">
        <v>41</v>
      </c>
      <c r="AC263">
        <v>143</v>
      </c>
      <c r="AD263">
        <v>12</v>
      </c>
      <c r="AE263">
        <v>0</v>
      </c>
      <c r="AF263">
        <v>12</v>
      </c>
      <c r="AG263">
        <v>6</v>
      </c>
    </row>
    <row r="264" spans="1:33" x14ac:dyDescent="0.3">
      <c r="A264" t="s">
        <v>103</v>
      </c>
      <c r="B264" t="s">
        <v>121</v>
      </c>
      <c r="C264" t="s">
        <v>35</v>
      </c>
      <c r="D264">
        <v>574</v>
      </c>
      <c r="E264">
        <v>0</v>
      </c>
      <c r="F264">
        <v>4</v>
      </c>
      <c r="G264">
        <v>0</v>
      </c>
      <c r="H264">
        <v>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1</v>
      </c>
      <c r="Q264">
        <v>2</v>
      </c>
      <c r="R264">
        <v>0</v>
      </c>
      <c r="S264">
        <v>0</v>
      </c>
      <c r="T264">
        <v>0</v>
      </c>
      <c r="U264">
        <v>68</v>
      </c>
      <c r="V264">
        <v>22</v>
      </c>
      <c r="W264">
        <v>349</v>
      </c>
      <c r="X264">
        <v>0</v>
      </c>
      <c r="Y264">
        <v>31</v>
      </c>
      <c r="Z264">
        <v>25</v>
      </c>
      <c r="AA264">
        <v>14</v>
      </c>
      <c r="AB264">
        <v>15</v>
      </c>
      <c r="AC264">
        <v>12</v>
      </c>
      <c r="AD264">
        <v>9</v>
      </c>
      <c r="AE264">
        <v>0</v>
      </c>
      <c r="AF264">
        <v>7</v>
      </c>
      <c r="AG264">
        <v>4</v>
      </c>
    </row>
    <row r="265" spans="1:33" x14ac:dyDescent="0.3">
      <c r="A265" t="s">
        <v>103</v>
      </c>
      <c r="B265" t="s">
        <v>121</v>
      </c>
      <c r="C265" t="s">
        <v>36</v>
      </c>
      <c r="D265">
        <v>319</v>
      </c>
      <c r="E265">
        <v>0</v>
      </c>
      <c r="F265">
        <v>0</v>
      </c>
      <c r="G265">
        <v>0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12</v>
      </c>
      <c r="W265">
        <v>14</v>
      </c>
      <c r="X265">
        <v>0</v>
      </c>
      <c r="Y265">
        <v>56</v>
      </c>
      <c r="Z265">
        <v>13</v>
      </c>
      <c r="AA265">
        <v>46</v>
      </c>
      <c r="AB265">
        <v>26</v>
      </c>
      <c r="AC265">
        <v>131</v>
      </c>
      <c r="AD265">
        <v>3</v>
      </c>
      <c r="AE265">
        <v>0</v>
      </c>
      <c r="AF265">
        <v>5</v>
      </c>
      <c r="AG265">
        <v>2</v>
      </c>
    </row>
    <row r="266" spans="1:33" x14ac:dyDescent="0.3">
      <c r="A266" t="s">
        <v>103</v>
      </c>
      <c r="B266" t="s">
        <v>122</v>
      </c>
      <c r="C266" t="s">
        <v>32</v>
      </c>
      <c r="D266" s="1">
        <v>1394</v>
      </c>
      <c r="E266">
        <v>0</v>
      </c>
      <c r="F266">
        <v>5</v>
      </c>
      <c r="G266">
        <v>1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5</v>
      </c>
      <c r="Q266">
        <v>0</v>
      </c>
      <c r="R266">
        <v>0</v>
      </c>
      <c r="S266">
        <v>0</v>
      </c>
      <c r="T266">
        <v>0</v>
      </c>
      <c r="U266">
        <v>69</v>
      </c>
      <c r="V266">
        <v>231</v>
      </c>
      <c r="W266">
        <v>853</v>
      </c>
      <c r="X266">
        <v>0</v>
      </c>
      <c r="Y266">
        <v>37</v>
      </c>
      <c r="Z266">
        <v>19</v>
      </c>
      <c r="AA266">
        <v>22</v>
      </c>
      <c r="AB266">
        <v>25</v>
      </c>
      <c r="AC266">
        <v>103</v>
      </c>
      <c r="AD266">
        <v>10</v>
      </c>
      <c r="AE266">
        <v>0</v>
      </c>
      <c r="AF266">
        <v>2</v>
      </c>
      <c r="AG266">
        <v>8</v>
      </c>
    </row>
    <row r="267" spans="1:33" x14ac:dyDescent="0.3">
      <c r="A267" t="s">
        <v>103</v>
      </c>
      <c r="B267" t="s">
        <v>122</v>
      </c>
      <c r="C267" t="s">
        <v>35</v>
      </c>
      <c r="D267">
        <v>716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51</v>
      </c>
      <c r="V267">
        <v>111</v>
      </c>
      <c r="W267">
        <v>488</v>
      </c>
      <c r="X267">
        <v>0</v>
      </c>
      <c r="Y267">
        <v>13</v>
      </c>
      <c r="Z267">
        <v>9</v>
      </c>
      <c r="AA267">
        <v>5</v>
      </c>
      <c r="AB267">
        <v>10</v>
      </c>
      <c r="AC267">
        <v>13</v>
      </c>
      <c r="AD267">
        <v>6</v>
      </c>
      <c r="AE267">
        <v>0</v>
      </c>
      <c r="AF267">
        <v>2</v>
      </c>
      <c r="AG267">
        <v>5</v>
      </c>
    </row>
    <row r="268" spans="1:33" x14ac:dyDescent="0.3">
      <c r="A268" t="s">
        <v>103</v>
      </c>
      <c r="B268" t="s">
        <v>122</v>
      </c>
      <c r="C268" t="s">
        <v>36</v>
      </c>
      <c r="D268">
        <v>678</v>
      </c>
      <c r="E268">
        <v>0</v>
      </c>
      <c r="F268">
        <v>5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</v>
      </c>
      <c r="Q268">
        <v>0</v>
      </c>
      <c r="R268">
        <v>0</v>
      </c>
      <c r="S268">
        <v>0</v>
      </c>
      <c r="T268">
        <v>0</v>
      </c>
      <c r="U268">
        <v>18</v>
      </c>
      <c r="V268">
        <v>120</v>
      </c>
      <c r="W268">
        <v>365</v>
      </c>
      <c r="X268">
        <v>0</v>
      </c>
      <c r="Y268">
        <v>24</v>
      </c>
      <c r="Z268">
        <v>10</v>
      </c>
      <c r="AA268">
        <v>17</v>
      </c>
      <c r="AB268">
        <v>15</v>
      </c>
      <c r="AC268">
        <v>90</v>
      </c>
      <c r="AD268">
        <v>4</v>
      </c>
      <c r="AE268">
        <v>0</v>
      </c>
      <c r="AF268">
        <v>0</v>
      </c>
      <c r="AG268">
        <v>3</v>
      </c>
    </row>
    <row r="269" spans="1:33" x14ac:dyDescent="0.3">
      <c r="A269" t="s">
        <v>103</v>
      </c>
      <c r="B269" t="s">
        <v>123</v>
      </c>
      <c r="C269" t="s">
        <v>32</v>
      </c>
      <c r="D269">
        <v>310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4</v>
      </c>
      <c r="V269">
        <v>95</v>
      </c>
      <c r="W269">
        <v>53</v>
      </c>
      <c r="X269">
        <v>0</v>
      </c>
      <c r="Y269">
        <v>48</v>
      </c>
      <c r="Z269">
        <v>4</v>
      </c>
      <c r="AA269">
        <v>1</v>
      </c>
      <c r="AB269">
        <v>11</v>
      </c>
      <c r="AC269">
        <v>78</v>
      </c>
      <c r="AD269">
        <v>7</v>
      </c>
      <c r="AE269">
        <v>0</v>
      </c>
      <c r="AF269">
        <v>1</v>
      </c>
      <c r="AG269">
        <v>1</v>
      </c>
    </row>
    <row r="270" spans="1:33" x14ac:dyDescent="0.3">
      <c r="A270" t="s">
        <v>103</v>
      </c>
      <c r="B270" t="s">
        <v>123</v>
      </c>
      <c r="C270" t="s">
        <v>35</v>
      </c>
      <c r="D270">
        <v>142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4</v>
      </c>
      <c r="V270">
        <v>57</v>
      </c>
      <c r="W270">
        <v>45</v>
      </c>
      <c r="X270">
        <v>0</v>
      </c>
      <c r="Y270">
        <v>19</v>
      </c>
      <c r="Z270">
        <v>2</v>
      </c>
      <c r="AA270">
        <v>0</v>
      </c>
      <c r="AB270">
        <v>4</v>
      </c>
      <c r="AC270">
        <v>6</v>
      </c>
      <c r="AD270">
        <v>2</v>
      </c>
      <c r="AE270">
        <v>0</v>
      </c>
      <c r="AF270">
        <v>1</v>
      </c>
      <c r="AG270">
        <v>0</v>
      </c>
    </row>
    <row r="271" spans="1:33" x14ac:dyDescent="0.3">
      <c r="A271" t="s">
        <v>103</v>
      </c>
      <c r="B271" t="s">
        <v>123</v>
      </c>
      <c r="C271" t="s">
        <v>36</v>
      </c>
      <c r="D271">
        <v>168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38</v>
      </c>
      <c r="W271">
        <v>8</v>
      </c>
      <c r="X271">
        <v>0</v>
      </c>
      <c r="Y271">
        <v>29</v>
      </c>
      <c r="Z271">
        <v>2</v>
      </c>
      <c r="AA271">
        <v>1</v>
      </c>
      <c r="AB271">
        <v>7</v>
      </c>
      <c r="AC271">
        <v>72</v>
      </c>
      <c r="AD271">
        <v>5</v>
      </c>
      <c r="AE271">
        <v>0</v>
      </c>
      <c r="AF271">
        <v>0</v>
      </c>
      <c r="AG271">
        <v>1</v>
      </c>
    </row>
    <row r="272" spans="1:33" x14ac:dyDescent="0.3">
      <c r="A272" t="s">
        <v>103</v>
      </c>
      <c r="B272" t="s">
        <v>124</v>
      </c>
      <c r="C272" t="s">
        <v>32</v>
      </c>
      <c r="D272" s="1">
        <v>5996</v>
      </c>
      <c r="E272">
        <v>0</v>
      </c>
      <c r="F272">
        <v>139</v>
      </c>
      <c r="G272">
        <v>8</v>
      </c>
      <c r="H272">
        <v>157</v>
      </c>
      <c r="I272">
        <v>0</v>
      </c>
      <c r="J272">
        <v>6</v>
      </c>
      <c r="K272">
        <v>1</v>
      </c>
      <c r="L272">
        <v>15</v>
      </c>
      <c r="M272">
        <v>3</v>
      </c>
      <c r="N272">
        <v>27</v>
      </c>
      <c r="O272">
        <v>1</v>
      </c>
      <c r="P272">
        <v>21</v>
      </c>
      <c r="Q272">
        <v>0</v>
      </c>
      <c r="R272">
        <v>0</v>
      </c>
      <c r="S272">
        <v>0</v>
      </c>
      <c r="T272">
        <v>55</v>
      </c>
      <c r="U272">
        <v>377</v>
      </c>
      <c r="V272">
        <v>9</v>
      </c>
      <c r="W272" s="1">
        <v>2496</v>
      </c>
      <c r="X272">
        <v>0</v>
      </c>
      <c r="Y272">
        <v>204</v>
      </c>
      <c r="Z272">
        <v>103</v>
      </c>
      <c r="AA272">
        <v>216</v>
      </c>
      <c r="AB272">
        <v>272</v>
      </c>
      <c r="AC272">
        <v>588</v>
      </c>
      <c r="AD272">
        <v>639</v>
      </c>
      <c r="AE272">
        <v>0</v>
      </c>
      <c r="AF272">
        <v>33</v>
      </c>
      <c r="AG272">
        <v>626</v>
      </c>
    </row>
    <row r="273" spans="1:33" x14ac:dyDescent="0.3">
      <c r="A273" t="s">
        <v>103</v>
      </c>
      <c r="B273" t="s">
        <v>124</v>
      </c>
      <c r="C273" t="s">
        <v>35</v>
      </c>
      <c r="D273" s="1">
        <v>4174</v>
      </c>
      <c r="E273">
        <v>0</v>
      </c>
      <c r="F273">
        <v>91</v>
      </c>
      <c r="G273">
        <v>5</v>
      </c>
      <c r="H273">
        <v>107</v>
      </c>
      <c r="I273">
        <v>0</v>
      </c>
      <c r="J273">
        <v>6</v>
      </c>
      <c r="K273">
        <v>1</v>
      </c>
      <c r="L273">
        <v>15</v>
      </c>
      <c r="M273">
        <v>1</v>
      </c>
      <c r="N273">
        <v>15</v>
      </c>
      <c r="O273">
        <v>0</v>
      </c>
      <c r="P273">
        <v>7</v>
      </c>
      <c r="Q273">
        <v>0</v>
      </c>
      <c r="R273">
        <v>0</v>
      </c>
      <c r="S273">
        <v>0</v>
      </c>
      <c r="T273">
        <v>0</v>
      </c>
      <c r="U273">
        <v>362</v>
      </c>
      <c r="V273">
        <v>6</v>
      </c>
      <c r="W273" s="1">
        <v>2284</v>
      </c>
      <c r="X273">
        <v>0</v>
      </c>
      <c r="Y273">
        <v>85</v>
      </c>
      <c r="Z273">
        <v>42</v>
      </c>
      <c r="AA273">
        <v>48</v>
      </c>
      <c r="AB273">
        <v>133</v>
      </c>
      <c r="AC273">
        <v>111</v>
      </c>
      <c r="AD273">
        <v>453</v>
      </c>
      <c r="AE273">
        <v>0</v>
      </c>
      <c r="AF273">
        <v>21</v>
      </c>
      <c r="AG273">
        <v>381</v>
      </c>
    </row>
    <row r="274" spans="1:33" x14ac:dyDescent="0.3">
      <c r="A274" t="s">
        <v>103</v>
      </c>
      <c r="B274" t="s">
        <v>124</v>
      </c>
      <c r="C274" t="s">
        <v>36</v>
      </c>
      <c r="D274" s="1">
        <v>1822</v>
      </c>
      <c r="E274">
        <v>0</v>
      </c>
      <c r="F274">
        <v>48</v>
      </c>
      <c r="G274">
        <v>3</v>
      </c>
      <c r="H274">
        <v>50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12</v>
      </c>
      <c r="O274">
        <v>1</v>
      </c>
      <c r="P274">
        <v>14</v>
      </c>
      <c r="Q274">
        <v>0</v>
      </c>
      <c r="R274">
        <v>0</v>
      </c>
      <c r="S274">
        <v>0</v>
      </c>
      <c r="T274">
        <v>55</v>
      </c>
      <c r="U274">
        <v>15</v>
      </c>
      <c r="V274">
        <v>3</v>
      </c>
      <c r="W274">
        <v>212</v>
      </c>
      <c r="X274">
        <v>0</v>
      </c>
      <c r="Y274">
        <v>119</v>
      </c>
      <c r="Z274">
        <v>61</v>
      </c>
      <c r="AA274">
        <v>168</v>
      </c>
      <c r="AB274">
        <v>139</v>
      </c>
      <c r="AC274">
        <v>477</v>
      </c>
      <c r="AD274">
        <v>186</v>
      </c>
      <c r="AE274">
        <v>0</v>
      </c>
      <c r="AF274">
        <v>12</v>
      </c>
      <c r="AG274">
        <v>245</v>
      </c>
    </row>
    <row r="275" spans="1:33" x14ac:dyDescent="0.3">
      <c r="A275" t="s">
        <v>103</v>
      </c>
      <c r="B275" t="s">
        <v>125</v>
      </c>
      <c r="C275" t="s">
        <v>32</v>
      </c>
      <c r="D275" s="1">
        <v>4529</v>
      </c>
      <c r="E275">
        <v>0</v>
      </c>
      <c r="F275">
        <v>171</v>
      </c>
      <c r="G275">
        <v>0</v>
      </c>
      <c r="H275">
        <v>46</v>
      </c>
      <c r="I275">
        <v>0</v>
      </c>
      <c r="J275">
        <v>4</v>
      </c>
      <c r="K275">
        <v>0</v>
      </c>
      <c r="L275">
        <v>13</v>
      </c>
      <c r="M275">
        <v>0</v>
      </c>
      <c r="N275">
        <v>24</v>
      </c>
      <c r="O275">
        <v>14</v>
      </c>
      <c r="P275">
        <v>39</v>
      </c>
      <c r="Q275">
        <v>82</v>
      </c>
      <c r="R275">
        <v>1</v>
      </c>
      <c r="S275">
        <v>0</v>
      </c>
      <c r="T275">
        <v>4</v>
      </c>
      <c r="U275">
        <v>171</v>
      </c>
      <c r="V275">
        <v>416</v>
      </c>
      <c r="W275" s="1">
        <v>1224</v>
      </c>
      <c r="X275">
        <v>893</v>
      </c>
      <c r="Y275">
        <v>196</v>
      </c>
      <c r="Z275">
        <v>67</v>
      </c>
      <c r="AA275">
        <v>145</v>
      </c>
      <c r="AB275">
        <v>258</v>
      </c>
      <c r="AC275">
        <v>517</v>
      </c>
      <c r="AD275">
        <v>142</v>
      </c>
      <c r="AE275">
        <v>1</v>
      </c>
      <c r="AF275">
        <v>33</v>
      </c>
      <c r="AG275">
        <v>68</v>
      </c>
    </row>
    <row r="276" spans="1:33" x14ac:dyDescent="0.3">
      <c r="A276" t="s">
        <v>103</v>
      </c>
      <c r="B276" t="s">
        <v>125</v>
      </c>
      <c r="C276" t="s">
        <v>35</v>
      </c>
      <c r="D276" s="1">
        <v>3195</v>
      </c>
      <c r="E276">
        <v>0</v>
      </c>
      <c r="F276">
        <v>98</v>
      </c>
      <c r="G276">
        <v>0</v>
      </c>
      <c r="H276">
        <v>23</v>
      </c>
      <c r="I276">
        <v>0</v>
      </c>
      <c r="J276">
        <v>0</v>
      </c>
      <c r="K276">
        <v>0</v>
      </c>
      <c r="L276">
        <v>13</v>
      </c>
      <c r="M276">
        <v>0</v>
      </c>
      <c r="N276">
        <v>15</v>
      </c>
      <c r="O276">
        <v>10</v>
      </c>
      <c r="P276">
        <v>14</v>
      </c>
      <c r="Q276">
        <v>65</v>
      </c>
      <c r="R276">
        <v>1</v>
      </c>
      <c r="S276">
        <v>0</v>
      </c>
      <c r="T276">
        <v>0</v>
      </c>
      <c r="U276">
        <v>168</v>
      </c>
      <c r="V276">
        <v>227</v>
      </c>
      <c r="W276" s="1">
        <v>1188</v>
      </c>
      <c r="X276">
        <v>893</v>
      </c>
      <c r="Y276">
        <v>78</v>
      </c>
      <c r="Z276">
        <v>28</v>
      </c>
      <c r="AA276">
        <v>33</v>
      </c>
      <c r="AB276">
        <v>109</v>
      </c>
      <c r="AC276">
        <v>64</v>
      </c>
      <c r="AD276">
        <v>100</v>
      </c>
      <c r="AE276">
        <v>0</v>
      </c>
      <c r="AF276">
        <v>18</v>
      </c>
      <c r="AG276">
        <v>50</v>
      </c>
    </row>
    <row r="277" spans="1:33" x14ac:dyDescent="0.3">
      <c r="A277" t="s">
        <v>103</v>
      </c>
      <c r="B277" t="s">
        <v>125</v>
      </c>
      <c r="C277" t="s">
        <v>36</v>
      </c>
      <c r="D277" s="1">
        <v>1334</v>
      </c>
      <c r="E277">
        <v>0</v>
      </c>
      <c r="F277">
        <v>73</v>
      </c>
      <c r="G277">
        <v>0</v>
      </c>
      <c r="H277">
        <v>23</v>
      </c>
      <c r="I277">
        <v>0</v>
      </c>
      <c r="J277">
        <v>4</v>
      </c>
      <c r="K277">
        <v>0</v>
      </c>
      <c r="L277">
        <v>0</v>
      </c>
      <c r="M277">
        <v>0</v>
      </c>
      <c r="N277">
        <v>9</v>
      </c>
      <c r="O277">
        <v>4</v>
      </c>
      <c r="P277">
        <v>25</v>
      </c>
      <c r="Q277">
        <v>17</v>
      </c>
      <c r="R277">
        <v>0</v>
      </c>
      <c r="S277">
        <v>0</v>
      </c>
      <c r="T277">
        <v>4</v>
      </c>
      <c r="U277">
        <v>3</v>
      </c>
      <c r="V277">
        <v>189</v>
      </c>
      <c r="W277">
        <v>36</v>
      </c>
      <c r="X277">
        <v>0</v>
      </c>
      <c r="Y277">
        <v>118</v>
      </c>
      <c r="Z277">
        <v>39</v>
      </c>
      <c r="AA277">
        <v>112</v>
      </c>
      <c r="AB277">
        <v>149</v>
      </c>
      <c r="AC277">
        <v>453</v>
      </c>
      <c r="AD277">
        <v>42</v>
      </c>
      <c r="AE277">
        <v>1</v>
      </c>
      <c r="AF277">
        <v>15</v>
      </c>
      <c r="AG277">
        <v>18</v>
      </c>
    </row>
    <row r="278" spans="1:33" x14ac:dyDescent="0.3">
      <c r="A278" t="s">
        <v>103</v>
      </c>
      <c r="B278" t="s">
        <v>126</v>
      </c>
      <c r="C278" t="s">
        <v>32</v>
      </c>
      <c r="D278" s="1">
        <v>3417</v>
      </c>
      <c r="E278">
        <v>0</v>
      </c>
      <c r="F278">
        <v>351</v>
      </c>
      <c r="G278">
        <v>0</v>
      </c>
      <c r="H278">
        <v>680</v>
      </c>
      <c r="I278">
        <v>0</v>
      </c>
      <c r="J278">
        <v>3</v>
      </c>
      <c r="K278">
        <v>1</v>
      </c>
      <c r="L278">
        <v>32</v>
      </c>
      <c r="M278">
        <v>4</v>
      </c>
      <c r="N278">
        <v>59</v>
      </c>
      <c r="O278">
        <v>18</v>
      </c>
      <c r="P278">
        <v>33</v>
      </c>
      <c r="Q278">
        <v>18</v>
      </c>
      <c r="R278">
        <v>1</v>
      </c>
      <c r="S278">
        <v>0</v>
      </c>
      <c r="T278">
        <v>8</v>
      </c>
      <c r="U278">
        <v>78</v>
      </c>
      <c r="V278">
        <v>110</v>
      </c>
      <c r="W278">
        <v>494</v>
      </c>
      <c r="X278">
        <v>292</v>
      </c>
      <c r="Y278">
        <v>200</v>
      </c>
      <c r="Z278">
        <v>57</v>
      </c>
      <c r="AA278">
        <v>98</v>
      </c>
      <c r="AB278">
        <v>226</v>
      </c>
      <c r="AC278">
        <v>524</v>
      </c>
      <c r="AD278">
        <v>69</v>
      </c>
      <c r="AE278">
        <v>3</v>
      </c>
      <c r="AF278">
        <v>38</v>
      </c>
      <c r="AG278">
        <v>20</v>
      </c>
    </row>
    <row r="279" spans="1:33" x14ac:dyDescent="0.3">
      <c r="A279" t="s">
        <v>103</v>
      </c>
      <c r="B279" t="s">
        <v>126</v>
      </c>
      <c r="C279" t="s">
        <v>35</v>
      </c>
      <c r="D279" s="1">
        <v>1961</v>
      </c>
      <c r="E279">
        <v>0</v>
      </c>
      <c r="F279">
        <v>168</v>
      </c>
      <c r="G279">
        <v>0</v>
      </c>
      <c r="H279">
        <v>437</v>
      </c>
      <c r="I279">
        <v>0</v>
      </c>
      <c r="J279">
        <v>3</v>
      </c>
      <c r="K279">
        <v>1</v>
      </c>
      <c r="L279">
        <v>29</v>
      </c>
      <c r="M279">
        <v>3</v>
      </c>
      <c r="N279">
        <v>29</v>
      </c>
      <c r="O279">
        <v>12</v>
      </c>
      <c r="P279">
        <v>11</v>
      </c>
      <c r="Q279">
        <v>15</v>
      </c>
      <c r="R279">
        <v>1</v>
      </c>
      <c r="S279">
        <v>0</v>
      </c>
      <c r="T279">
        <v>6</v>
      </c>
      <c r="U279">
        <v>68</v>
      </c>
      <c r="V279">
        <v>49</v>
      </c>
      <c r="W279">
        <v>455</v>
      </c>
      <c r="X279">
        <v>292</v>
      </c>
      <c r="Y279">
        <v>80</v>
      </c>
      <c r="Z279">
        <v>18</v>
      </c>
      <c r="AA279">
        <v>32</v>
      </c>
      <c r="AB279">
        <v>95</v>
      </c>
      <c r="AC279">
        <v>82</v>
      </c>
      <c r="AD279">
        <v>43</v>
      </c>
      <c r="AE279">
        <v>0</v>
      </c>
      <c r="AF279">
        <v>20</v>
      </c>
      <c r="AG279">
        <v>12</v>
      </c>
    </row>
    <row r="280" spans="1:33" x14ac:dyDescent="0.3">
      <c r="A280" t="s">
        <v>103</v>
      </c>
      <c r="B280" t="s">
        <v>126</v>
      </c>
      <c r="C280" t="s">
        <v>36</v>
      </c>
      <c r="D280" s="1">
        <v>1456</v>
      </c>
      <c r="E280">
        <v>0</v>
      </c>
      <c r="F280">
        <v>183</v>
      </c>
      <c r="G280">
        <v>0</v>
      </c>
      <c r="H280">
        <v>243</v>
      </c>
      <c r="I280">
        <v>0</v>
      </c>
      <c r="J280">
        <v>0</v>
      </c>
      <c r="K280">
        <v>0</v>
      </c>
      <c r="L280">
        <v>3</v>
      </c>
      <c r="M280">
        <v>1</v>
      </c>
      <c r="N280">
        <v>30</v>
      </c>
      <c r="O280">
        <v>6</v>
      </c>
      <c r="P280">
        <v>22</v>
      </c>
      <c r="Q280">
        <v>3</v>
      </c>
      <c r="R280">
        <v>0</v>
      </c>
      <c r="S280">
        <v>0</v>
      </c>
      <c r="T280">
        <v>2</v>
      </c>
      <c r="U280">
        <v>10</v>
      </c>
      <c r="V280">
        <v>61</v>
      </c>
      <c r="W280">
        <v>39</v>
      </c>
      <c r="X280">
        <v>0</v>
      </c>
      <c r="Y280">
        <v>120</v>
      </c>
      <c r="Z280">
        <v>39</v>
      </c>
      <c r="AA280">
        <v>66</v>
      </c>
      <c r="AB280">
        <v>131</v>
      </c>
      <c r="AC280">
        <v>442</v>
      </c>
      <c r="AD280">
        <v>26</v>
      </c>
      <c r="AE280">
        <v>3</v>
      </c>
      <c r="AF280">
        <v>18</v>
      </c>
      <c r="AG280">
        <v>8</v>
      </c>
    </row>
    <row r="281" spans="1:33" x14ac:dyDescent="0.3">
      <c r="A281" t="s">
        <v>127</v>
      </c>
      <c r="B281" t="s">
        <v>32</v>
      </c>
      <c r="C281" t="s">
        <v>32</v>
      </c>
      <c r="D281" s="1">
        <v>28421</v>
      </c>
      <c r="E281">
        <v>0</v>
      </c>
      <c r="F281" s="1">
        <v>6468</v>
      </c>
      <c r="G281">
        <v>38</v>
      </c>
      <c r="H281" s="1">
        <v>2714</v>
      </c>
      <c r="I281">
        <v>0</v>
      </c>
      <c r="J281">
        <v>44</v>
      </c>
      <c r="K281">
        <v>0</v>
      </c>
      <c r="L281">
        <v>45</v>
      </c>
      <c r="M281">
        <v>19</v>
      </c>
      <c r="N281">
        <v>833</v>
      </c>
      <c r="O281">
        <v>35</v>
      </c>
      <c r="P281">
        <v>350</v>
      </c>
      <c r="Q281">
        <v>168</v>
      </c>
      <c r="R281">
        <v>0</v>
      </c>
      <c r="S281">
        <v>0</v>
      </c>
      <c r="T281">
        <v>23</v>
      </c>
      <c r="U281">
        <v>790</v>
      </c>
      <c r="V281">
        <v>23</v>
      </c>
      <c r="W281" s="1">
        <v>4601</v>
      </c>
      <c r="X281">
        <v>0</v>
      </c>
      <c r="Y281" s="1">
        <v>2299</v>
      </c>
      <c r="Z281">
        <v>661</v>
      </c>
      <c r="AA281" s="1">
        <v>1424</v>
      </c>
      <c r="AB281" s="1">
        <v>1643</v>
      </c>
      <c r="AC281" s="1">
        <v>3407</v>
      </c>
      <c r="AD281" s="1">
        <v>1858</v>
      </c>
      <c r="AE281">
        <v>7</v>
      </c>
      <c r="AF281">
        <v>738</v>
      </c>
      <c r="AG281">
        <v>233</v>
      </c>
    </row>
    <row r="282" spans="1:33" x14ac:dyDescent="0.3">
      <c r="A282" t="s">
        <v>127</v>
      </c>
      <c r="B282" t="s">
        <v>32</v>
      </c>
      <c r="C282" t="s">
        <v>35</v>
      </c>
      <c r="D282" s="1">
        <f>D285+D288+D291+D294+D297</f>
        <v>15924</v>
      </c>
      <c r="E282" s="1">
        <f t="shared" ref="E282:AG282" si="8">E285+E288+E291+E294+E297</f>
        <v>0</v>
      </c>
      <c r="F282" s="1">
        <f t="shared" si="8"/>
        <v>3439</v>
      </c>
      <c r="G282" s="1">
        <f t="shared" si="8"/>
        <v>32</v>
      </c>
      <c r="H282" s="1">
        <f t="shared" si="8"/>
        <v>1491</v>
      </c>
      <c r="I282" s="1">
        <f t="shared" si="8"/>
        <v>0</v>
      </c>
      <c r="J282" s="1">
        <f t="shared" si="8"/>
        <v>23</v>
      </c>
      <c r="K282" s="1">
        <f t="shared" si="8"/>
        <v>0</v>
      </c>
      <c r="L282" s="1">
        <f t="shared" si="8"/>
        <v>39</v>
      </c>
      <c r="M282" s="1">
        <f t="shared" si="8"/>
        <v>14</v>
      </c>
      <c r="N282" s="1">
        <f t="shared" si="8"/>
        <v>420</v>
      </c>
      <c r="O282" s="1">
        <f t="shared" si="8"/>
        <v>27</v>
      </c>
      <c r="P282" s="1">
        <f t="shared" si="8"/>
        <v>104</v>
      </c>
      <c r="Q282" s="1">
        <f t="shared" si="8"/>
        <v>131</v>
      </c>
      <c r="R282" s="1">
        <f t="shared" si="8"/>
        <v>0</v>
      </c>
      <c r="S282" s="1">
        <f t="shared" si="8"/>
        <v>0</v>
      </c>
      <c r="T282" s="1">
        <f t="shared" si="8"/>
        <v>12</v>
      </c>
      <c r="U282" s="1">
        <f t="shared" si="8"/>
        <v>751</v>
      </c>
      <c r="V282" s="1">
        <f t="shared" si="8"/>
        <v>15</v>
      </c>
      <c r="W282" s="1">
        <f t="shared" si="8"/>
        <v>4385</v>
      </c>
      <c r="X282" s="1">
        <f t="shared" si="8"/>
        <v>0</v>
      </c>
      <c r="Y282" s="1">
        <f t="shared" si="8"/>
        <v>965</v>
      </c>
      <c r="Z282" s="1">
        <f t="shared" si="8"/>
        <v>293</v>
      </c>
      <c r="AA282" s="1">
        <f t="shared" si="8"/>
        <v>562</v>
      </c>
      <c r="AB282" s="1">
        <f t="shared" si="8"/>
        <v>693</v>
      </c>
      <c r="AC282" s="1">
        <f t="shared" si="8"/>
        <v>637</v>
      </c>
      <c r="AD282" s="1">
        <f t="shared" si="8"/>
        <v>1319</v>
      </c>
      <c r="AE282" s="1">
        <f t="shared" si="8"/>
        <v>0</v>
      </c>
      <c r="AF282" s="1">
        <f t="shared" si="8"/>
        <v>399</v>
      </c>
      <c r="AG282" s="1">
        <f t="shared" si="8"/>
        <v>173</v>
      </c>
    </row>
    <row r="283" spans="1:33" x14ac:dyDescent="0.3">
      <c r="A283" t="s">
        <v>127</v>
      </c>
      <c r="B283" t="s">
        <v>32</v>
      </c>
      <c r="C283" t="s">
        <v>36</v>
      </c>
      <c r="D283" s="1">
        <f>D286+D289+D292+D295+D298</f>
        <v>12497</v>
      </c>
      <c r="E283" s="1">
        <f t="shared" ref="E283:AG283" si="9">E286+E289+E292+E295+E298</f>
        <v>0</v>
      </c>
      <c r="F283" s="1">
        <f t="shared" si="9"/>
        <v>3029</v>
      </c>
      <c r="G283" s="1">
        <f t="shared" si="9"/>
        <v>6</v>
      </c>
      <c r="H283" s="1">
        <f t="shared" si="9"/>
        <v>1223</v>
      </c>
      <c r="I283" s="1">
        <f t="shared" si="9"/>
        <v>0</v>
      </c>
      <c r="J283" s="1">
        <f t="shared" si="9"/>
        <v>21</v>
      </c>
      <c r="K283" s="1">
        <f t="shared" si="9"/>
        <v>0</v>
      </c>
      <c r="L283" s="1">
        <f t="shared" si="9"/>
        <v>6</v>
      </c>
      <c r="M283" s="1">
        <f t="shared" si="9"/>
        <v>5</v>
      </c>
      <c r="N283" s="1">
        <f t="shared" si="9"/>
        <v>413</v>
      </c>
      <c r="O283" s="1">
        <f t="shared" si="9"/>
        <v>8</v>
      </c>
      <c r="P283" s="1">
        <f t="shared" si="9"/>
        <v>246</v>
      </c>
      <c r="Q283" s="1">
        <f t="shared" si="9"/>
        <v>37</v>
      </c>
      <c r="R283" s="1">
        <f t="shared" si="9"/>
        <v>0</v>
      </c>
      <c r="S283" s="1">
        <f t="shared" si="9"/>
        <v>0</v>
      </c>
      <c r="T283" s="1">
        <f t="shared" si="9"/>
        <v>11</v>
      </c>
      <c r="U283" s="1">
        <f t="shared" si="9"/>
        <v>39</v>
      </c>
      <c r="V283" s="1">
        <f t="shared" si="9"/>
        <v>8</v>
      </c>
      <c r="W283" s="1">
        <f t="shared" si="9"/>
        <v>216</v>
      </c>
      <c r="X283" s="1">
        <f t="shared" si="9"/>
        <v>0</v>
      </c>
      <c r="Y283" s="1">
        <f t="shared" si="9"/>
        <v>1334</v>
      </c>
      <c r="Z283" s="1">
        <f t="shared" si="9"/>
        <v>368</v>
      </c>
      <c r="AA283" s="1">
        <f t="shared" si="9"/>
        <v>862</v>
      </c>
      <c r="AB283" s="1">
        <f t="shared" si="9"/>
        <v>950</v>
      </c>
      <c r="AC283" s="1">
        <f t="shared" si="9"/>
        <v>2770</v>
      </c>
      <c r="AD283" s="1">
        <f t="shared" si="9"/>
        <v>539</v>
      </c>
      <c r="AE283" s="1">
        <f t="shared" si="9"/>
        <v>7</v>
      </c>
      <c r="AF283" s="1">
        <f t="shared" si="9"/>
        <v>339</v>
      </c>
      <c r="AG283" s="1">
        <f t="shared" si="9"/>
        <v>60</v>
      </c>
    </row>
    <row r="284" spans="1:33" x14ac:dyDescent="0.3">
      <c r="A284" t="s">
        <v>127</v>
      </c>
      <c r="B284" t="s">
        <v>128</v>
      </c>
      <c r="C284" t="s">
        <v>32</v>
      </c>
      <c r="D284" s="1">
        <v>16146</v>
      </c>
      <c r="E284">
        <v>0</v>
      </c>
      <c r="F284" s="1">
        <v>3018</v>
      </c>
      <c r="G284">
        <v>7</v>
      </c>
      <c r="H284" s="1">
        <v>1071</v>
      </c>
      <c r="I284">
        <v>0</v>
      </c>
      <c r="J284">
        <v>10</v>
      </c>
      <c r="K284">
        <v>0</v>
      </c>
      <c r="L284">
        <v>29</v>
      </c>
      <c r="M284">
        <v>7</v>
      </c>
      <c r="N284">
        <v>459</v>
      </c>
      <c r="O284">
        <v>4</v>
      </c>
      <c r="P284">
        <v>74</v>
      </c>
      <c r="Q284">
        <v>13</v>
      </c>
      <c r="R284">
        <v>0</v>
      </c>
      <c r="S284">
        <v>0</v>
      </c>
      <c r="T284">
        <v>5</v>
      </c>
      <c r="U284">
        <v>576</v>
      </c>
      <c r="V284">
        <v>3</v>
      </c>
      <c r="W284" s="1">
        <v>3563</v>
      </c>
      <c r="X284">
        <v>0</v>
      </c>
      <c r="Y284" s="1">
        <v>1608</v>
      </c>
      <c r="Z284">
        <v>378</v>
      </c>
      <c r="AA284">
        <v>928</v>
      </c>
      <c r="AB284">
        <v>946</v>
      </c>
      <c r="AC284" s="1">
        <v>1655</v>
      </c>
      <c r="AD284" s="1">
        <v>1104</v>
      </c>
      <c r="AE284">
        <v>2</v>
      </c>
      <c r="AF284">
        <v>543</v>
      </c>
      <c r="AG284">
        <v>143</v>
      </c>
    </row>
    <row r="285" spans="1:33" x14ac:dyDescent="0.3">
      <c r="A285" t="s">
        <v>127</v>
      </c>
      <c r="B285" t="s">
        <v>128</v>
      </c>
      <c r="C285" t="s">
        <v>35</v>
      </c>
      <c r="D285" s="1">
        <v>9696</v>
      </c>
      <c r="E285">
        <v>0</v>
      </c>
      <c r="F285" s="1">
        <v>1596</v>
      </c>
      <c r="G285">
        <v>7</v>
      </c>
      <c r="H285">
        <v>592</v>
      </c>
      <c r="I285">
        <v>0</v>
      </c>
      <c r="J285">
        <v>4</v>
      </c>
      <c r="K285">
        <v>0</v>
      </c>
      <c r="L285">
        <v>26</v>
      </c>
      <c r="M285">
        <v>6</v>
      </c>
      <c r="N285">
        <v>205</v>
      </c>
      <c r="O285">
        <v>2</v>
      </c>
      <c r="P285">
        <v>19</v>
      </c>
      <c r="Q285">
        <v>8</v>
      </c>
      <c r="R285">
        <v>0</v>
      </c>
      <c r="S285">
        <v>0</v>
      </c>
      <c r="T285">
        <v>0</v>
      </c>
      <c r="U285">
        <v>557</v>
      </c>
      <c r="V285">
        <v>2</v>
      </c>
      <c r="W285" s="1">
        <v>3415</v>
      </c>
      <c r="X285">
        <v>0</v>
      </c>
      <c r="Y285">
        <v>710</v>
      </c>
      <c r="Z285">
        <v>175</v>
      </c>
      <c r="AA285">
        <v>380</v>
      </c>
      <c r="AB285">
        <v>428</v>
      </c>
      <c r="AC285">
        <v>418</v>
      </c>
      <c r="AD285">
        <v>748</v>
      </c>
      <c r="AE285">
        <v>0</v>
      </c>
      <c r="AF285">
        <v>288</v>
      </c>
      <c r="AG285">
        <v>110</v>
      </c>
    </row>
    <row r="286" spans="1:33" x14ac:dyDescent="0.3">
      <c r="A286" t="s">
        <v>127</v>
      </c>
      <c r="B286" t="s">
        <v>128</v>
      </c>
      <c r="C286" t="s">
        <v>36</v>
      </c>
      <c r="D286" s="1">
        <v>6450</v>
      </c>
      <c r="E286">
        <v>0</v>
      </c>
      <c r="F286" s="1">
        <v>1422</v>
      </c>
      <c r="G286">
        <v>0</v>
      </c>
      <c r="H286">
        <v>479</v>
      </c>
      <c r="I286">
        <v>0</v>
      </c>
      <c r="J286">
        <v>6</v>
      </c>
      <c r="K286">
        <v>0</v>
      </c>
      <c r="L286">
        <v>3</v>
      </c>
      <c r="M286">
        <v>1</v>
      </c>
      <c r="N286">
        <v>254</v>
      </c>
      <c r="O286">
        <v>2</v>
      </c>
      <c r="P286">
        <v>55</v>
      </c>
      <c r="Q286">
        <v>5</v>
      </c>
      <c r="R286">
        <v>0</v>
      </c>
      <c r="S286">
        <v>0</v>
      </c>
      <c r="T286">
        <v>5</v>
      </c>
      <c r="U286">
        <v>19</v>
      </c>
      <c r="V286">
        <v>1</v>
      </c>
      <c r="W286">
        <v>148</v>
      </c>
      <c r="X286">
        <v>0</v>
      </c>
      <c r="Y286">
        <v>898</v>
      </c>
      <c r="Z286">
        <v>203</v>
      </c>
      <c r="AA286">
        <v>548</v>
      </c>
      <c r="AB286">
        <v>518</v>
      </c>
      <c r="AC286" s="1">
        <v>1237</v>
      </c>
      <c r="AD286">
        <v>356</v>
      </c>
      <c r="AE286">
        <v>2</v>
      </c>
      <c r="AF286">
        <v>255</v>
      </c>
      <c r="AG286">
        <v>33</v>
      </c>
    </row>
    <row r="287" spans="1:33" x14ac:dyDescent="0.3">
      <c r="A287" t="s">
        <v>127</v>
      </c>
      <c r="B287" t="s">
        <v>129</v>
      </c>
      <c r="C287" t="s">
        <v>32</v>
      </c>
      <c r="D287" s="1">
        <v>1749</v>
      </c>
      <c r="E287">
        <v>0</v>
      </c>
      <c r="F287">
        <v>338</v>
      </c>
      <c r="G287">
        <v>2</v>
      </c>
      <c r="H287">
        <v>398</v>
      </c>
      <c r="I287">
        <v>0</v>
      </c>
      <c r="J287">
        <v>12</v>
      </c>
      <c r="K287">
        <v>0</v>
      </c>
      <c r="L287">
        <v>1</v>
      </c>
      <c r="M287">
        <v>1</v>
      </c>
      <c r="N287">
        <v>33</v>
      </c>
      <c r="O287">
        <v>4</v>
      </c>
      <c r="P287">
        <v>96</v>
      </c>
      <c r="Q287">
        <v>4</v>
      </c>
      <c r="R287">
        <v>0</v>
      </c>
      <c r="S287">
        <v>0</v>
      </c>
      <c r="T287">
        <v>0</v>
      </c>
      <c r="U287">
        <v>18</v>
      </c>
      <c r="V287">
        <v>2</v>
      </c>
      <c r="W287">
        <v>140</v>
      </c>
      <c r="X287">
        <v>0</v>
      </c>
      <c r="Y287">
        <v>126</v>
      </c>
      <c r="Z287">
        <v>27</v>
      </c>
      <c r="AA287">
        <v>38</v>
      </c>
      <c r="AB287">
        <v>104</v>
      </c>
      <c r="AC287">
        <v>348</v>
      </c>
      <c r="AD287">
        <v>21</v>
      </c>
      <c r="AE287">
        <v>0</v>
      </c>
      <c r="AF287">
        <v>26</v>
      </c>
      <c r="AG287">
        <v>10</v>
      </c>
    </row>
    <row r="288" spans="1:33" x14ac:dyDescent="0.3">
      <c r="A288" t="s">
        <v>127</v>
      </c>
      <c r="B288" t="s">
        <v>129</v>
      </c>
      <c r="C288" t="s">
        <v>35</v>
      </c>
      <c r="D288">
        <v>727</v>
      </c>
      <c r="E288">
        <v>0</v>
      </c>
      <c r="F288">
        <v>144</v>
      </c>
      <c r="G288">
        <v>2</v>
      </c>
      <c r="H288">
        <v>200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18</v>
      </c>
      <c r="O288">
        <v>3</v>
      </c>
      <c r="P288">
        <v>27</v>
      </c>
      <c r="Q288">
        <v>4</v>
      </c>
      <c r="R288">
        <v>0</v>
      </c>
      <c r="S288">
        <v>0</v>
      </c>
      <c r="T288">
        <v>0</v>
      </c>
      <c r="U288">
        <v>17</v>
      </c>
      <c r="V288">
        <v>0</v>
      </c>
      <c r="W288">
        <v>136</v>
      </c>
      <c r="X288">
        <v>0</v>
      </c>
      <c r="Y288">
        <v>44</v>
      </c>
      <c r="Z288">
        <v>7</v>
      </c>
      <c r="AA288">
        <v>19</v>
      </c>
      <c r="AB288">
        <v>26</v>
      </c>
      <c r="AC288">
        <v>41</v>
      </c>
      <c r="AD288">
        <v>16</v>
      </c>
      <c r="AE288">
        <v>0</v>
      </c>
      <c r="AF288">
        <v>17</v>
      </c>
      <c r="AG288">
        <v>4</v>
      </c>
    </row>
    <row r="289" spans="1:33" x14ac:dyDescent="0.3">
      <c r="A289" t="s">
        <v>127</v>
      </c>
      <c r="B289" t="s">
        <v>129</v>
      </c>
      <c r="C289" t="s">
        <v>36</v>
      </c>
      <c r="D289" s="1">
        <v>1022</v>
      </c>
      <c r="E289">
        <v>0</v>
      </c>
      <c r="F289">
        <v>194</v>
      </c>
      <c r="G289">
        <v>0</v>
      </c>
      <c r="H289">
        <v>198</v>
      </c>
      <c r="I289">
        <v>0</v>
      </c>
      <c r="J289">
        <v>10</v>
      </c>
      <c r="K289">
        <v>0</v>
      </c>
      <c r="L289">
        <v>1</v>
      </c>
      <c r="M289">
        <v>1</v>
      </c>
      <c r="N289">
        <v>15</v>
      </c>
      <c r="O289">
        <v>1</v>
      </c>
      <c r="P289">
        <v>69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2</v>
      </c>
      <c r="W289">
        <v>4</v>
      </c>
      <c r="X289">
        <v>0</v>
      </c>
      <c r="Y289">
        <v>82</v>
      </c>
      <c r="Z289">
        <v>20</v>
      </c>
      <c r="AA289">
        <v>19</v>
      </c>
      <c r="AB289">
        <v>78</v>
      </c>
      <c r="AC289">
        <v>307</v>
      </c>
      <c r="AD289">
        <v>5</v>
      </c>
      <c r="AE289">
        <v>0</v>
      </c>
      <c r="AF289">
        <v>9</v>
      </c>
      <c r="AG289">
        <v>6</v>
      </c>
    </row>
    <row r="290" spans="1:33" x14ac:dyDescent="0.3">
      <c r="A290" t="s">
        <v>127</v>
      </c>
      <c r="B290" t="s">
        <v>130</v>
      </c>
      <c r="C290" t="s">
        <v>32</v>
      </c>
      <c r="D290" s="1">
        <v>1930</v>
      </c>
      <c r="E290">
        <v>0</v>
      </c>
      <c r="F290">
        <v>726</v>
      </c>
      <c r="G290">
        <v>0</v>
      </c>
      <c r="H290">
        <v>413</v>
      </c>
      <c r="I290">
        <v>0</v>
      </c>
      <c r="J290">
        <v>4</v>
      </c>
      <c r="K290">
        <v>0</v>
      </c>
      <c r="L290">
        <v>3</v>
      </c>
      <c r="M290">
        <v>2</v>
      </c>
      <c r="N290">
        <v>94</v>
      </c>
      <c r="O290">
        <v>12</v>
      </c>
      <c r="P290">
        <v>26</v>
      </c>
      <c r="Q290">
        <v>27</v>
      </c>
      <c r="R290">
        <v>0</v>
      </c>
      <c r="S290">
        <v>0</v>
      </c>
      <c r="T290">
        <v>2</v>
      </c>
      <c r="U290">
        <v>34</v>
      </c>
      <c r="V290">
        <v>1</v>
      </c>
      <c r="W290">
        <v>96</v>
      </c>
      <c r="X290">
        <v>0</v>
      </c>
      <c r="Y290">
        <v>47</v>
      </c>
      <c r="Z290">
        <v>35</v>
      </c>
      <c r="AA290">
        <v>54</v>
      </c>
      <c r="AB290">
        <v>95</v>
      </c>
      <c r="AC290">
        <v>152</v>
      </c>
      <c r="AD290">
        <v>78</v>
      </c>
      <c r="AE290">
        <v>2</v>
      </c>
      <c r="AF290">
        <v>21</v>
      </c>
      <c r="AG290">
        <v>6</v>
      </c>
    </row>
    <row r="291" spans="1:33" x14ac:dyDescent="0.3">
      <c r="A291" t="s">
        <v>127</v>
      </c>
      <c r="B291" t="s">
        <v>130</v>
      </c>
      <c r="C291" t="s">
        <v>35</v>
      </c>
      <c r="D291" s="1">
        <v>1065</v>
      </c>
      <c r="E291">
        <v>0</v>
      </c>
      <c r="F291">
        <v>375</v>
      </c>
      <c r="G291">
        <v>0</v>
      </c>
      <c r="H291">
        <v>271</v>
      </c>
      <c r="I291">
        <v>0</v>
      </c>
      <c r="J291">
        <v>2</v>
      </c>
      <c r="K291">
        <v>0</v>
      </c>
      <c r="L291">
        <v>3</v>
      </c>
      <c r="M291">
        <v>1</v>
      </c>
      <c r="N291">
        <v>48</v>
      </c>
      <c r="O291">
        <v>9</v>
      </c>
      <c r="P291">
        <v>8</v>
      </c>
      <c r="Q291">
        <v>23</v>
      </c>
      <c r="R291">
        <v>0</v>
      </c>
      <c r="S291">
        <v>0</v>
      </c>
      <c r="T291">
        <v>1</v>
      </c>
      <c r="U291">
        <v>32</v>
      </c>
      <c r="V291">
        <v>1</v>
      </c>
      <c r="W291">
        <v>95</v>
      </c>
      <c r="X291">
        <v>0</v>
      </c>
      <c r="Y291">
        <v>20</v>
      </c>
      <c r="Z291">
        <v>22</v>
      </c>
      <c r="AA291">
        <v>19</v>
      </c>
      <c r="AB291">
        <v>38</v>
      </c>
      <c r="AC291">
        <v>24</v>
      </c>
      <c r="AD291">
        <v>55</v>
      </c>
      <c r="AE291">
        <v>0</v>
      </c>
      <c r="AF291">
        <v>15</v>
      </c>
      <c r="AG291">
        <v>3</v>
      </c>
    </row>
    <row r="292" spans="1:33" x14ac:dyDescent="0.3">
      <c r="A292" t="s">
        <v>127</v>
      </c>
      <c r="B292" t="s">
        <v>130</v>
      </c>
      <c r="C292" t="s">
        <v>36</v>
      </c>
      <c r="D292">
        <v>865</v>
      </c>
      <c r="E292">
        <v>0</v>
      </c>
      <c r="F292">
        <v>351</v>
      </c>
      <c r="G292">
        <v>0</v>
      </c>
      <c r="H292">
        <v>142</v>
      </c>
      <c r="I292">
        <v>0</v>
      </c>
      <c r="J292">
        <v>2</v>
      </c>
      <c r="K292">
        <v>0</v>
      </c>
      <c r="L292">
        <v>0</v>
      </c>
      <c r="M292">
        <v>1</v>
      </c>
      <c r="N292">
        <v>46</v>
      </c>
      <c r="O292">
        <v>3</v>
      </c>
      <c r="P292">
        <v>18</v>
      </c>
      <c r="Q292">
        <v>4</v>
      </c>
      <c r="R292">
        <v>0</v>
      </c>
      <c r="S292">
        <v>0</v>
      </c>
      <c r="T292">
        <v>1</v>
      </c>
      <c r="U292">
        <v>2</v>
      </c>
      <c r="V292">
        <v>0</v>
      </c>
      <c r="W292">
        <v>1</v>
      </c>
      <c r="X292">
        <v>0</v>
      </c>
      <c r="Y292">
        <v>27</v>
      </c>
      <c r="Z292">
        <v>13</v>
      </c>
      <c r="AA292">
        <v>35</v>
      </c>
      <c r="AB292">
        <v>57</v>
      </c>
      <c r="AC292">
        <v>128</v>
      </c>
      <c r="AD292">
        <v>23</v>
      </c>
      <c r="AE292">
        <v>2</v>
      </c>
      <c r="AF292">
        <v>6</v>
      </c>
      <c r="AG292">
        <v>3</v>
      </c>
    </row>
    <row r="293" spans="1:33" x14ac:dyDescent="0.3">
      <c r="A293" t="s">
        <v>127</v>
      </c>
      <c r="B293" t="s">
        <v>131</v>
      </c>
      <c r="C293" t="s">
        <v>32</v>
      </c>
      <c r="D293" s="1">
        <v>5680</v>
      </c>
      <c r="E293">
        <v>0</v>
      </c>
      <c r="F293" s="1">
        <v>1654</v>
      </c>
      <c r="G293">
        <v>29</v>
      </c>
      <c r="H293">
        <v>545</v>
      </c>
      <c r="I293">
        <v>0</v>
      </c>
      <c r="J293">
        <v>10</v>
      </c>
      <c r="K293">
        <v>0</v>
      </c>
      <c r="L293">
        <v>5</v>
      </c>
      <c r="M293">
        <v>8</v>
      </c>
      <c r="N293">
        <v>146</v>
      </c>
      <c r="O293">
        <v>12</v>
      </c>
      <c r="P293">
        <v>65</v>
      </c>
      <c r="Q293">
        <v>124</v>
      </c>
      <c r="R293">
        <v>0</v>
      </c>
      <c r="S293">
        <v>0</v>
      </c>
      <c r="T293">
        <v>7</v>
      </c>
      <c r="U293">
        <v>83</v>
      </c>
      <c r="V293">
        <v>16</v>
      </c>
      <c r="W293">
        <v>463</v>
      </c>
      <c r="X293">
        <v>0</v>
      </c>
      <c r="Y293">
        <v>354</v>
      </c>
      <c r="Z293">
        <v>152</v>
      </c>
      <c r="AA293">
        <v>335</v>
      </c>
      <c r="AB293">
        <v>333</v>
      </c>
      <c r="AC293">
        <v>832</v>
      </c>
      <c r="AD293">
        <v>369</v>
      </c>
      <c r="AE293">
        <v>2</v>
      </c>
      <c r="AF293">
        <v>94</v>
      </c>
      <c r="AG293">
        <v>42</v>
      </c>
    </row>
    <row r="294" spans="1:33" x14ac:dyDescent="0.3">
      <c r="A294" t="s">
        <v>127</v>
      </c>
      <c r="B294" t="s">
        <v>131</v>
      </c>
      <c r="C294" t="s">
        <v>35</v>
      </c>
      <c r="D294" s="1">
        <v>2907</v>
      </c>
      <c r="E294">
        <v>0</v>
      </c>
      <c r="F294">
        <v>964</v>
      </c>
      <c r="G294">
        <v>23</v>
      </c>
      <c r="H294">
        <v>282</v>
      </c>
      <c r="I294">
        <v>0</v>
      </c>
      <c r="J294">
        <v>8</v>
      </c>
      <c r="K294">
        <v>0</v>
      </c>
      <c r="L294">
        <v>3</v>
      </c>
      <c r="M294">
        <v>6</v>
      </c>
      <c r="N294">
        <v>92</v>
      </c>
      <c r="O294">
        <v>10</v>
      </c>
      <c r="P294">
        <v>19</v>
      </c>
      <c r="Q294">
        <v>96</v>
      </c>
      <c r="R294">
        <v>0</v>
      </c>
      <c r="S294">
        <v>0</v>
      </c>
      <c r="T294">
        <v>6</v>
      </c>
      <c r="U294">
        <v>74</v>
      </c>
      <c r="V294">
        <v>11</v>
      </c>
      <c r="W294">
        <v>413</v>
      </c>
      <c r="X294">
        <v>0</v>
      </c>
      <c r="Y294">
        <v>127</v>
      </c>
      <c r="Z294">
        <v>63</v>
      </c>
      <c r="AA294">
        <v>123</v>
      </c>
      <c r="AB294">
        <v>136</v>
      </c>
      <c r="AC294">
        <v>107</v>
      </c>
      <c r="AD294">
        <v>265</v>
      </c>
      <c r="AE294">
        <v>0</v>
      </c>
      <c r="AF294">
        <v>44</v>
      </c>
      <c r="AG294">
        <v>35</v>
      </c>
    </row>
    <row r="295" spans="1:33" x14ac:dyDescent="0.3">
      <c r="A295" t="s">
        <v>127</v>
      </c>
      <c r="B295" t="s">
        <v>131</v>
      </c>
      <c r="C295" t="s">
        <v>36</v>
      </c>
      <c r="D295" s="1">
        <v>2773</v>
      </c>
      <c r="E295">
        <v>0</v>
      </c>
      <c r="F295">
        <v>690</v>
      </c>
      <c r="G295">
        <v>6</v>
      </c>
      <c r="H295">
        <v>263</v>
      </c>
      <c r="I295">
        <v>0</v>
      </c>
      <c r="J295">
        <v>2</v>
      </c>
      <c r="K295">
        <v>0</v>
      </c>
      <c r="L295">
        <v>2</v>
      </c>
      <c r="M295">
        <v>2</v>
      </c>
      <c r="N295">
        <v>54</v>
      </c>
      <c r="O295">
        <v>2</v>
      </c>
      <c r="P295">
        <v>46</v>
      </c>
      <c r="Q295">
        <v>28</v>
      </c>
      <c r="R295">
        <v>0</v>
      </c>
      <c r="S295">
        <v>0</v>
      </c>
      <c r="T295">
        <v>1</v>
      </c>
      <c r="U295">
        <v>9</v>
      </c>
      <c r="V295">
        <v>5</v>
      </c>
      <c r="W295">
        <v>50</v>
      </c>
      <c r="X295">
        <v>0</v>
      </c>
      <c r="Y295">
        <v>227</v>
      </c>
      <c r="Z295">
        <v>89</v>
      </c>
      <c r="AA295">
        <v>212</v>
      </c>
      <c r="AB295">
        <v>197</v>
      </c>
      <c r="AC295">
        <v>725</v>
      </c>
      <c r="AD295">
        <v>104</v>
      </c>
      <c r="AE295">
        <v>2</v>
      </c>
      <c r="AF295">
        <v>50</v>
      </c>
      <c r="AG295">
        <v>7</v>
      </c>
    </row>
    <row r="296" spans="1:33" x14ac:dyDescent="0.3">
      <c r="A296" t="s">
        <v>127</v>
      </c>
      <c r="B296" t="s">
        <v>132</v>
      </c>
      <c r="C296" t="s">
        <v>32</v>
      </c>
      <c r="D296" s="1">
        <v>2916</v>
      </c>
      <c r="E296">
        <v>0</v>
      </c>
      <c r="F296">
        <v>732</v>
      </c>
      <c r="G296">
        <v>0</v>
      </c>
      <c r="H296">
        <v>287</v>
      </c>
      <c r="I296">
        <v>0</v>
      </c>
      <c r="J296">
        <v>8</v>
      </c>
      <c r="K296">
        <v>0</v>
      </c>
      <c r="L296">
        <v>7</v>
      </c>
      <c r="M296">
        <v>1</v>
      </c>
      <c r="N296">
        <v>101</v>
      </c>
      <c r="O296">
        <v>3</v>
      </c>
      <c r="P296">
        <v>89</v>
      </c>
      <c r="Q296">
        <v>0</v>
      </c>
      <c r="R296">
        <v>0</v>
      </c>
      <c r="S296">
        <v>0</v>
      </c>
      <c r="T296">
        <v>9</v>
      </c>
      <c r="U296">
        <v>79</v>
      </c>
      <c r="V296">
        <v>1</v>
      </c>
      <c r="W296">
        <v>339</v>
      </c>
      <c r="X296">
        <v>0</v>
      </c>
      <c r="Y296">
        <v>164</v>
      </c>
      <c r="Z296">
        <v>69</v>
      </c>
      <c r="AA296">
        <v>69</v>
      </c>
      <c r="AB296">
        <v>165</v>
      </c>
      <c r="AC296">
        <v>420</v>
      </c>
      <c r="AD296">
        <v>286</v>
      </c>
      <c r="AE296">
        <v>1</v>
      </c>
      <c r="AF296">
        <v>54</v>
      </c>
      <c r="AG296">
        <v>32</v>
      </c>
    </row>
    <row r="297" spans="1:33" x14ac:dyDescent="0.3">
      <c r="A297" t="s">
        <v>127</v>
      </c>
      <c r="B297" t="s">
        <v>132</v>
      </c>
      <c r="C297" t="s">
        <v>35</v>
      </c>
      <c r="D297" s="1">
        <v>1529</v>
      </c>
      <c r="E297">
        <v>0</v>
      </c>
      <c r="F297">
        <v>360</v>
      </c>
      <c r="G297">
        <v>0</v>
      </c>
      <c r="H297">
        <v>146</v>
      </c>
      <c r="I297">
        <v>0</v>
      </c>
      <c r="J297">
        <v>7</v>
      </c>
      <c r="K297">
        <v>0</v>
      </c>
      <c r="L297">
        <v>7</v>
      </c>
      <c r="M297">
        <v>1</v>
      </c>
      <c r="N297">
        <v>57</v>
      </c>
      <c r="O297">
        <v>3</v>
      </c>
      <c r="P297">
        <v>31</v>
      </c>
      <c r="Q297">
        <v>0</v>
      </c>
      <c r="R297">
        <v>0</v>
      </c>
      <c r="S297">
        <v>0</v>
      </c>
      <c r="T297">
        <v>5</v>
      </c>
      <c r="U297">
        <v>71</v>
      </c>
      <c r="V297">
        <v>1</v>
      </c>
      <c r="W297">
        <v>326</v>
      </c>
      <c r="X297">
        <v>0</v>
      </c>
      <c r="Y297">
        <v>64</v>
      </c>
      <c r="Z297">
        <v>26</v>
      </c>
      <c r="AA297">
        <v>21</v>
      </c>
      <c r="AB297">
        <v>65</v>
      </c>
      <c r="AC297">
        <v>47</v>
      </c>
      <c r="AD297">
        <v>235</v>
      </c>
      <c r="AE297">
        <v>0</v>
      </c>
      <c r="AF297">
        <v>35</v>
      </c>
      <c r="AG297">
        <v>21</v>
      </c>
    </row>
    <row r="298" spans="1:33" x14ac:dyDescent="0.3">
      <c r="A298" t="s">
        <v>127</v>
      </c>
      <c r="B298" t="s">
        <v>132</v>
      </c>
      <c r="C298" t="s">
        <v>36</v>
      </c>
      <c r="D298" s="1">
        <v>1387</v>
      </c>
      <c r="E298">
        <v>0</v>
      </c>
      <c r="F298">
        <v>372</v>
      </c>
      <c r="G298">
        <v>0</v>
      </c>
      <c r="H298">
        <v>141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44</v>
      </c>
      <c r="O298">
        <v>0</v>
      </c>
      <c r="P298">
        <v>58</v>
      </c>
      <c r="Q298">
        <v>0</v>
      </c>
      <c r="R298">
        <v>0</v>
      </c>
      <c r="S298">
        <v>0</v>
      </c>
      <c r="T298">
        <v>4</v>
      </c>
      <c r="U298">
        <v>8</v>
      </c>
      <c r="V298">
        <v>0</v>
      </c>
      <c r="W298">
        <v>13</v>
      </c>
      <c r="X298">
        <v>0</v>
      </c>
      <c r="Y298">
        <v>100</v>
      </c>
      <c r="Z298">
        <v>43</v>
      </c>
      <c r="AA298">
        <v>48</v>
      </c>
      <c r="AB298">
        <v>100</v>
      </c>
      <c r="AC298">
        <v>373</v>
      </c>
      <c r="AD298">
        <v>51</v>
      </c>
      <c r="AE298">
        <v>1</v>
      </c>
      <c r="AF298">
        <v>19</v>
      </c>
      <c r="AG298">
        <v>11</v>
      </c>
    </row>
    <row r="299" spans="1:33" x14ac:dyDescent="0.3">
      <c r="A299" t="s">
        <v>133</v>
      </c>
      <c r="B299" t="s">
        <v>32</v>
      </c>
      <c r="C299" t="s">
        <v>32</v>
      </c>
      <c r="D299" s="1">
        <v>40024</v>
      </c>
      <c r="E299">
        <v>0</v>
      </c>
      <c r="F299" s="1">
        <v>7110</v>
      </c>
      <c r="G299">
        <v>30</v>
      </c>
      <c r="H299" s="1">
        <v>4618</v>
      </c>
      <c r="I299">
        <v>0</v>
      </c>
      <c r="J299">
        <v>64</v>
      </c>
      <c r="K299">
        <v>8</v>
      </c>
      <c r="L299">
        <v>163</v>
      </c>
      <c r="M299">
        <v>40</v>
      </c>
      <c r="N299" s="1">
        <v>1009</v>
      </c>
      <c r="O299">
        <v>88</v>
      </c>
      <c r="P299">
        <v>644</v>
      </c>
      <c r="Q299">
        <v>125</v>
      </c>
      <c r="R299">
        <v>0</v>
      </c>
      <c r="S299">
        <v>0</v>
      </c>
      <c r="T299">
        <v>139</v>
      </c>
      <c r="U299" s="1">
        <v>1752</v>
      </c>
      <c r="V299">
        <v>67</v>
      </c>
      <c r="W299" s="1">
        <v>7450</v>
      </c>
      <c r="X299">
        <v>4</v>
      </c>
      <c r="Y299" s="1">
        <v>2326</v>
      </c>
      <c r="Z299" s="1">
        <v>1123</v>
      </c>
      <c r="AA299" s="1">
        <v>1779</v>
      </c>
      <c r="AB299" s="1">
        <v>2546</v>
      </c>
      <c r="AC299" s="1">
        <v>5413</v>
      </c>
      <c r="AD299" s="1">
        <v>1481</v>
      </c>
      <c r="AE299">
        <v>48</v>
      </c>
      <c r="AF299">
        <v>475</v>
      </c>
      <c r="AG299" s="1">
        <v>1522</v>
      </c>
    </row>
    <row r="300" spans="1:33" x14ac:dyDescent="0.3">
      <c r="A300" t="s">
        <v>133</v>
      </c>
      <c r="B300" t="s">
        <v>32</v>
      </c>
      <c r="C300" t="s">
        <v>35</v>
      </c>
      <c r="D300" s="1">
        <f>D303+D306+D309+D312+D315+D318+D321+D324+D327</f>
        <v>21700</v>
      </c>
      <c r="E300" s="1">
        <f t="shared" ref="E300:AG300" si="10">E303+E306+E309+E312+E315+E318+E321+E324+E327</f>
        <v>0</v>
      </c>
      <c r="F300" s="1">
        <f t="shared" si="10"/>
        <v>3248</v>
      </c>
      <c r="G300" s="1">
        <f t="shared" si="10"/>
        <v>23</v>
      </c>
      <c r="H300" s="1">
        <f t="shared" si="10"/>
        <v>2211</v>
      </c>
      <c r="I300" s="1">
        <f t="shared" si="10"/>
        <v>0</v>
      </c>
      <c r="J300" s="1">
        <f t="shared" si="10"/>
        <v>24</v>
      </c>
      <c r="K300" s="1">
        <f t="shared" si="10"/>
        <v>8</v>
      </c>
      <c r="L300" s="1">
        <f t="shared" si="10"/>
        <v>149</v>
      </c>
      <c r="M300" s="1">
        <f t="shared" si="10"/>
        <v>33</v>
      </c>
      <c r="N300" s="1">
        <f t="shared" si="10"/>
        <v>411</v>
      </c>
      <c r="O300" s="1">
        <f t="shared" si="10"/>
        <v>67</v>
      </c>
      <c r="P300" s="1">
        <f t="shared" si="10"/>
        <v>212</v>
      </c>
      <c r="Q300" s="1">
        <f t="shared" si="10"/>
        <v>93</v>
      </c>
      <c r="R300" s="1">
        <f t="shared" si="10"/>
        <v>0</v>
      </c>
      <c r="S300" s="1">
        <f t="shared" si="10"/>
        <v>0</v>
      </c>
      <c r="T300" s="1">
        <f t="shared" si="10"/>
        <v>22</v>
      </c>
      <c r="U300" s="1">
        <f t="shared" si="10"/>
        <v>1626</v>
      </c>
      <c r="V300" s="1">
        <f t="shared" si="10"/>
        <v>50</v>
      </c>
      <c r="W300" s="1">
        <f t="shared" si="10"/>
        <v>7073</v>
      </c>
      <c r="X300" s="1">
        <f t="shared" si="10"/>
        <v>4</v>
      </c>
      <c r="Y300" s="1">
        <f t="shared" si="10"/>
        <v>938</v>
      </c>
      <c r="Z300" s="1">
        <f t="shared" si="10"/>
        <v>516</v>
      </c>
      <c r="AA300" s="1">
        <f t="shared" si="10"/>
        <v>599</v>
      </c>
      <c r="AB300" s="1">
        <f t="shared" si="10"/>
        <v>1121</v>
      </c>
      <c r="AC300" s="1">
        <f t="shared" si="10"/>
        <v>991</v>
      </c>
      <c r="AD300" s="1">
        <f t="shared" si="10"/>
        <v>1083</v>
      </c>
      <c r="AE300" s="1">
        <f t="shared" si="10"/>
        <v>10</v>
      </c>
      <c r="AF300" s="1">
        <f t="shared" si="10"/>
        <v>269</v>
      </c>
      <c r="AG300" s="1">
        <f t="shared" si="10"/>
        <v>919</v>
      </c>
    </row>
    <row r="301" spans="1:33" x14ac:dyDescent="0.3">
      <c r="A301" t="s">
        <v>133</v>
      </c>
      <c r="B301" t="s">
        <v>32</v>
      </c>
      <c r="C301" t="s">
        <v>36</v>
      </c>
      <c r="D301" s="1">
        <f>D304+D307+D310+D313+D316+D319+D322+D325+D328</f>
        <v>18324</v>
      </c>
      <c r="E301" s="1">
        <f t="shared" ref="E301:AG301" si="11">E304+E307+E310+E313+E316+E319+E322+E325+E328</f>
        <v>0</v>
      </c>
      <c r="F301" s="1">
        <f t="shared" si="11"/>
        <v>3862</v>
      </c>
      <c r="G301" s="1">
        <f t="shared" si="11"/>
        <v>7</v>
      </c>
      <c r="H301" s="1">
        <f t="shared" si="11"/>
        <v>2407</v>
      </c>
      <c r="I301" s="1">
        <f t="shared" si="11"/>
        <v>0</v>
      </c>
      <c r="J301" s="1">
        <f t="shared" si="11"/>
        <v>40</v>
      </c>
      <c r="K301" s="1">
        <f t="shared" si="11"/>
        <v>0</v>
      </c>
      <c r="L301" s="1">
        <f t="shared" si="11"/>
        <v>14</v>
      </c>
      <c r="M301" s="1">
        <f t="shared" si="11"/>
        <v>7</v>
      </c>
      <c r="N301" s="1">
        <f t="shared" si="11"/>
        <v>598</v>
      </c>
      <c r="O301" s="1">
        <f t="shared" si="11"/>
        <v>21</v>
      </c>
      <c r="P301" s="1">
        <f t="shared" si="11"/>
        <v>432</v>
      </c>
      <c r="Q301" s="1">
        <f t="shared" si="11"/>
        <v>32</v>
      </c>
      <c r="R301" s="1">
        <f t="shared" si="11"/>
        <v>0</v>
      </c>
      <c r="S301" s="1">
        <f t="shared" si="11"/>
        <v>0</v>
      </c>
      <c r="T301" s="1">
        <f t="shared" si="11"/>
        <v>117</v>
      </c>
      <c r="U301" s="1">
        <f t="shared" si="11"/>
        <v>126</v>
      </c>
      <c r="V301" s="1">
        <f t="shared" si="11"/>
        <v>17</v>
      </c>
      <c r="W301" s="1">
        <f t="shared" si="11"/>
        <v>377</v>
      </c>
      <c r="X301" s="1">
        <f t="shared" si="11"/>
        <v>0</v>
      </c>
      <c r="Y301" s="1">
        <f t="shared" si="11"/>
        <v>1388</v>
      </c>
      <c r="Z301" s="1">
        <f t="shared" si="11"/>
        <v>607</v>
      </c>
      <c r="AA301" s="1">
        <f t="shared" si="11"/>
        <v>1180</v>
      </c>
      <c r="AB301" s="1">
        <f t="shared" si="11"/>
        <v>1425</v>
      </c>
      <c r="AC301" s="1">
        <f t="shared" si="11"/>
        <v>4422</v>
      </c>
      <c r="AD301" s="1">
        <f t="shared" si="11"/>
        <v>398</v>
      </c>
      <c r="AE301" s="1">
        <f t="shared" si="11"/>
        <v>38</v>
      </c>
      <c r="AF301" s="1">
        <f t="shared" si="11"/>
        <v>206</v>
      </c>
      <c r="AG301" s="1">
        <f t="shared" si="11"/>
        <v>603</v>
      </c>
    </row>
    <row r="302" spans="1:33" x14ac:dyDescent="0.3">
      <c r="A302" t="s">
        <v>133</v>
      </c>
      <c r="B302" t="s">
        <v>134</v>
      </c>
      <c r="C302" t="s">
        <v>32</v>
      </c>
      <c r="D302">
        <v>604</v>
      </c>
      <c r="E302">
        <v>0</v>
      </c>
      <c r="F302" s="1">
        <v>0</v>
      </c>
      <c r="G302">
        <v>1</v>
      </c>
      <c r="H302" s="1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 s="1">
        <v>0</v>
      </c>
      <c r="O302">
        <v>0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66</v>
      </c>
      <c r="V302">
        <v>26</v>
      </c>
      <c r="W302">
        <v>366</v>
      </c>
      <c r="X302">
        <v>0</v>
      </c>
      <c r="Y302">
        <v>36</v>
      </c>
      <c r="Z302">
        <v>4</v>
      </c>
      <c r="AA302">
        <v>21</v>
      </c>
      <c r="AB302">
        <v>11</v>
      </c>
      <c r="AC302">
        <v>63</v>
      </c>
      <c r="AD302">
        <v>2</v>
      </c>
      <c r="AE302">
        <v>0</v>
      </c>
      <c r="AF302">
        <v>0</v>
      </c>
      <c r="AG302">
        <v>4</v>
      </c>
    </row>
    <row r="303" spans="1:33" x14ac:dyDescent="0.3">
      <c r="A303" t="s">
        <v>133</v>
      </c>
      <c r="B303" t="s">
        <v>134</v>
      </c>
      <c r="C303" t="s">
        <v>35</v>
      </c>
      <c r="D303">
        <v>462</v>
      </c>
      <c r="E303">
        <v>0</v>
      </c>
      <c r="F303" s="1">
        <v>0</v>
      </c>
      <c r="G303">
        <v>1</v>
      </c>
      <c r="H303" s="1">
        <v>0</v>
      </c>
      <c r="I303">
        <v>0</v>
      </c>
      <c r="J303" s="1">
        <v>0</v>
      </c>
      <c r="K303">
        <v>0</v>
      </c>
      <c r="L303" s="1">
        <v>0</v>
      </c>
      <c r="M303">
        <v>0</v>
      </c>
      <c r="N303" s="1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66</v>
      </c>
      <c r="V303">
        <v>18</v>
      </c>
      <c r="W303">
        <v>343</v>
      </c>
      <c r="X303">
        <v>0</v>
      </c>
      <c r="Y303">
        <v>14</v>
      </c>
      <c r="Z303">
        <v>3</v>
      </c>
      <c r="AA303">
        <v>1</v>
      </c>
      <c r="AB303">
        <v>5</v>
      </c>
      <c r="AC303">
        <v>3</v>
      </c>
      <c r="AD303">
        <v>2</v>
      </c>
      <c r="AE303">
        <v>0</v>
      </c>
      <c r="AF303">
        <v>0</v>
      </c>
      <c r="AG303">
        <v>4</v>
      </c>
    </row>
    <row r="304" spans="1:33" x14ac:dyDescent="0.3">
      <c r="A304" t="s">
        <v>133</v>
      </c>
      <c r="B304" t="s">
        <v>134</v>
      </c>
      <c r="C304" t="s">
        <v>36</v>
      </c>
      <c r="D304">
        <v>142</v>
      </c>
      <c r="E304">
        <v>0</v>
      </c>
      <c r="F304" s="1">
        <v>0</v>
      </c>
      <c r="G304">
        <v>0</v>
      </c>
      <c r="H304" s="1">
        <v>0</v>
      </c>
      <c r="I304">
        <v>0</v>
      </c>
      <c r="J304">
        <v>1</v>
      </c>
      <c r="K304">
        <v>0</v>
      </c>
      <c r="L304" s="1">
        <v>0</v>
      </c>
      <c r="M304">
        <v>0</v>
      </c>
      <c r="N304" s="1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 s="1">
        <v>0</v>
      </c>
      <c r="V304">
        <v>8</v>
      </c>
      <c r="W304">
        <v>23</v>
      </c>
      <c r="X304">
        <v>0</v>
      </c>
      <c r="Y304">
        <v>22</v>
      </c>
      <c r="Z304">
        <v>1</v>
      </c>
      <c r="AA304">
        <v>20</v>
      </c>
      <c r="AB304">
        <v>6</v>
      </c>
      <c r="AC304">
        <v>60</v>
      </c>
      <c r="AD304" s="1">
        <v>0</v>
      </c>
      <c r="AE304">
        <v>0</v>
      </c>
      <c r="AF304">
        <v>0</v>
      </c>
      <c r="AG304" s="1">
        <v>0</v>
      </c>
    </row>
    <row r="305" spans="1:33" x14ac:dyDescent="0.3">
      <c r="A305" t="s">
        <v>133</v>
      </c>
      <c r="B305" t="s">
        <v>129</v>
      </c>
      <c r="C305" t="s">
        <v>32</v>
      </c>
      <c r="D305" s="1">
        <v>2377</v>
      </c>
      <c r="E305">
        <v>0</v>
      </c>
      <c r="F305">
        <v>381</v>
      </c>
      <c r="G305">
        <v>0</v>
      </c>
      <c r="H305">
        <v>452</v>
      </c>
      <c r="I305">
        <v>0</v>
      </c>
      <c r="J305">
        <v>35</v>
      </c>
      <c r="K305">
        <v>0</v>
      </c>
      <c r="L305">
        <v>4</v>
      </c>
      <c r="M305">
        <v>2</v>
      </c>
      <c r="N305">
        <v>111</v>
      </c>
      <c r="O305">
        <v>0</v>
      </c>
      <c r="P305">
        <v>29</v>
      </c>
      <c r="Q305">
        <v>1</v>
      </c>
      <c r="R305">
        <v>0</v>
      </c>
      <c r="S305">
        <v>0</v>
      </c>
      <c r="T305">
        <v>18</v>
      </c>
      <c r="U305">
        <v>13</v>
      </c>
      <c r="V305">
        <v>0</v>
      </c>
      <c r="W305">
        <v>11</v>
      </c>
      <c r="X305">
        <v>1</v>
      </c>
      <c r="Y305">
        <v>104</v>
      </c>
      <c r="Z305">
        <v>89</v>
      </c>
      <c r="AA305">
        <v>64</v>
      </c>
      <c r="AB305">
        <v>138</v>
      </c>
      <c r="AC305">
        <v>282</v>
      </c>
      <c r="AD305">
        <v>43</v>
      </c>
      <c r="AE305">
        <v>3</v>
      </c>
      <c r="AF305">
        <v>18</v>
      </c>
      <c r="AG305">
        <v>578</v>
      </c>
    </row>
    <row r="306" spans="1:33" x14ac:dyDescent="0.3">
      <c r="A306" t="s">
        <v>133</v>
      </c>
      <c r="B306" t="s">
        <v>129</v>
      </c>
      <c r="C306" t="s">
        <v>35</v>
      </c>
      <c r="D306" s="1">
        <v>1071</v>
      </c>
      <c r="E306">
        <v>0</v>
      </c>
      <c r="F306">
        <v>171</v>
      </c>
      <c r="G306">
        <v>0</v>
      </c>
      <c r="H306">
        <v>254</v>
      </c>
      <c r="I306">
        <v>0</v>
      </c>
      <c r="J306">
        <v>6</v>
      </c>
      <c r="K306">
        <v>0</v>
      </c>
      <c r="L306">
        <v>3</v>
      </c>
      <c r="M306">
        <v>2</v>
      </c>
      <c r="N306">
        <v>54</v>
      </c>
      <c r="O306">
        <v>0</v>
      </c>
      <c r="P306">
        <v>9</v>
      </c>
      <c r="Q306">
        <v>0</v>
      </c>
      <c r="R306">
        <v>0</v>
      </c>
      <c r="S306">
        <v>0</v>
      </c>
      <c r="T306">
        <v>1</v>
      </c>
      <c r="U306">
        <v>10</v>
      </c>
      <c r="V306">
        <v>0</v>
      </c>
      <c r="W306">
        <v>11</v>
      </c>
      <c r="X306">
        <v>1</v>
      </c>
      <c r="Y306">
        <v>48</v>
      </c>
      <c r="Z306">
        <v>45</v>
      </c>
      <c r="AA306">
        <v>29</v>
      </c>
      <c r="AB306">
        <v>64</v>
      </c>
      <c r="AC306">
        <v>40</v>
      </c>
      <c r="AD306">
        <v>15</v>
      </c>
      <c r="AE306">
        <v>0</v>
      </c>
      <c r="AF306">
        <v>11</v>
      </c>
      <c r="AG306">
        <v>297</v>
      </c>
    </row>
    <row r="307" spans="1:33" x14ac:dyDescent="0.3">
      <c r="A307" t="s">
        <v>133</v>
      </c>
      <c r="B307" t="s">
        <v>129</v>
      </c>
      <c r="C307" t="s">
        <v>36</v>
      </c>
      <c r="D307" s="1">
        <v>1306</v>
      </c>
      <c r="E307">
        <v>0</v>
      </c>
      <c r="F307">
        <v>210</v>
      </c>
      <c r="G307">
        <v>0</v>
      </c>
      <c r="H307">
        <v>198</v>
      </c>
      <c r="I307">
        <v>0</v>
      </c>
      <c r="J307">
        <v>29</v>
      </c>
      <c r="K307">
        <v>0</v>
      </c>
      <c r="L307">
        <v>1</v>
      </c>
      <c r="M307">
        <v>0</v>
      </c>
      <c r="N307">
        <v>57</v>
      </c>
      <c r="O307">
        <v>0</v>
      </c>
      <c r="P307">
        <v>20</v>
      </c>
      <c r="Q307">
        <v>1</v>
      </c>
      <c r="R307">
        <v>0</v>
      </c>
      <c r="S307">
        <v>0</v>
      </c>
      <c r="T307">
        <v>17</v>
      </c>
      <c r="U307">
        <v>3</v>
      </c>
      <c r="V307">
        <v>0</v>
      </c>
      <c r="W307">
        <v>0</v>
      </c>
      <c r="X307">
        <v>0</v>
      </c>
      <c r="Y307">
        <v>56</v>
      </c>
      <c r="Z307">
        <v>44</v>
      </c>
      <c r="AA307">
        <v>35</v>
      </c>
      <c r="AB307">
        <v>74</v>
      </c>
      <c r="AC307">
        <v>242</v>
      </c>
      <c r="AD307">
        <v>28</v>
      </c>
      <c r="AE307">
        <v>3</v>
      </c>
      <c r="AF307">
        <v>7</v>
      </c>
      <c r="AG307">
        <v>281</v>
      </c>
    </row>
    <row r="308" spans="1:33" x14ac:dyDescent="0.3">
      <c r="A308" t="s">
        <v>133</v>
      </c>
      <c r="B308" t="s">
        <v>135</v>
      </c>
      <c r="C308" t="s">
        <v>32</v>
      </c>
      <c r="D308" s="1">
        <v>13795</v>
      </c>
      <c r="E308">
        <v>0</v>
      </c>
      <c r="F308" s="1">
        <v>3290</v>
      </c>
      <c r="G308">
        <v>6</v>
      </c>
      <c r="H308" s="1">
        <v>2380</v>
      </c>
      <c r="I308">
        <v>0</v>
      </c>
      <c r="J308">
        <v>5</v>
      </c>
      <c r="K308">
        <v>1</v>
      </c>
      <c r="L308">
        <v>64</v>
      </c>
      <c r="M308">
        <v>20</v>
      </c>
      <c r="N308">
        <v>513</v>
      </c>
      <c r="O308">
        <v>17</v>
      </c>
      <c r="P308">
        <v>136</v>
      </c>
      <c r="Q308">
        <v>8</v>
      </c>
      <c r="R308">
        <v>0</v>
      </c>
      <c r="S308">
        <v>0</v>
      </c>
      <c r="T308">
        <v>39</v>
      </c>
      <c r="U308">
        <v>639</v>
      </c>
      <c r="V308">
        <v>0</v>
      </c>
      <c r="W308" s="1">
        <v>2737</v>
      </c>
      <c r="X308">
        <v>1</v>
      </c>
      <c r="Y308">
        <v>491</v>
      </c>
      <c r="Z308">
        <v>289</v>
      </c>
      <c r="AA308">
        <v>494</v>
      </c>
      <c r="AB308">
        <v>558</v>
      </c>
      <c r="AC308" s="1">
        <v>1352</v>
      </c>
      <c r="AD308">
        <v>492</v>
      </c>
      <c r="AE308">
        <v>10</v>
      </c>
      <c r="AF308">
        <v>81</v>
      </c>
      <c r="AG308">
        <v>172</v>
      </c>
    </row>
    <row r="309" spans="1:33" x14ac:dyDescent="0.3">
      <c r="A309" t="s">
        <v>133</v>
      </c>
      <c r="B309" t="s">
        <v>135</v>
      </c>
      <c r="C309" t="s">
        <v>35</v>
      </c>
      <c r="D309" s="1">
        <v>7649</v>
      </c>
      <c r="E309">
        <v>0</v>
      </c>
      <c r="F309" s="1">
        <v>1419</v>
      </c>
      <c r="G309">
        <v>6</v>
      </c>
      <c r="H309" s="1">
        <v>1100</v>
      </c>
      <c r="I309">
        <v>0</v>
      </c>
      <c r="J309">
        <v>5</v>
      </c>
      <c r="K309">
        <v>1</v>
      </c>
      <c r="L309">
        <v>58</v>
      </c>
      <c r="M309">
        <v>17</v>
      </c>
      <c r="N309">
        <v>192</v>
      </c>
      <c r="O309">
        <v>13</v>
      </c>
      <c r="P309">
        <v>43</v>
      </c>
      <c r="Q309">
        <v>4</v>
      </c>
      <c r="R309">
        <v>0</v>
      </c>
      <c r="S309">
        <v>0</v>
      </c>
      <c r="T309">
        <v>2</v>
      </c>
      <c r="U309">
        <v>604</v>
      </c>
      <c r="V309">
        <v>0</v>
      </c>
      <c r="W309" s="1">
        <v>2614</v>
      </c>
      <c r="X309">
        <v>1</v>
      </c>
      <c r="Y309">
        <v>206</v>
      </c>
      <c r="Z309">
        <v>115</v>
      </c>
      <c r="AA309">
        <v>165</v>
      </c>
      <c r="AB309">
        <v>259</v>
      </c>
      <c r="AC309">
        <v>288</v>
      </c>
      <c r="AD309">
        <v>352</v>
      </c>
      <c r="AE309">
        <v>4</v>
      </c>
      <c r="AF309">
        <v>49</v>
      </c>
      <c r="AG309">
        <v>132</v>
      </c>
    </row>
    <row r="310" spans="1:33" x14ac:dyDescent="0.3">
      <c r="A310" t="s">
        <v>133</v>
      </c>
      <c r="B310" t="s">
        <v>135</v>
      </c>
      <c r="C310" t="s">
        <v>36</v>
      </c>
      <c r="D310" s="1">
        <v>6146</v>
      </c>
      <c r="E310">
        <v>0</v>
      </c>
      <c r="F310" s="1">
        <v>1871</v>
      </c>
      <c r="G310">
        <v>0</v>
      </c>
      <c r="H310" s="1">
        <v>1280</v>
      </c>
      <c r="I310">
        <v>0</v>
      </c>
      <c r="J310" s="1">
        <v>0</v>
      </c>
      <c r="K310">
        <v>0</v>
      </c>
      <c r="L310">
        <v>6</v>
      </c>
      <c r="M310">
        <v>3</v>
      </c>
      <c r="N310">
        <v>321</v>
      </c>
      <c r="O310">
        <v>4</v>
      </c>
      <c r="P310">
        <v>93</v>
      </c>
      <c r="Q310">
        <v>4</v>
      </c>
      <c r="R310">
        <v>0</v>
      </c>
      <c r="S310">
        <v>0</v>
      </c>
      <c r="T310">
        <v>37</v>
      </c>
      <c r="U310">
        <v>35</v>
      </c>
      <c r="V310">
        <v>0</v>
      </c>
      <c r="W310">
        <v>123</v>
      </c>
      <c r="X310">
        <v>0</v>
      </c>
      <c r="Y310">
        <v>285</v>
      </c>
      <c r="Z310">
        <v>174</v>
      </c>
      <c r="AA310">
        <v>329</v>
      </c>
      <c r="AB310">
        <v>299</v>
      </c>
      <c r="AC310" s="1">
        <v>1064</v>
      </c>
      <c r="AD310">
        <v>140</v>
      </c>
      <c r="AE310">
        <v>6</v>
      </c>
      <c r="AF310">
        <v>32</v>
      </c>
      <c r="AG310">
        <v>40</v>
      </c>
    </row>
    <row r="311" spans="1:33" x14ac:dyDescent="0.3">
      <c r="A311" t="s">
        <v>133</v>
      </c>
      <c r="B311" t="s">
        <v>136</v>
      </c>
      <c r="C311" t="s">
        <v>32</v>
      </c>
      <c r="D311" s="1">
        <v>8070</v>
      </c>
      <c r="E311">
        <v>0</v>
      </c>
      <c r="F311">
        <v>209</v>
      </c>
      <c r="G311">
        <v>7</v>
      </c>
      <c r="H311">
        <v>49</v>
      </c>
      <c r="I311">
        <v>0</v>
      </c>
      <c r="J311">
        <v>2</v>
      </c>
      <c r="K311">
        <v>0</v>
      </c>
      <c r="L311">
        <v>33</v>
      </c>
      <c r="M311">
        <v>7</v>
      </c>
      <c r="N311">
        <v>43</v>
      </c>
      <c r="O311">
        <v>7</v>
      </c>
      <c r="P311">
        <v>48</v>
      </c>
      <c r="Q311">
        <v>22</v>
      </c>
      <c r="R311">
        <v>0</v>
      </c>
      <c r="S311">
        <v>0</v>
      </c>
      <c r="T311">
        <v>1</v>
      </c>
      <c r="U311">
        <v>616</v>
      </c>
      <c r="V311">
        <v>41</v>
      </c>
      <c r="W311" s="1">
        <v>2960</v>
      </c>
      <c r="X311">
        <v>1</v>
      </c>
      <c r="Y311">
        <v>670</v>
      </c>
      <c r="Z311">
        <v>312</v>
      </c>
      <c r="AA311">
        <v>589</v>
      </c>
      <c r="AB311">
        <v>670</v>
      </c>
      <c r="AC311" s="1">
        <v>1011</v>
      </c>
      <c r="AD311">
        <v>460</v>
      </c>
      <c r="AE311">
        <v>2</v>
      </c>
      <c r="AF311">
        <v>181</v>
      </c>
      <c r="AG311">
        <v>129</v>
      </c>
    </row>
    <row r="312" spans="1:33" x14ac:dyDescent="0.3">
      <c r="A312" t="s">
        <v>133</v>
      </c>
      <c r="B312" t="s">
        <v>136</v>
      </c>
      <c r="C312" t="s">
        <v>35</v>
      </c>
      <c r="D312" s="1">
        <v>5409</v>
      </c>
      <c r="E312">
        <v>0</v>
      </c>
      <c r="F312">
        <v>114</v>
      </c>
      <c r="G312">
        <v>3</v>
      </c>
      <c r="H312">
        <v>16</v>
      </c>
      <c r="I312">
        <v>0</v>
      </c>
      <c r="J312">
        <v>2</v>
      </c>
      <c r="K312">
        <v>0</v>
      </c>
      <c r="L312">
        <v>31</v>
      </c>
      <c r="M312">
        <v>7</v>
      </c>
      <c r="N312">
        <v>22</v>
      </c>
      <c r="O312">
        <v>6</v>
      </c>
      <c r="P312">
        <v>12</v>
      </c>
      <c r="Q312">
        <v>17</v>
      </c>
      <c r="R312">
        <v>0</v>
      </c>
      <c r="S312">
        <v>0</v>
      </c>
      <c r="T312">
        <v>0</v>
      </c>
      <c r="U312">
        <v>591</v>
      </c>
      <c r="V312">
        <v>32</v>
      </c>
      <c r="W312" s="1">
        <v>2807</v>
      </c>
      <c r="X312">
        <v>1</v>
      </c>
      <c r="Y312">
        <v>295</v>
      </c>
      <c r="Z312">
        <v>139</v>
      </c>
      <c r="AA312">
        <v>180</v>
      </c>
      <c r="AB312">
        <v>337</v>
      </c>
      <c r="AC312">
        <v>230</v>
      </c>
      <c r="AD312">
        <v>365</v>
      </c>
      <c r="AE312">
        <v>0</v>
      </c>
      <c r="AF312">
        <v>95</v>
      </c>
      <c r="AG312">
        <v>107</v>
      </c>
    </row>
    <row r="313" spans="1:33" x14ac:dyDescent="0.3">
      <c r="A313" t="s">
        <v>133</v>
      </c>
      <c r="B313" t="s">
        <v>136</v>
      </c>
      <c r="C313" t="s">
        <v>36</v>
      </c>
      <c r="D313" s="1">
        <v>2661</v>
      </c>
      <c r="E313">
        <v>0</v>
      </c>
      <c r="F313">
        <v>95</v>
      </c>
      <c r="G313">
        <v>4</v>
      </c>
      <c r="H313">
        <v>33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21</v>
      </c>
      <c r="O313">
        <v>1</v>
      </c>
      <c r="P313">
        <v>36</v>
      </c>
      <c r="Q313">
        <v>5</v>
      </c>
      <c r="R313">
        <v>0</v>
      </c>
      <c r="S313">
        <v>0</v>
      </c>
      <c r="T313">
        <v>1</v>
      </c>
      <c r="U313">
        <v>25</v>
      </c>
      <c r="V313">
        <v>9</v>
      </c>
      <c r="W313">
        <v>153</v>
      </c>
      <c r="X313">
        <v>0</v>
      </c>
      <c r="Y313">
        <v>375</v>
      </c>
      <c r="Z313">
        <v>173</v>
      </c>
      <c r="AA313">
        <v>409</v>
      </c>
      <c r="AB313">
        <v>333</v>
      </c>
      <c r="AC313">
        <v>781</v>
      </c>
      <c r="AD313">
        <v>95</v>
      </c>
      <c r="AE313">
        <v>2</v>
      </c>
      <c r="AF313">
        <v>86</v>
      </c>
      <c r="AG313">
        <v>22</v>
      </c>
    </row>
    <row r="314" spans="1:33" x14ac:dyDescent="0.3">
      <c r="A314" t="s">
        <v>133</v>
      </c>
      <c r="B314" t="s">
        <v>130</v>
      </c>
      <c r="C314" t="s">
        <v>32</v>
      </c>
      <c r="D314" s="1">
        <v>2110</v>
      </c>
      <c r="E314">
        <v>0</v>
      </c>
      <c r="F314">
        <v>140</v>
      </c>
      <c r="G314">
        <v>2</v>
      </c>
      <c r="H314">
        <v>54</v>
      </c>
      <c r="I314">
        <v>0</v>
      </c>
      <c r="J314">
        <v>3</v>
      </c>
      <c r="K314">
        <v>2</v>
      </c>
      <c r="L314">
        <v>20</v>
      </c>
      <c r="M314">
        <v>5</v>
      </c>
      <c r="N314">
        <v>37</v>
      </c>
      <c r="O314">
        <v>8</v>
      </c>
      <c r="P314">
        <v>41</v>
      </c>
      <c r="Q314">
        <v>12</v>
      </c>
      <c r="R314">
        <v>0</v>
      </c>
      <c r="S314">
        <v>0</v>
      </c>
      <c r="T314">
        <v>24</v>
      </c>
      <c r="U314">
        <v>74</v>
      </c>
      <c r="V314">
        <v>0</v>
      </c>
      <c r="W314">
        <v>69</v>
      </c>
      <c r="X314">
        <v>0</v>
      </c>
      <c r="Y314">
        <v>271</v>
      </c>
      <c r="Z314">
        <v>98</v>
      </c>
      <c r="AA314">
        <v>108</v>
      </c>
      <c r="AB314">
        <v>271</v>
      </c>
      <c r="AC314">
        <v>702</v>
      </c>
      <c r="AD314">
        <v>43</v>
      </c>
      <c r="AE314">
        <v>6</v>
      </c>
      <c r="AF314">
        <v>42</v>
      </c>
      <c r="AG314">
        <v>78</v>
      </c>
    </row>
    <row r="315" spans="1:33" x14ac:dyDescent="0.3">
      <c r="A315" t="s">
        <v>133</v>
      </c>
      <c r="B315" t="s">
        <v>130</v>
      </c>
      <c r="C315" t="s">
        <v>35</v>
      </c>
      <c r="D315">
        <v>727</v>
      </c>
      <c r="E315">
        <v>0</v>
      </c>
      <c r="F315">
        <v>60</v>
      </c>
      <c r="G315">
        <v>0</v>
      </c>
      <c r="H315">
        <v>25</v>
      </c>
      <c r="I315">
        <v>0</v>
      </c>
      <c r="J315">
        <v>3</v>
      </c>
      <c r="K315">
        <v>2</v>
      </c>
      <c r="L315">
        <v>19</v>
      </c>
      <c r="M315">
        <v>3</v>
      </c>
      <c r="N315">
        <v>12</v>
      </c>
      <c r="O315">
        <v>6</v>
      </c>
      <c r="P315">
        <v>10</v>
      </c>
      <c r="Q315">
        <v>9</v>
      </c>
      <c r="R315">
        <v>0</v>
      </c>
      <c r="S315">
        <v>0</v>
      </c>
      <c r="T315">
        <v>2</v>
      </c>
      <c r="U315">
        <v>47</v>
      </c>
      <c r="V315">
        <v>0</v>
      </c>
      <c r="W315">
        <v>59</v>
      </c>
      <c r="X315">
        <v>0</v>
      </c>
      <c r="Y315">
        <v>93</v>
      </c>
      <c r="Z315">
        <v>49</v>
      </c>
      <c r="AA315">
        <v>42</v>
      </c>
      <c r="AB315">
        <v>100</v>
      </c>
      <c r="AC315">
        <v>93</v>
      </c>
      <c r="AD315">
        <v>22</v>
      </c>
      <c r="AE315">
        <v>0</v>
      </c>
      <c r="AF315">
        <v>23</v>
      </c>
      <c r="AG315">
        <v>48</v>
      </c>
    </row>
    <row r="316" spans="1:33" x14ac:dyDescent="0.3">
      <c r="A316" t="s">
        <v>133</v>
      </c>
      <c r="B316" t="s">
        <v>130</v>
      </c>
      <c r="C316" t="s">
        <v>36</v>
      </c>
      <c r="D316" s="1">
        <v>1383</v>
      </c>
      <c r="E316">
        <v>0</v>
      </c>
      <c r="F316">
        <v>80</v>
      </c>
      <c r="G316">
        <v>2</v>
      </c>
      <c r="H316">
        <v>29</v>
      </c>
      <c r="I316">
        <v>0</v>
      </c>
      <c r="J316">
        <v>0</v>
      </c>
      <c r="K316">
        <v>0</v>
      </c>
      <c r="L316">
        <v>1</v>
      </c>
      <c r="M316">
        <v>2</v>
      </c>
      <c r="N316">
        <v>25</v>
      </c>
      <c r="O316">
        <v>2</v>
      </c>
      <c r="P316">
        <v>31</v>
      </c>
      <c r="Q316">
        <v>3</v>
      </c>
      <c r="R316">
        <v>0</v>
      </c>
      <c r="S316">
        <v>0</v>
      </c>
      <c r="T316">
        <v>22</v>
      </c>
      <c r="U316">
        <v>27</v>
      </c>
      <c r="V316">
        <v>0</v>
      </c>
      <c r="W316">
        <v>10</v>
      </c>
      <c r="X316">
        <v>0</v>
      </c>
      <c r="Y316">
        <v>178</v>
      </c>
      <c r="Z316">
        <v>49</v>
      </c>
      <c r="AA316">
        <v>66</v>
      </c>
      <c r="AB316">
        <v>171</v>
      </c>
      <c r="AC316">
        <v>609</v>
      </c>
      <c r="AD316">
        <v>21</v>
      </c>
      <c r="AE316">
        <v>6</v>
      </c>
      <c r="AF316">
        <v>19</v>
      </c>
      <c r="AG316">
        <v>30</v>
      </c>
    </row>
    <row r="317" spans="1:33" x14ac:dyDescent="0.3">
      <c r="A317" t="s">
        <v>133</v>
      </c>
      <c r="B317" t="s">
        <v>131</v>
      </c>
      <c r="C317" t="s">
        <v>32</v>
      </c>
      <c r="D317" s="1">
        <v>7430</v>
      </c>
      <c r="E317">
        <v>0</v>
      </c>
      <c r="F317" s="1">
        <v>2594</v>
      </c>
      <c r="G317">
        <v>1</v>
      </c>
      <c r="H317" s="1">
        <v>1522</v>
      </c>
      <c r="I317">
        <v>0</v>
      </c>
      <c r="J317">
        <v>5</v>
      </c>
      <c r="K317">
        <v>4</v>
      </c>
      <c r="L317">
        <v>7</v>
      </c>
      <c r="M317">
        <v>1</v>
      </c>
      <c r="N317">
        <v>164</v>
      </c>
      <c r="O317">
        <v>46</v>
      </c>
      <c r="P317">
        <v>114</v>
      </c>
      <c r="Q317">
        <v>75</v>
      </c>
      <c r="R317">
        <v>0</v>
      </c>
      <c r="S317">
        <v>0</v>
      </c>
      <c r="T317">
        <v>29</v>
      </c>
      <c r="U317">
        <v>139</v>
      </c>
      <c r="V317">
        <v>0</v>
      </c>
      <c r="W317">
        <v>613</v>
      </c>
      <c r="X317">
        <v>1</v>
      </c>
      <c r="Y317">
        <v>340</v>
      </c>
      <c r="Z317">
        <v>134</v>
      </c>
      <c r="AA317">
        <v>287</v>
      </c>
      <c r="AB317">
        <v>336</v>
      </c>
      <c r="AC317">
        <v>794</v>
      </c>
      <c r="AD317">
        <v>88</v>
      </c>
      <c r="AE317">
        <v>10</v>
      </c>
      <c r="AF317">
        <v>60</v>
      </c>
      <c r="AG317">
        <v>66</v>
      </c>
    </row>
    <row r="318" spans="1:33" x14ac:dyDescent="0.3">
      <c r="A318" t="s">
        <v>133</v>
      </c>
      <c r="B318" t="s">
        <v>131</v>
      </c>
      <c r="C318" t="s">
        <v>35</v>
      </c>
      <c r="D318" s="1">
        <v>3541</v>
      </c>
      <c r="E318">
        <v>0</v>
      </c>
      <c r="F318" s="1">
        <v>1224</v>
      </c>
      <c r="G318">
        <v>1</v>
      </c>
      <c r="H318">
        <v>726</v>
      </c>
      <c r="I318">
        <v>0</v>
      </c>
      <c r="J318">
        <v>5</v>
      </c>
      <c r="K318">
        <v>4</v>
      </c>
      <c r="L318">
        <v>6</v>
      </c>
      <c r="M318">
        <v>0</v>
      </c>
      <c r="N318">
        <v>73</v>
      </c>
      <c r="O318">
        <v>34</v>
      </c>
      <c r="P318">
        <v>42</v>
      </c>
      <c r="Q318">
        <v>60</v>
      </c>
      <c r="R318">
        <v>0</v>
      </c>
      <c r="S318">
        <v>0</v>
      </c>
      <c r="T318">
        <v>2</v>
      </c>
      <c r="U318">
        <v>123</v>
      </c>
      <c r="V318">
        <v>0</v>
      </c>
      <c r="W318">
        <v>582</v>
      </c>
      <c r="X318">
        <v>1</v>
      </c>
      <c r="Y318">
        <v>120</v>
      </c>
      <c r="Z318">
        <v>58</v>
      </c>
      <c r="AA318">
        <v>116</v>
      </c>
      <c r="AB318">
        <v>132</v>
      </c>
      <c r="AC318">
        <v>92</v>
      </c>
      <c r="AD318">
        <v>58</v>
      </c>
      <c r="AE318">
        <v>3</v>
      </c>
      <c r="AF318">
        <v>31</v>
      </c>
      <c r="AG318">
        <v>48</v>
      </c>
    </row>
    <row r="319" spans="1:33" x14ac:dyDescent="0.3">
      <c r="A319" t="s">
        <v>133</v>
      </c>
      <c r="B319" t="s">
        <v>131</v>
      </c>
      <c r="C319" t="s">
        <v>36</v>
      </c>
      <c r="D319" s="1">
        <v>3889</v>
      </c>
      <c r="E319">
        <v>0</v>
      </c>
      <c r="F319" s="1">
        <v>1370</v>
      </c>
      <c r="G319">
        <v>0</v>
      </c>
      <c r="H319">
        <v>796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91</v>
      </c>
      <c r="O319">
        <v>12</v>
      </c>
      <c r="P319">
        <v>72</v>
      </c>
      <c r="Q319">
        <v>15</v>
      </c>
      <c r="R319">
        <v>0</v>
      </c>
      <c r="S319">
        <v>0</v>
      </c>
      <c r="T319">
        <v>27</v>
      </c>
      <c r="U319">
        <v>16</v>
      </c>
      <c r="V319">
        <v>0</v>
      </c>
      <c r="W319">
        <v>31</v>
      </c>
      <c r="X319">
        <v>0</v>
      </c>
      <c r="Y319">
        <v>220</v>
      </c>
      <c r="Z319">
        <v>76</v>
      </c>
      <c r="AA319">
        <v>171</v>
      </c>
      <c r="AB319">
        <v>204</v>
      </c>
      <c r="AC319">
        <v>702</v>
      </c>
      <c r="AD319">
        <v>30</v>
      </c>
      <c r="AE319">
        <v>7</v>
      </c>
      <c r="AF319">
        <v>29</v>
      </c>
      <c r="AG319">
        <v>18</v>
      </c>
    </row>
    <row r="320" spans="1:33" x14ac:dyDescent="0.3">
      <c r="A320" t="s">
        <v>133</v>
      </c>
      <c r="B320" t="s">
        <v>132</v>
      </c>
      <c r="C320" t="s">
        <v>32</v>
      </c>
      <c r="D320" s="1">
        <v>2844</v>
      </c>
      <c r="E320">
        <v>0</v>
      </c>
      <c r="F320">
        <v>175</v>
      </c>
      <c r="G320">
        <v>13</v>
      </c>
      <c r="H320">
        <v>73</v>
      </c>
      <c r="I320">
        <v>0</v>
      </c>
      <c r="J320">
        <v>3</v>
      </c>
      <c r="K320">
        <v>0</v>
      </c>
      <c r="L320">
        <v>25</v>
      </c>
      <c r="M320">
        <v>3</v>
      </c>
      <c r="N320">
        <v>44</v>
      </c>
      <c r="O320">
        <v>0</v>
      </c>
      <c r="P320">
        <v>19</v>
      </c>
      <c r="Q320">
        <v>2</v>
      </c>
      <c r="R320">
        <v>0</v>
      </c>
      <c r="S320">
        <v>0</v>
      </c>
      <c r="T320">
        <v>4</v>
      </c>
      <c r="U320">
        <v>114</v>
      </c>
      <c r="V320">
        <v>0</v>
      </c>
      <c r="W320">
        <v>645</v>
      </c>
      <c r="X320">
        <v>0</v>
      </c>
      <c r="Y320">
        <v>258</v>
      </c>
      <c r="Z320">
        <v>122</v>
      </c>
      <c r="AA320">
        <v>138</v>
      </c>
      <c r="AB320">
        <v>187</v>
      </c>
      <c r="AC320">
        <v>588</v>
      </c>
      <c r="AD320">
        <v>300</v>
      </c>
      <c r="AE320">
        <v>2</v>
      </c>
      <c r="AF320">
        <v>60</v>
      </c>
      <c r="AG320">
        <v>69</v>
      </c>
    </row>
    <row r="321" spans="1:33" x14ac:dyDescent="0.3">
      <c r="A321" t="s">
        <v>133</v>
      </c>
      <c r="B321" t="s">
        <v>132</v>
      </c>
      <c r="C321" t="s">
        <v>35</v>
      </c>
      <c r="D321" s="1">
        <v>1685</v>
      </c>
      <c r="E321">
        <v>0</v>
      </c>
      <c r="F321">
        <v>103</v>
      </c>
      <c r="G321">
        <v>12</v>
      </c>
      <c r="H321">
        <v>42</v>
      </c>
      <c r="I321">
        <v>0</v>
      </c>
      <c r="J321">
        <v>0</v>
      </c>
      <c r="K321">
        <v>0</v>
      </c>
      <c r="L321">
        <v>25</v>
      </c>
      <c r="M321">
        <v>3</v>
      </c>
      <c r="N321">
        <v>23</v>
      </c>
      <c r="O321">
        <v>0</v>
      </c>
      <c r="P321">
        <v>4</v>
      </c>
      <c r="Q321">
        <v>1</v>
      </c>
      <c r="R321">
        <v>0</v>
      </c>
      <c r="S321">
        <v>0</v>
      </c>
      <c r="T321">
        <v>2</v>
      </c>
      <c r="U321">
        <v>108</v>
      </c>
      <c r="V321">
        <v>0</v>
      </c>
      <c r="W321">
        <v>611</v>
      </c>
      <c r="X321">
        <v>0</v>
      </c>
      <c r="Y321">
        <v>108</v>
      </c>
      <c r="Z321">
        <v>69</v>
      </c>
      <c r="AA321">
        <v>40</v>
      </c>
      <c r="AB321">
        <v>70</v>
      </c>
      <c r="AC321">
        <v>122</v>
      </c>
      <c r="AD321">
        <v>247</v>
      </c>
      <c r="AE321">
        <v>0</v>
      </c>
      <c r="AF321">
        <v>40</v>
      </c>
      <c r="AG321">
        <v>55</v>
      </c>
    </row>
    <row r="322" spans="1:33" x14ac:dyDescent="0.3">
      <c r="A322" t="s">
        <v>133</v>
      </c>
      <c r="B322" t="s">
        <v>132</v>
      </c>
      <c r="C322" t="s">
        <v>36</v>
      </c>
      <c r="D322" s="1">
        <v>1159</v>
      </c>
      <c r="E322">
        <v>0</v>
      </c>
      <c r="F322">
        <v>72</v>
      </c>
      <c r="G322">
        <v>1</v>
      </c>
      <c r="H322">
        <v>31</v>
      </c>
      <c r="I322">
        <v>0</v>
      </c>
      <c r="J322">
        <v>3</v>
      </c>
      <c r="K322">
        <v>0</v>
      </c>
      <c r="L322">
        <v>0</v>
      </c>
      <c r="M322">
        <v>0</v>
      </c>
      <c r="N322">
        <v>21</v>
      </c>
      <c r="O322">
        <v>0</v>
      </c>
      <c r="P322">
        <v>15</v>
      </c>
      <c r="Q322">
        <v>1</v>
      </c>
      <c r="R322">
        <v>0</v>
      </c>
      <c r="S322">
        <v>0</v>
      </c>
      <c r="T322">
        <v>2</v>
      </c>
      <c r="U322">
        <v>6</v>
      </c>
      <c r="V322">
        <v>0</v>
      </c>
      <c r="W322">
        <v>34</v>
      </c>
      <c r="X322">
        <v>0</v>
      </c>
      <c r="Y322">
        <v>150</v>
      </c>
      <c r="Z322">
        <v>53</v>
      </c>
      <c r="AA322">
        <v>98</v>
      </c>
      <c r="AB322">
        <v>117</v>
      </c>
      <c r="AC322">
        <v>466</v>
      </c>
      <c r="AD322">
        <v>53</v>
      </c>
      <c r="AE322">
        <v>2</v>
      </c>
      <c r="AF322">
        <v>20</v>
      </c>
      <c r="AG322">
        <v>14</v>
      </c>
    </row>
    <row r="323" spans="1:33" x14ac:dyDescent="0.3">
      <c r="A323" t="s">
        <v>133</v>
      </c>
      <c r="B323" t="s">
        <v>137</v>
      </c>
      <c r="C323" t="s">
        <v>32</v>
      </c>
      <c r="D323" s="1">
        <v>1798</v>
      </c>
      <c r="E323">
        <v>0</v>
      </c>
      <c r="F323">
        <v>181</v>
      </c>
      <c r="G323">
        <v>0</v>
      </c>
      <c r="H323">
        <v>57</v>
      </c>
      <c r="I323">
        <v>0</v>
      </c>
      <c r="J323">
        <v>5</v>
      </c>
      <c r="K323">
        <v>1</v>
      </c>
      <c r="L323">
        <v>5</v>
      </c>
      <c r="M323">
        <v>1</v>
      </c>
      <c r="N323">
        <v>71</v>
      </c>
      <c r="O323">
        <v>4</v>
      </c>
      <c r="P323">
        <v>227</v>
      </c>
      <c r="Q323">
        <v>0</v>
      </c>
      <c r="R323">
        <v>0</v>
      </c>
      <c r="S323">
        <v>0</v>
      </c>
      <c r="T323">
        <v>23</v>
      </c>
      <c r="U323">
        <v>55</v>
      </c>
      <c r="V323">
        <v>0</v>
      </c>
      <c r="W323">
        <v>26</v>
      </c>
      <c r="X323">
        <v>0</v>
      </c>
      <c r="Y323">
        <v>111</v>
      </c>
      <c r="Z323">
        <v>43</v>
      </c>
      <c r="AA323">
        <v>44</v>
      </c>
      <c r="AB323">
        <v>220</v>
      </c>
      <c r="AC323">
        <v>446</v>
      </c>
      <c r="AD323">
        <v>31</v>
      </c>
      <c r="AE323">
        <v>2</v>
      </c>
      <c r="AF323">
        <v>22</v>
      </c>
      <c r="AG323">
        <v>223</v>
      </c>
    </row>
    <row r="324" spans="1:33" x14ac:dyDescent="0.3">
      <c r="A324" t="s">
        <v>133</v>
      </c>
      <c r="B324" t="s">
        <v>137</v>
      </c>
      <c r="C324" t="s">
        <v>35</v>
      </c>
      <c r="D324">
        <v>709</v>
      </c>
      <c r="E324">
        <v>0</v>
      </c>
      <c r="F324">
        <v>91</v>
      </c>
      <c r="G324">
        <v>0</v>
      </c>
      <c r="H324">
        <v>34</v>
      </c>
      <c r="I324">
        <v>0</v>
      </c>
      <c r="J324">
        <v>3</v>
      </c>
      <c r="K324">
        <v>1</v>
      </c>
      <c r="L324">
        <v>3</v>
      </c>
      <c r="M324">
        <v>0</v>
      </c>
      <c r="N324">
        <v>24</v>
      </c>
      <c r="O324">
        <v>3</v>
      </c>
      <c r="P324">
        <v>80</v>
      </c>
      <c r="Q324">
        <v>0</v>
      </c>
      <c r="R324">
        <v>0</v>
      </c>
      <c r="S324">
        <v>0</v>
      </c>
      <c r="T324">
        <v>13</v>
      </c>
      <c r="U324">
        <v>44</v>
      </c>
      <c r="V324">
        <v>0</v>
      </c>
      <c r="W324">
        <v>24</v>
      </c>
      <c r="X324">
        <v>0</v>
      </c>
      <c r="Y324">
        <v>39</v>
      </c>
      <c r="Z324">
        <v>20</v>
      </c>
      <c r="AA324">
        <v>20</v>
      </c>
      <c r="AB324">
        <v>80</v>
      </c>
      <c r="AC324">
        <v>92</v>
      </c>
      <c r="AD324">
        <v>8</v>
      </c>
      <c r="AE324">
        <v>0</v>
      </c>
      <c r="AF324">
        <v>14</v>
      </c>
      <c r="AG324">
        <v>116</v>
      </c>
    </row>
    <row r="325" spans="1:33" x14ac:dyDescent="0.3">
      <c r="A325" t="s">
        <v>133</v>
      </c>
      <c r="B325" t="s">
        <v>137</v>
      </c>
      <c r="C325" t="s">
        <v>36</v>
      </c>
      <c r="D325" s="1">
        <v>1089</v>
      </c>
      <c r="E325">
        <v>0</v>
      </c>
      <c r="F325">
        <v>90</v>
      </c>
      <c r="G325">
        <v>0</v>
      </c>
      <c r="H325">
        <v>23</v>
      </c>
      <c r="I325">
        <v>0</v>
      </c>
      <c r="J325">
        <v>2</v>
      </c>
      <c r="K325">
        <v>0</v>
      </c>
      <c r="L325">
        <v>2</v>
      </c>
      <c r="M325">
        <v>1</v>
      </c>
      <c r="N325">
        <v>47</v>
      </c>
      <c r="O325">
        <v>1</v>
      </c>
      <c r="P325">
        <v>147</v>
      </c>
      <c r="Q325">
        <v>0</v>
      </c>
      <c r="R325">
        <v>0</v>
      </c>
      <c r="S325">
        <v>0</v>
      </c>
      <c r="T325">
        <v>10</v>
      </c>
      <c r="U325">
        <v>11</v>
      </c>
      <c r="V325">
        <v>0</v>
      </c>
      <c r="W325">
        <v>2</v>
      </c>
      <c r="X325">
        <v>0</v>
      </c>
      <c r="Y325">
        <v>72</v>
      </c>
      <c r="Z325">
        <v>23</v>
      </c>
      <c r="AA325">
        <v>24</v>
      </c>
      <c r="AB325">
        <v>140</v>
      </c>
      <c r="AC325">
        <v>354</v>
      </c>
      <c r="AD325">
        <v>23</v>
      </c>
      <c r="AE325">
        <v>2</v>
      </c>
      <c r="AF325">
        <v>8</v>
      </c>
      <c r="AG325">
        <v>107</v>
      </c>
    </row>
    <row r="326" spans="1:33" x14ac:dyDescent="0.3">
      <c r="A326" t="s">
        <v>133</v>
      </c>
      <c r="B326" t="s">
        <v>138</v>
      </c>
      <c r="C326" t="s">
        <v>32</v>
      </c>
      <c r="D326">
        <v>996</v>
      </c>
      <c r="E326">
        <v>0</v>
      </c>
      <c r="F326">
        <v>140</v>
      </c>
      <c r="G326">
        <v>0</v>
      </c>
      <c r="H326">
        <v>31</v>
      </c>
      <c r="I326">
        <v>0</v>
      </c>
      <c r="J326">
        <v>5</v>
      </c>
      <c r="K326">
        <v>0</v>
      </c>
      <c r="L326">
        <v>5</v>
      </c>
      <c r="M326">
        <v>1</v>
      </c>
      <c r="N326">
        <v>26</v>
      </c>
      <c r="O326">
        <v>6</v>
      </c>
      <c r="P326">
        <v>27</v>
      </c>
      <c r="Q326">
        <v>5</v>
      </c>
      <c r="R326">
        <v>0</v>
      </c>
      <c r="S326">
        <v>0</v>
      </c>
      <c r="T326">
        <v>1</v>
      </c>
      <c r="U326">
        <v>36</v>
      </c>
      <c r="V326">
        <v>0</v>
      </c>
      <c r="W326">
        <v>23</v>
      </c>
      <c r="X326">
        <v>0</v>
      </c>
      <c r="Y326">
        <v>45</v>
      </c>
      <c r="Z326">
        <v>32</v>
      </c>
      <c r="AA326">
        <v>34</v>
      </c>
      <c r="AB326">
        <v>155</v>
      </c>
      <c r="AC326">
        <v>175</v>
      </c>
      <c r="AD326">
        <v>22</v>
      </c>
      <c r="AE326">
        <v>13</v>
      </c>
      <c r="AF326">
        <v>11</v>
      </c>
      <c r="AG326">
        <v>203</v>
      </c>
    </row>
    <row r="327" spans="1:33" x14ac:dyDescent="0.3">
      <c r="A327" t="s">
        <v>133</v>
      </c>
      <c r="B327" t="s">
        <v>138</v>
      </c>
      <c r="C327" t="s">
        <v>35</v>
      </c>
      <c r="D327">
        <v>447</v>
      </c>
      <c r="E327">
        <v>0</v>
      </c>
      <c r="F327">
        <v>66</v>
      </c>
      <c r="G327">
        <v>0</v>
      </c>
      <c r="H327">
        <v>14</v>
      </c>
      <c r="I327">
        <v>0</v>
      </c>
      <c r="J327">
        <v>0</v>
      </c>
      <c r="K327">
        <v>0</v>
      </c>
      <c r="L327">
        <v>4</v>
      </c>
      <c r="M327">
        <v>1</v>
      </c>
      <c r="N327">
        <v>11</v>
      </c>
      <c r="O327">
        <v>5</v>
      </c>
      <c r="P327">
        <v>10</v>
      </c>
      <c r="Q327">
        <v>2</v>
      </c>
      <c r="R327">
        <v>0</v>
      </c>
      <c r="S327">
        <v>0</v>
      </c>
      <c r="T327">
        <v>0</v>
      </c>
      <c r="U327">
        <v>33</v>
      </c>
      <c r="V327">
        <v>0</v>
      </c>
      <c r="W327">
        <v>22</v>
      </c>
      <c r="X327">
        <v>0</v>
      </c>
      <c r="Y327">
        <v>15</v>
      </c>
      <c r="Z327">
        <v>18</v>
      </c>
      <c r="AA327">
        <v>6</v>
      </c>
      <c r="AB327">
        <v>74</v>
      </c>
      <c r="AC327">
        <v>31</v>
      </c>
      <c r="AD327">
        <v>14</v>
      </c>
      <c r="AE327">
        <v>3</v>
      </c>
      <c r="AF327">
        <v>6</v>
      </c>
      <c r="AG327">
        <v>112</v>
      </c>
    </row>
    <row r="328" spans="1:33" x14ac:dyDescent="0.3">
      <c r="A328" t="s">
        <v>133</v>
      </c>
      <c r="B328" t="s">
        <v>138</v>
      </c>
      <c r="C328" t="s">
        <v>36</v>
      </c>
      <c r="D328">
        <v>549</v>
      </c>
      <c r="E328">
        <v>0</v>
      </c>
      <c r="F328">
        <v>74</v>
      </c>
      <c r="G328">
        <v>0</v>
      </c>
      <c r="H328">
        <v>17</v>
      </c>
      <c r="I328">
        <v>0</v>
      </c>
      <c r="J328">
        <v>5</v>
      </c>
      <c r="K328">
        <v>0</v>
      </c>
      <c r="L328">
        <v>1</v>
      </c>
      <c r="M328">
        <v>0</v>
      </c>
      <c r="N328">
        <v>15</v>
      </c>
      <c r="O328">
        <v>1</v>
      </c>
      <c r="P328">
        <v>17</v>
      </c>
      <c r="Q328">
        <v>3</v>
      </c>
      <c r="R328">
        <v>0</v>
      </c>
      <c r="S328">
        <v>0</v>
      </c>
      <c r="T328">
        <v>1</v>
      </c>
      <c r="U328">
        <v>3</v>
      </c>
      <c r="V328">
        <v>0</v>
      </c>
      <c r="W328">
        <v>1</v>
      </c>
      <c r="X328">
        <v>0</v>
      </c>
      <c r="Y328">
        <v>30</v>
      </c>
      <c r="Z328">
        <v>14</v>
      </c>
      <c r="AA328">
        <v>28</v>
      </c>
      <c r="AB328">
        <v>81</v>
      </c>
      <c r="AC328">
        <v>144</v>
      </c>
      <c r="AD328">
        <v>8</v>
      </c>
      <c r="AE328">
        <v>10</v>
      </c>
      <c r="AF328">
        <v>5</v>
      </c>
      <c r="AG328">
        <v>91</v>
      </c>
    </row>
    <row r="329" spans="1:33" x14ac:dyDescent="0.3">
      <c r="A329" t="s">
        <v>139</v>
      </c>
      <c r="B329" t="s">
        <v>32</v>
      </c>
      <c r="C329" t="s">
        <v>32</v>
      </c>
      <c r="D329" s="1">
        <v>28364</v>
      </c>
      <c r="E329">
        <v>1</v>
      </c>
      <c r="F329" s="1">
        <v>10528</v>
      </c>
      <c r="G329">
        <v>2</v>
      </c>
      <c r="H329" s="1">
        <v>4745</v>
      </c>
      <c r="I329">
        <v>0</v>
      </c>
      <c r="J329">
        <v>19</v>
      </c>
      <c r="K329">
        <v>8</v>
      </c>
      <c r="L329">
        <v>46</v>
      </c>
      <c r="M329">
        <v>14</v>
      </c>
      <c r="N329">
        <v>789</v>
      </c>
      <c r="O329">
        <v>167</v>
      </c>
      <c r="P329">
        <v>408</v>
      </c>
      <c r="Q329">
        <v>368</v>
      </c>
      <c r="R329">
        <v>5</v>
      </c>
      <c r="S329">
        <v>0</v>
      </c>
      <c r="T329">
        <v>25</v>
      </c>
      <c r="U329">
        <v>557</v>
      </c>
      <c r="V329">
        <v>6</v>
      </c>
      <c r="W329" s="1">
        <v>1324</v>
      </c>
      <c r="X329">
        <v>0</v>
      </c>
      <c r="Y329" s="1">
        <v>1174</v>
      </c>
      <c r="Z329">
        <v>868</v>
      </c>
      <c r="AA329" s="1">
        <v>1188</v>
      </c>
      <c r="AB329" s="1">
        <v>1770</v>
      </c>
      <c r="AC329" s="1">
        <v>3138</v>
      </c>
      <c r="AD329">
        <v>679</v>
      </c>
      <c r="AE329">
        <v>31</v>
      </c>
      <c r="AF329">
        <v>383</v>
      </c>
      <c r="AG329">
        <v>121</v>
      </c>
    </row>
    <row r="330" spans="1:33" x14ac:dyDescent="0.3">
      <c r="A330" t="s">
        <v>139</v>
      </c>
      <c r="B330" t="s">
        <v>32</v>
      </c>
      <c r="C330" t="s">
        <v>35</v>
      </c>
      <c r="D330" s="1">
        <f>D333+D336+D339+D342+D345</f>
        <v>13498</v>
      </c>
      <c r="E330" s="1">
        <f t="shared" ref="E330:AG330" si="12">E333+E336+E339+E342+E345</f>
        <v>1</v>
      </c>
      <c r="F330" s="1">
        <f t="shared" si="12"/>
        <v>5238</v>
      </c>
      <c r="G330" s="1">
        <f t="shared" si="12"/>
        <v>1</v>
      </c>
      <c r="H330" s="1">
        <f t="shared" si="12"/>
        <v>2338</v>
      </c>
      <c r="I330" s="1">
        <f t="shared" si="12"/>
        <v>0</v>
      </c>
      <c r="J330" s="1">
        <f t="shared" si="12"/>
        <v>8</v>
      </c>
      <c r="K330" s="1">
        <f t="shared" si="12"/>
        <v>7</v>
      </c>
      <c r="L330" s="1">
        <f t="shared" si="12"/>
        <v>39</v>
      </c>
      <c r="M330" s="1">
        <f t="shared" si="12"/>
        <v>8</v>
      </c>
      <c r="N330" s="1">
        <f t="shared" si="12"/>
        <v>390</v>
      </c>
      <c r="O330" s="1">
        <f t="shared" si="12"/>
        <v>105</v>
      </c>
      <c r="P330" s="1">
        <f t="shared" si="12"/>
        <v>99</v>
      </c>
      <c r="Q330" s="1">
        <f t="shared" si="12"/>
        <v>284</v>
      </c>
      <c r="R330" s="1">
        <f t="shared" si="12"/>
        <v>4</v>
      </c>
      <c r="S330" s="1">
        <f t="shared" si="12"/>
        <v>0</v>
      </c>
      <c r="T330" s="1">
        <f t="shared" si="12"/>
        <v>13</v>
      </c>
      <c r="U330" s="1">
        <f t="shared" si="12"/>
        <v>451</v>
      </c>
      <c r="V330" s="1">
        <f t="shared" si="12"/>
        <v>4</v>
      </c>
      <c r="W330" s="1">
        <f t="shared" si="12"/>
        <v>1188</v>
      </c>
      <c r="X330" s="1">
        <f t="shared" si="12"/>
        <v>0</v>
      </c>
      <c r="Y330" s="1">
        <f t="shared" si="12"/>
        <v>451</v>
      </c>
      <c r="Z330" s="1">
        <f t="shared" si="12"/>
        <v>386</v>
      </c>
      <c r="AA330" s="1">
        <f t="shared" si="12"/>
        <v>421</v>
      </c>
      <c r="AB330" s="1">
        <f t="shared" si="12"/>
        <v>803</v>
      </c>
      <c r="AC330" s="1">
        <f t="shared" si="12"/>
        <v>489</v>
      </c>
      <c r="AD330" s="1">
        <f t="shared" si="12"/>
        <v>452</v>
      </c>
      <c r="AE330" s="1">
        <f t="shared" si="12"/>
        <v>2</v>
      </c>
      <c r="AF330" s="1">
        <f t="shared" si="12"/>
        <v>227</v>
      </c>
      <c r="AG330" s="1">
        <f t="shared" si="12"/>
        <v>89</v>
      </c>
    </row>
    <row r="331" spans="1:33" x14ac:dyDescent="0.3">
      <c r="A331" t="s">
        <v>139</v>
      </c>
      <c r="B331" t="s">
        <v>32</v>
      </c>
      <c r="C331" t="s">
        <v>36</v>
      </c>
      <c r="D331" s="1">
        <f>D334+D337+D340+D343+D346</f>
        <v>14866</v>
      </c>
      <c r="E331" s="1">
        <f t="shared" ref="E331:AG331" si="13">E334+E337+E340+E343+E346</f>
        <v>0</v>
      </c>
      <c r="F331" s="1">
        <f t="shared" si="13"/>
        <v>5290</v>
      </c>
      <c r="G331" s="1">
        <f t="shared" si="13"/>
        <v>1</v>
      </c>
      <c r="H331" s="1">
        <f t="shared" si="13"/>
        <v>2407</v>
      </c>
      <c r="I331" s="1">
        <f t="shared" si="13"/>
        <v>0</v>
      </c>
      <c r="J331" s="1">
        <f t="shared" si="13"/>
        <v>11</v>
      </c>
      <c r="K331" s="1">
        <f t="shared" si="13"/>
        <v>1</v>
      </c>
      <c r="L331" s="1">
        <f t="shared" si="13"/>
        <v>7</v>
      </c>
      <c r="M331" s="1">
        <f t="shared" si="13"/>
        <v>6</v>
      </c>
      <c r="N331" s="1">
        <f t="shared" si="13"/>
        <v>399</v>
      </c>
      <c r="O331" s="1">
        <f t="shared" si="13"/>
        <v>62</v>
      </c>
      <c r="P331" s="1">
        <f t="shared" si="13"/>
        <v>309</v>
      </c>
      <c r="Q331" s="1">
        <f t="shared" si="13"/>
        <v>84</v>
      </c>
      <c r="R331" s="1">
        <f t="shared" si="13"/>
        <v>1</v>
      </c>
      <c r="S331" s="1">
        <f t="shared" si="13"/>
        <v>0</v>
      </c>
      <c r="T331" s="1">
        <f t="shared" si="13"/>
        <v>12</v>
      </c>
      <c r="U331" s="1">
        <f t="shared" si="13"/>
        <v>106</v>
      </c>
      <c r="V331" s="1">
        <f t="shared" si="13"/>
        <v>2</v>
      </c>
      <c r="W331" s="1">
        <f t="shared" si="13"/>
        <v>136</v>
      </c>
      <c r="X331" s="1">
        <f t="shared" si="13"/>
        <v>0</v>
      </c>
      <c r="Y331" s="1">
        <f t="shared" si="13"/>
        <v>723</v>
      </c>
      <c r="Z331" s="1">
        <f t="shared" si="13"/>
        <v>482</v>
      </c>
      <c r="AA331" s="1">
        <f t="shared" si="13"/>
        <v>767</v>
      </c>
      <c r="AB331" s="1">
        <f t="shared" si="13"/>
        <v>967</v>
      </c>
      <c r="AC331" s="1">
        <f t="shared" si="13"/>
        <v>2649</v>
      </c>
      <c r="AD331" s="1">
        <f t="shared" si="13"/>
        <v>227</v>
      </c>
      <c r="AE331" s="1">
        <f t="shared" si="13"/>
        <v>29</v>
      </c>
      <c r="AF331" s="1">
        <f t="shared" si="13"/>
        <v>156</v>
      </c>
      <c r="AG331" s="1">
        <f t="shared" si="13"/>
        <v>32</v>
      </c>
    </row>
    <row r="332" spans="1:33" x14ac:dyDescent="0.3">
      <c r="A332" t="s">
        <v>139</v>
      </c>
      <c r="B332" t="s">
        <v>140</v>
      </c>
      <c r="C332" t="s">
        <v>32</v>
      </c>
      <c r="D332" s="1">
        <v>3725</v>
      </c>
      <c r="E332">
        <v>0</v>
      </c>
      <c r="F332">
        <v>682</v>
      </c>
      <c r="G332">
        <v>1</v>
      </c>
      <c r="H332">
        <v>791</v>
      </c>
      <c r="I332">
        <v>0</v>
      </c>
      <c r="J332">
        <v>3</v>
      </c>
      <c r="K332">
        <v>4</v>
      </c>
      <c r="L332">
        <v>9</v>
      </c>
      <c r="M332">
        <v>0</v>
      </c>
      <c r="N332">
        <v>99</v>
      </c>
      <c r="O332">
        <v>7</v>
      </c>
      <c r="P332">
        <v>15</v>
      </c>
      <c r="Q332">
        <v>2</v>
      </c>
      <c r="R332">
        <v>0</v>
      </c>
      <c r="S332">
        <v>0</v>
      </c>
      <c r="T332">
        <v>10</v>
      </c>
      <c r="U332">
        <v>115</v>
      </c>
      <c r="V332">
        <v>1</v>
      </c>
      <c r="W332">
        <v>679</v>
      </c>
      <c r="X332">
        <v>0</v>
      </c>
      <c r="Y332">
        <v>200</v>
      </c>
      <c r="Z332">
        <v>55</v>
      </c>
      <c r="AA332">
        <v>126</v>
      </c>
      <c r="AB332">
        <v>199</v>
      </c>
      <c r="AC332">
        <v>489</v>
      </c>
      <c r="AD332">
        <v>137</v>
      </c>
      <c r="AE332">
        <v>4</v>
      </c>
      <c r="AF332">
        <v>75</v>
      </c>
      <c r="AG332">
        <v>22</v>
      </c>
    </row>
    <row r="333" spans="1:33" x14ac:dyDescent="0.3">
      <c r="A333" t="s">
        <v>139</v>
      </c>
      <c r="B333" t="s">
        <v>140</v>
      </c>
      <c r="C333" t="s">
        <v>35</v>
      </c>
      <c r="D333" s="1">
        <v>1975</v>
      </c>
      <c r="E333">
        <v>0</v>
      </c>
      <c r="F333">
        <v>336</v>
      </c>
      <c r="G333">
        <v>0</v>
      </c>
      <c r="H333">
        <v>426</v>
      </c>
      <c r="I333">
        <v>0</v>
      </c>
      <c r="J333">
        <v>0</v>
      </c>
      <c r="K333">
        <v>3</v>
      </c>
      <c r="L333">
        <v>8</v>
      </c>
      <c r="M333">
        <v>0</v>
      </c>
      <c r="N333">
        <v>49</v>
      </c>
      <c r="O333">
        <v>5</v>
      </c>
      <c r="P333">
        <v>2</v>
      </c>
      <c r="Q333">
        <v>2</v>
      </c>
      <c r="R333">
        <v>0</v>
      </c>
      <c r="S333">
        <v>0</v>
      </c>
      <c r="T333">
        <v>8</v>
      </c>
      <c r="U333">
        <v>107</v>
      </c>
      <c r="V333">
        <v>1</v>
      </c>
      <c r="W333">
        <v>614</v>
      </c>
      <c r="X333">
        <v>0</v>
      </c>
      <c r="Y333">
        <v>79</v>
      </c>
      <c r="Z333">
        <v>22</v>
      </c>
      <c r="AA333">
        <v>40</v>
      </c>
      <c r="AB333">
        <v>89</v>
      </c>
      <c r="AC333">
        <v>46</v>
      </c>
      <c r="AD333">
        <v>87</v>
      </c>
      <c r="AE333">
        <v>0</v>
      </c>
      <c r="AF333">
        <v>38</v>
      </c>
      <c r="AG333">
        <v>13</v>
      </c>
    </row>
    <row r="334" spans="1:33" x14ac:dyDescent="0.3">
      <c r="A334" t="s">
        <v>139</v>
      </c>
      <c r="B334" t="s">
        <v>140</v>
      </c>
      <c r="C334" t="s">
        <v>36</v>
      </c>
      <c r="D334" s="1">
        <v>1750</v>
      </c>
      <c r="E334">
        <v>0</v>
      </c>
      <c r="F334">
        <v>346</v>
      </c>
      <c r="G334">
        <v>1</v>
      </c>
      <c r="H334">
        <v>365</v>
      </c>
      <c r="I334">
        <v>0</v>
      </c>
      <c r="J334">
        <v>3</v>
      </c>
      <c r="K334">
        <v>1</v>
      </c>
      <c r="L334">
        <v>1</v>
      </c>
      <c r="M334">
        <v>0</v>
      </c>
      <c r="N334">
        <v>50</v>
      </c>
      <c r="O334">
        <v>2</v>
      </c>
      <c r="P334">
        <v>13</v>
      </c>
      <c r="Q334">
        <v>0</v>
      </c>
      <c r="R334">
        <v>0</v>
      </c>
      <c r="S334">
        <v>0</v>
      </c>
      <c r="T334">
        <v>2</v>
      </c>
      <c r="U334">
        <v>8</v>
      </c>
      <c r="V334">
        <v>0</v>
      </c>
      <c r="W334">
        <v>65</v>
      </c>
      <c r="X334">
        <v>0</v>
      </c>
      <c r="Y334">
        <v>121</v>
      </c>
      <c r="Z334">
        <v>33</v>
      </c>
      <c r="AA334">
        <v>86</v>
      </c>
      <c r="AB334">
        <v>110</v>
      </c>
      <c r="AC334">
        <v>443</v>
      </c>
      <c r="AD334">
        <v>50</v>
      </c>
      <c r="AE334">
        <v>4</v>
      </c>
      <c r="AF334">
        <v>37</v>
      </c>
      <c r="AG334">
        <v>9</v>
      </c>
    </row>
    <row r="335" spans="1:33" x14ac:dyDescent="0.3">
      <c r="A335" t="s">
        <v>139</v>
      </c>
      <c r="B335" t="s">
        <v>130</v>
      </c>
      <c r="C335" t="s">
        <v>32</v>
      </c>
      <c r="D335" s="1">
        <v>7606</v>
      </c>
      <c r="E335">
        <v>0</v>
      </c>
      <c r="F335" s="1">
        <v>4038</v>
      </c>
      <c r="G335">
        <v>1</v>
      </c>
      <c r="H335" s="1">
        <v>1204</v>
      </c>
      <c r="I335">
        <v>0</v>
      </c>
      <c r="J335" s="1">
        <v>0</v>
      </c>
      <c r="K335">
        <v>0</v>
      </c>
      <c r="L335">
        <v>11</v>
      </c>
      <c r="M335">
        <v>4</v>
      </c>
      <c r="N335">
        <v>308</v>
      </c>
      <c r="O335">
        <v>116</v>
      </c>
      <c r="P335">
        <v>22</v>
      </c>
      <c r="Q335">
        <v>2</v>
      </c>
      <c r="R335">
        <v>0</v>
      </c>
      <c r="S335">
        <v>0</v>
      </c>
      <c r="T335">
        <v>4</v>
      </c>
      <c r="U335">
        <v>66</v>
      </c>
      <c r="V335">
        <v>5</v>
      </c>
      <c r="W335">
        <v>150</v>
      </c>
      <c r="X335">
        <v>0</v>
      </c>
      <c r="Y335">
        <v>233</v>
      </c>
      <c r="Z335">
        <v>123</v>
      </c>
      <c r="AA335">
        <v>187</v>
      </c>
      <c r="AB335">
        <v>259</v>
      </c>
      <c r="AC335">
        <v>626</v>
      </c>
      <c r="AD335">
        <v>172</v>
      </c>
      <c r="AE335">
        <v>6</v>
      </c>
      <c r="AF335">
        <v>57</v>
      </c>
      <c r="AG335">
        <v>12</v>
      </c>
    </row>
    <row r="336" spans="1:33" x14ac:dyDescent="0.3">
      <c r="A336" t="s">
        <v>139</v>
      </c>
      <c r="B336" t="s">
        <v>130</v>
      </c>
      <c r="C336" t="s">
        <v>35</v>
      </c>
      <c r="D336" s="1">
        <v>3578</v>
      </c>
      <c r="E336">
        <v>0</v>
      </c>
      <c r="F336" s="1">
        <v>1987</v>
      </c>
      <c r="G336">
        <v>1</v>
      </c>
      <c r="H336">
        <v>603</v>
      </c>
      <c r="I336">
        <v>0</v>
      </c>
      <c r="J336">
        <v>0</v>
      </c>
      <c r="K336">
        <v>0</v>
      </c>
      <c r="L336">
        <v>8</v>
      </c>
      <c r="M336">
        <v>3</v>
      </c>
      <c r="N336">
        <v>161</v>
      </c>
      <c r="O336">
        <v>71</v>
      </c>
      <c r="P336">
        <v>4</v>
      </c>
      <c r="Q336">
        <v>2</v>
      </c>
      <c r="R336">
        <v>0</v>
      </c>
      <c r="S336">
        <v>0</v>
      </c>
      <c r="T336">
        <v>2</v>
      </c>
      <c r="U336">
        <v>53</v>
      </c>
      <c r="V336">
        <v>3</v>
      </c>
      <c r="W336">
        <v>129</v>
      </c>
      <c r="X336">
        <v>0</v>
      </c>
      <c r="Y336">
        <v>89</v>
      </c>
      <c r="Z336">
        <v>39</v>
      </c>
      <c r="AA336">
        <v>72</v>
      </c>
      <c r="AB336">
        <v>105</v>
      </c>
      <c r="AC336">
        <v>82</v>
      </c>
      <c r="AD336">
        <v>113</v>
      </c>
      <c r="AE336">
        <v>0</v>
      </c>
      <c r="AF336">
        <v>40</v>
      </c>
      <c r="AG336">
        <v>11</v>
      </c>
    </row>
    <row r="337" spans="1:33" x14ac:dyDescent="0.3">
      <c r="A337" t="s">
        <v>139</v>
      </c>
      <c r="B337" t="s">
        <v>130</v>
      </c>
      <c r="C337" t="s">
        <v>36</v>
      </c>
      <c r="D337" s="1">
        <v>4028</v>
      </c>
      <c r="E337">
        <v>0</v>
      </c>
      <c r="F337" s="1">
        <v>2051</v>
      </c>
      <c r="G337">
        <v>0</v>
      </c>
      <c r="H337">
        <v>601</v>
      </c>
      <c r="I337">
        <v>0</v>
      </c>
      <c r="J337">
        <v>0</v>
      </c>
      <c r="K337">
        <v>0</v>
      </c>
      <c r="L337">
        <v>3</v>
      </c>
      <c r="M337">
        <v>1</v>
      </c>
      <c r="N337">
        <v>147</v>
      </c>
      <c r="O337">
        <v>45</v>
      </c>
      <c r="P337">
        <v>18</v>
      </c>
      <c r="Q337">
        <v>0</v>
      </c>
      <c r="R337">
        <v>0</v>
      </c>
      <c r="S337">
        <v>0</v>
      </c>
      <c r="T337">
        <v>2</v>
      </c>
      <c r="U337">
        <v>13</v>
      </c>
      <c r="V337">
        <v>2</v>
      </c>
      <c r="W337">
        <v>21</v>
      </c>
      <c r="X337">
        <v>0</v>
      </c>
      <c r="Y337">
        <v>144</v>
      </c>
      <c r="Z337">
        <v>84</v>
      </c>
      <c r="AA337">
        <v>115</v>
      </c>
      <c r="AB337">
        <v>154</v>
      </c>
      <c r="AC337">
        <v>544</v>
      </c>
      <c r="AD337">
        <v>59</v>
      </c>
      <c r="AE337">
        <v>6</v>
      </c>
      <c r="AF337">
        <v>17</v>
      </c>
      <c r="AG337">
        <v>1</v>
      </c>
    </row>
    <row r="338" spans="1:33" x14ac:dyDescent="0.3">
      <c r="A338" t="s">
        <v>139</v>
      </c>
      <c r="B338" t="s">
        <v>132</v>
      </c>
      <c r="C338" t="s">
        <v>32</v>
      </c>
      <c r="D338" s="1">
        <v>6170</v>
      </c>
      <c r="E338">
        <v>0</v>
      </c>
      <c r="F338" s="1">
        <v>2133</v>
      </c>
      <c r="G338">
        <v>0</v>
      </c>
      <c r="H338" s="1">
        <v>1257</v>
      </c>
      <c r="I338">
        <v>0</v>
      </c>
      <c r="J338">
        <v>11</v>
      </c>
      <c r="K338">
        <v>0</v>
      </c>
      <c r="L338">
        <v>6</v>
      </c>
      <c r="M338">
        <v>2</v>
      </c>
      <c r="N338">
        <v>143</v>
      </c>
      <c r="O338">
        <v>6</v>
      </c>
      <c r="P338">
        <v>213</v>
      </c>
      <c r="Q338">
        <v>60</v>
      </c>
      <c r="R338">
        <v>0</v>
      </c>
      <c r="S338">
        <v>0</v>
      </c>
      <c r="T338">
        <v>5</v>
      </c>
      <c r="U338">
        <v>98</v>
      </c>
      <c r="V338">
        <v>0</v>
      </c>
      <c r="W338">
        <v>80</v>
      </c>
      <c r="X338">
        <v>0</v>
      </c>
      <c r="Y338">
        <v>282</v>
      </c>
      <c r="Z338">
        <v>173</v>
      </c>
      <c r="AA338">
        <v>178</v>
      </c>
      <c r="AB338">
        <v>403</v>
      </c>
      <c r="AC338">
        <v>819</v>
      </c>
      <c r="AD338">
        <v>155</v>
      </c>
      <c r="AE338">
        <v>7</v>
      </c>
      <c r="AF338">
        <v>115</v>
      </c>
      <c r="AG338">
        <v>24</v>
      </c>
    </row>
    <row r="339" spans="1:33" x14ac:dyDescent="0.3">
      <c r="A339" t="s">
        <v>139</v>
      </c>
      <c r="B339" t="s">
        <v>132</v>
      </c>
      <c r="C339" t="s">
        <v>35</v>
      </c>
      <c r="D339" s="1">
        <v>2624</v>
      </c>
      <c r="E339">
        <v>0</v>
      </c>
      <c r="F339">
        <v>974</v>
      </c>
      <c r="G339">
        <v>0</v>
      </c>
      <c r="H339">
        <v>569</v>
      </c>
      <c r="I339">
        <v>0</v>
      </c>
      <c r="J339">
        <v>4</v>
      </c>
      <c r="K339">
        <v>0</v>
      </c>
      <c r="L339">
        <v>6</v>
      </c>
      <c r="M339">
        <v>1</v>
      </c>
      <c r="N339">
        <v>75</v>
      </c>
      <c r="O339">
        <v>2</v>
      </c>
      <c r="P339">
        <v>55</v>
      </c>
      <c r="Q339">
        <v>48</v>
      </c>
      <c r="R339">
        <v>0</v>
      </c>
      <c r="S339">
        <v>0</v>
      </c>
      <c r="T339">
        <v>1</v>
      </c>
      <c r="U339">
        <v>78</v>
      </c>
      <c r="V339">
        <v>0</v>
      </c>
      <c r="W339">
        <v>65</v>
      </c>
      <c r="X339">
        <v>0</v>
      </c>
      <c r="Y339">
        <v>110</v>
      </c>
      <c r="Z339">
        <v>79</v>
      </c>
      <c r="AA339">
        <v>70</v>
      </c>
      <c r="AB339">
        <v>167</v>
      </c>
      <c r="AC339">
        <v>148</v>
      </c>
      <c r="AD339">
        <v>95</v>
      </c>
      <c r="AE339">
        <v>1</v>
      </c>
      <c r="AF339">
        <v>62</v>
      </c>
      <c r="AG339">
        <v>14</v>
      </c>
    </row>
    <row r="340" spans="1:33" x14ac:dyDescent="0.3">
      <c r="A340" t="s">
        <v>139</v>
      </c>
      <c r="B340" t="s">
        <v>132</v>
      </c>
      <c r="C340" t="s">
        <v>36</v>
      </c>
      <c r="D340" s="1">
        <v>3546</v>
      </c>
      <c r="E340">
        <v>0</v>
      </c>
      <c r="F340" s="1">
        <v>1159</v>
      </c>
      <c r="G340">
        <v>0</v>
      </c>
      <c r="H340">
        <v>688</v>
      </c>
      <c r="I340">
        <v>0</v>
      </c>
      <c r="J340">
        <v>7</v>
      </c>
      <c r="K340">
        <v>0</v>
      </c>
      <c r="L340">
        <v>0</v>
      </c>
      <c r="M340">
        <v>1</v>
      </c>
      <c r="N340">
        <v>68</v>
      </c>
      <c r="O340">
        <v>4</v>
      </c>
      <c r="P340">
        <v>158</v>
      </c>
      <c r="Q340">
        <v>12</v>
      </c>
      <c r="R340">
        <v>0</v>
      </c>
      <c r="S340">
        <v>0</v>
      </c>
      <c r="T340">
        <v>4</v>
      </c>
      <c r="U340">
        <v>20</v>
      </c>
      <c r="V340">
        <v>0</v>
      </c>
      <c r="W340">
        <v>15</v>
      </c>
      <c r="X340">
        <v>0</v>
      </c>
      <c r="Y340">
        <v>172</v>
      </c>
      <c r="Z340">
        <v>94</v>
      </c>
      <c r="AA340">
        <v>108</v>
      </c>
      <c r="AB340">
        <v>236</v>
      </c>
      <c r="AC340">
        <v>671</v>
      </c>
      <c r="AD340">
        <v>60</v>
      </c>
      <c r="AE340">
        <v>6</v>
      </c>
      <c r="AF340">
        <v>53</v>
      </c>
      <c r="AG340">
        <v>10</v>
      </c>
    </row>
    <row r="341" spans="1:33" x14ac:dyDescent="0.3">
      <c r="A341" t="s">
        <v>139</v>
      </c>
      <c r="B341" t="s">
        <v>141</v>
      </c>
      <c r="C341" t="s">
        <v>32</v>
      </c>
      <c r="D341" s="1">
        <v>9188</v>
      </c>
      <c r="E341">
        <v>1</v>
      </c>
      <c r="F341" s="1">
        <v>3539</v>
      </c>
      <c r="G341">
        <v>0</v>
      </c>
      <c r="H341" s="1">
        <v>1473</v>
      </c>
      <c r="I341">
        <v>0</v>
      </c>
      <c r="J341">
        <v>4</v>
      </c>
      <c r="K341">
        <v>4</v>
      </c>
      <c r="L341">
        <v>17</v>
      </c>
      <c r="M341">
        <v>7</v>
      </c>
      <c r="N341">
        <v>204</v>
      </c>
      <c r="O341">
        <v>32</v>
      </c>
      <c r="P341">
        <v>112</v>
      </c>
      <c r="Q341">
        <v>301</v>
      </c>
      <c r="R341">
        <v>5</v>
      </c>
      <c r="S341">
        <v>0</v>
      </c>
      <c r="T341">
        <v>3</v>
      </c>
      <c r="U341">
        <v>250</v>
      </c>
      <c r="V341">
        <v>0</v>
      </c>
      <c r="W341">
        <v>313</v>
      </c>
      <c r="X341">
        <v>0</v>
      </c>
      <c r="Y341">
        <v>252</v>
      </c>
      <c r="Z341">
        <v>449</v>
      </c>
      <c r="AA341">
        <v>635</v>
      </c>
      <c r="AB341">
        <v>651</v>
      </c>
      <c r="AC341">
        <v>687</v>
      </c>
      <c r="AD341">
        <v>110</v>
      </c>
      <c r="AE341">
        <v>14</v>
      </c>
      <c r="AF341">
        <v>73</v>
      </c>
      <c r="AG341">
        <v>52</v>
      </c>
    </row>
    <row r="342" spans="1:33" x14ac:dyDescent="0.3">
      <c r="A342" t="s">
        <v>139</v>
      </c>
      <c r="B342" t="s">
        <v>141</v>
      </c>
      <c r="C342" t="s">
        <v>35</v>
      </c>
      <c r="D342" s="1">
        <v>4668</v>
      </c>
      <c r="E342">
        <v>1</v>
      </c>
      <c r="F342" s="1">
        <v>1880</v>
      </c>
      <c r="G342">
        <v>0</v>
      </c>
      <c r="H342">
        <v>734</v>
      </c>
      <c r="I342">
        <v>0</v>
      </c>
      <c r="J342">
        <v>4</v>
      </c>
      <c r="K342">
        <v>4</v>
      </c>
      <c r="L342">
        <v>14</v>
      </c>
      <c r="M342">
        <v>4</v>
      </c>
      <c r="N342">
        <v>96</v>
      </c>
      <c r="O342">
        <v>24</v>
      </c>
      <c r="P342">
        <v>31</v>
      </c>
      <c r="Q342">
        <v>231</v>
      </c>
      <c r="R342">
        <v>4</v>
      </c>
      <c r="S342">
        <v>0</v>
      </c>
      <c r="T342">
        <v>0</v>
      </c>
      <c r="U342">
        <v>188</v>
      </c>
      <c r="V342">
        <v>0</v>
      </c>
      <c r="W342">
        <v>287</v>
      </c>
      <c r="X342">
        <v>0</v>
      </c>
      <c r="Y342">
        <v>99</v>
      </c>
      <c r="Z342">
        <v>210</v>
      </c>
      <c r="AA342">
        <v>215</v>
      </c>
      <c r="AB342">
        <v>330</v>
      </c>
      <c r="AC342">
        <v>143</v>
      </c>
      <c r="AD342">
        <v>78</v>
      </c>
      <c r="AE342">
        <v>1</v>
      </c>
      <c r="AF342">
        <v>47</v>
      </c>
      <c r="AG342">
        <v>43</v>
      </c>
    </row>
    <row r="343" spans="1:33" x14ac:dyDescent="0.3">
      <c r="A343" t="s">
        <v>139</v>
      </c>
      <c r="B343" t="s">
        <v>141</v>
      </c>
      <c r="C343" t="s">
        <v>36</v>
      </c>
      <c r="D343" s="1">
        <v>4520</v>
      </c>
      <c r="E343">
        <v>0</v>
      </c>
      <c r="F343" s="1">
        <v>1659</v>
      </c>
      <c r="G343">
        <v>0</v>
      </c>
      <c r="H343">
        <v>739</v>
      </c>
      <c r="I343">
        <v>0</v>
      </c>
      <c r="J343">
        <v>0</v>
      </c>
      <c r="K343">
        <v>0</v>
      </c>
      <c r="L343">
        <v>3</v>
      </c>
      <c r="M343">
        <v>3</v>
      </c>
      <c r="N343">
        <v>108</v>
      </c>
      <c r="O343">
        <v>8</v>
      </c>
      <c r="P343">
        <v>81</v>
      </c>
      <c r="Q343">
        <v>70</v>
      </c>
      <c r="R343">
        <v>1</v>
      </c>
      <c r="S343">
        <v>0</v>
      </c>
      <c r="T343">
        <v>3</v>
      </c>
      <c r="U343">
        <v>62</v>
      </c>
      <c r="V343">
        <v>0</v>
      </c>
      <c r="W343">
        <v>26</v>
      </c>
      <c r="X343">
        <v>0</v>
      </c>
      <c r="Y343">
        <v>153</v>
      </c>
      <c r="Z343">
        <v>239</v>
      </c>
      <c r="AA343">
        <v>420</v>
      </c>
      <c r="AB343">
        <v>321</v>
      </c>
      <c r="AC343">
        <v>544</v>
      </c>
      <c r="AD343">
        <v>32</v>
      </c>
      <c r="AE343">
        <v>13</v>
      </c>
      <c r="AF343">
        <v>26</v>
      </c>
      <c r="AG343">
        <v>9</v>
      </c>
    </row>
    <row r="344" spans="1:33" x14ac:dyDescent="0.3">
      <c r="A344" t="s">
        <v>139</v>
      </c>
      <c r="B344" t="s">
        <v>138</v>
      </c>
      <c r="C344" t="s">
        <v>32</v>
      </c>
      <c r="D344" s="1">
        <v>1675</v>
      </c>
      <c r="E344">
        <v>0</v>
      </c>
      <c r="F344">
        <v>136</v>
      </c>
      <c r="G344">
        <v>0</v>
      </c>
      <c r="H344">
        <v>20</v>
      </c>
      <c r="I344">
        <v>0</v>
      </c>
      <c r="J344">
        <v>1</v>
      </c>
      <c r="K344">
        <v>0</v>
      </c>
      <c r="L344">
        <v>3</v>
      </c>
      <c r="M344">
        <v>1</v>
      </c>
      <c r="N344">
        <v>35</v>
      </c>
      <c r="O344">
        <v>6</v>
      </c>
      <c r="P344">
        <v>46</v>
      </c>
      <c r="Q344">
        <v>3</v>
      </c>
      <c r="R344">
        <v>0</v>
      </c>
      <c r="S344">
        <v>0</v>
      </c>
      <c r="T344">
        <v>3</v>
      </c>
      <c r="U344">
        <v>28</v>
      </c>
      <c r="V344">
        <v>0</v>
      </c>
      <c r="W344">
        <v>102</v>
      </c>
      <c r="X344">
        <v>0</v>
      </c>
      <c r="Y344">
        <v>207</v>
      </c>
      <c r="Z344">
        <v>68</v>
      </c>
      <c r="AA344">
        <v>62</v>
      </c>
      <c r="AB344">
        <v>258</v>
      </c>
      <c r="AC344">
        <v>517</v>
      </c>
      <c r="AD344">
        <v>105</v>
      </c>
      <c r="AE344">
        <v>0</v>
      </c>
      <c r="AF344">
        <v>63</v>
      </c>
      <c r="AG344">
        <v>11</v>
      </c>
    </row>
    <row r="345" spans="1:33" x14ac:dyDescent="0.3">
      <c r="A345" t="s">
        <v>139</v>
      </c>
      <c r="B345" t="s">
        <v>138</v>
      </c>
      <c r="C345" t="s">
        <v>35</v>
      </c>
      <c r="D345">
        <v>653</v>
      </c>
      <c r="E345">
        <v>0</v>
      </c>
      <c r="F345">
        <v>61</v>
      </c>
      <c r="G345">
        <v>0</v>
      </c>
      <c r="H345">
        <v>6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9</v>
      </c>
      <c r="O345">
        <v>3</v>
      </c>
      <c r="P345">
        <v>7</v>
      </c>
      <c r="Q345">
        <v>1</v>
      </c>
      <c r="R345">
        <v>0</v>
      </c>
      <c r="S345">
        <v>0</v>
      </c>
      <c r="T345">
        <v>2</v>
      </c>
      <c r="U345">
        <v>25</v>
      </c>
      <c r="V345">
        <v>0</v>
      </c>
      <c r="W345">
        <v>93</v>
      </c>
      <c r="X345">
        <v>0</v>
      </c>
      <c r="Y345">
        <v>74</v>
      </c>
      <c r="Z345">
        <v>36</v>
      </c>
      <c r="AA345">
        <v>24</v>
      </c>
      <c r="AB345">
        <v>112</v>
      </c>
      <c r="AC345">
        <v>70</v>
      </c>
      <c r="AD345">
        <v>79</v>
      </c>
      <c r="AE345">
        <v>0</v>
      </c>
      <c r="AF345">
        <v>40</v>
      </c>
      <c r="AG345">
        <v>8</v>
      </c>
    </row>
    <row r="346" spans="1:33" x14ac:dyDescent="0.3">
      <c r="A346" t="s">
        <v>139</v>
      </c>
      <c r="B346" t="s">
        <v>138</v>
      </c>
      <c r="C346" t="s">
        <v>36</v>
      </c>
      <c r="D346" s="1">
        <v>1022</v>
      </c>
      <c r="E346">
        <v>0</v>
      </c>
      <c r="F346">
        <v>75</v>
      </c>
      <c r="G346">
        <v>0</v>
      </c>
      <c r="H346">
        <v>14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26</v>
      </c>
      <c r="O346">
        <v>3</v>
      </c>
      <c r="P346">
        <v>39</v>
      </c>
      <c r="Q346">
        <v>2</v>
      </c>
      <c r="R346">
        <v>0</v>
      </c>
      <c r="S346">
        <v>0</v>
      </c>
      <c r="T346">
        <v>1</v>
      </c>
      <c r="U346">
        <v>3</v>
      </c>
      <c r="V346">
        <v>0</v>
      </c>
      <c r="W346">
        <v>9</v>
      </c>
      <c r="X346">
        <v>0</v>
      </c>
      <c r="Y346">
        <v>133</v>
      </c>
      <c r="Z346">
        <v>32</v>
      </c>
      <c r="AA346">
        <v>38</v>
      </c>
      <c r="AB346">
        <v>146</v>
      </c>
      <c r="AC346">
        <v>447</v>
      </c>
      <c r="AD346">
        <v>26</v>
      </c>
      <c r="AE346">
        <v>0</v>
      </c>
      <c r="AF346">
        <v>23</v>
      </c>
      <c r="AG346">
        <v>3</v>
      </c>
    </row>
    <row r="347" spans="1:33" x14ac:dyDescent="0.3">
      <c r="A347" t="s">
        <v>142</v>
      </c>
      <c r="B347" t="s">
        <v>32</v>
      </c>
      <c r="C347" t="s">
        <v>32</v>
      </c>
      <c r="D347" s="1">
        <v>60929</v>
      </c>
      <c r="E347">
        <v>1</v>
      </c>
      <c r="F347" s="1">
        <v>16752</v>
      </c>
      <c r="G347">
        <v>87</v>
      </c>
      <c r="H347" s="1">
        <v>5974</v>
      </c>
      <c r="I347">
        <v>1</v>
      </c>
      <c r="J347">
        <v>104</v>
      </c>
      <c r="K347">
        <v>86</v>
      </c>
      <c r="L347">
        <v>292</v>
      </c>
      <c r="M347">
        <v>162</v>
      </c>
      <c r="N347" s="1">
        <v>1243</v>
      </c>
      <c r="O347">
        <v>110</v>
      </c>
      <c r="P347">
        <v>868</v>
      </c>
      <c r="Q347">
        <v>178</v>
      </c>
      <c r="R347">
        <v>0</v>
      </c>
      <c r="S347">
        <v>1</v>
      </c>
      <c r="T347">
        <v>295</v>
      </c>
      <c r="U347" s="1">
        <v>2953</v>
      </c>
      <c r="V347">
        <v>32</v>
      </c>
      <c r="W347" s="1">
        <v>9706</v>
      </c>
      <c r="X347" s="1">
        <v>3086</v>
      </c>
      <c r="Y347" s="1">
        <v>2120</v>
      </c>
      <c r="Z347" s="1">
        <v>1578</v>
      </c>
      <c r="AA347" s="1">
        <v>2187</v>
      </c>
      <c r="AB347" s="1">
        <v>4015</v>
      </c>
      <c r="AC347" s="1">
        <v>6683</v>
      </c>
      <c r="AD347">
        <v>889</v>
      </c>
      <c r="AE347">
        <v>195</v>
      </c>
      <c r="AF347">
        <v>533</v>
      </c>
      <c r="AG347">
        <v>798</v>
      </c>
    </row>
    <row r="348" spans="1:33" x14ac:dyDescent="0.3">
      <c r="A348" t="s">
        <v>142</v>
      </c>
      <c r="B348" t="s">
        <v>32</v>
      </c>
      <c r="C348" t="s">
        <v>35</v>
      </c>
      <c r="D348" s="1">
        <f>D351+D354+D357+D360+D363+D366+D369+D372+D375+D378+D381+D384+D387+D390+D393+D396</f>
        <v>34654</v>
      </c>
      <c r="E348" s="1">
        <f t="shared" ref="E348:AG348" si="14">E351+E354+E357+E360+E363+E366+E369+E372+E375+E378+E381+E384+E387+E390+E393+E396</f>
        <v>0</v>
      </c>
      <c r="F348" s="1">
        <f t="shared" si="14"/>
        <v>8210</v>
      </c>
      <c r="G348" s="1">
        <f t="shared" si="14"/>
        <v>46</v>
      </c>
      <c r="H348" s="1">
        <f t="shared" si="14"/>
        <v>2959</v>
      </c>
      <c r="I348" s="1">
        <f t="shared" si="14"/>
        <v>0</v>
      </c>
      <c r="J348" s="1">
        <f t="shared" si="14"/>
        <v>62</v>
      </c>
      <c r="K348" s="1">
        <f t="shared" si="14"/>
        <v>79</v>
      </c>
      <c r="L348" s="1">
        <f t="shared" si="14"/>
        <v>250</v>
      </c>
      <c r="M348" s="1">
        <f t="shared" si="14"/>
        <v>144</v>
      </c>
      <c r="N348" s="1">
        <f t="shared" si="14"/>
        <v>580</v>
      </c>
      <c r="O348" s="1">
        <f t="shared" si="14"/>
        <v>76</v>
      </c>
      <c r="P348" s="1">
        <f t="shared" si="14"/>
        <v>305</v>
      </c>
      <c r="Q348" s="1">
        <f t="shared" si="14"/>
        <v>138</v>
      </c>
      <c r="R348" s="1">
        <f t="shared" si="14"/>
        <v>0</v>
      </c>
      <c r="S348" s="1">
        <f t="shared" si="14"/>
        <v>1</v>
      </c>
      <c r="T348" s="1">
        <f t="shared" si="14"/>
        <v>61</v>
      </c>
      <c r="U348" s="1">
        <f t="shared" si="14"/>
        <v>2606</v>
      </c>
      <c r="V348" s="1">
        <f t="shared" si="14"/>
        <v>30</v>
      </c>
      <c r="W348" s="1">
        <f t="shared" si="14"/>
        <v>9228</v>
      </c>
      <c r="X348" s="1">
        <f t="shared" si="14"/>
        <v>3078</v>
      </c>
      <c r="Y348" s="1">
        <f t="shared" si="14"/>
        <v>822</v>
      </c>
      <c r="Z348" s="1">
        <f t="shared" si="14"/>
        <v>750</v>
      </c>
      <c r="AA348" s="1">
        <f t="shared" si="14"/>
        <v>805</v>
      </c>
      <c r="AB348" s="1">
        <f t="shared" si="14"/>
        <v>1749</v>
      </c>
      <c r="AC348" s="1">
        <f t="shared" si="14"/>
        <v>1327</v>
      </c>
      <c r="AD348" s="1">
        <f t="shared" si="14"/>
        <v>537</v>
      </c>
      <c r="AE348" s="1">
        <f t="shared" si="14"/>
        <v>34</v>
      </c>
      <c r="AF348" s="1">
        <f t="shared" si="14"/>
        <v>307</v>
      </c>
      <c r="AG348" s="1">
        <f t="shared" si="14"/>
        <v>470</v>
      </c>
    </row>
    <row r="349" spans="1:33" x14ac:dyDescent="0.3">
      <c r="A349" t="s">
        <v>142</v>
      </c>
      <c r="B349" t="s">
        <v>32</v>
      </c>
      <c r="C349" t="s">
        <v>36</v>
      </c>
      <c r="D349" s="1">
        <f>D352+D355+D358+D361+D364+D367+D370+D373+D376+D379+D382+D385+D388+D391+D394+D397</f>
        <v>26275</v>
      </c>
      <c r="E349" s="1">
        <f t="shared" ref="E349:AG349" si="15">E352+E355+E358+E361+E364+E367+E370+E373+E376+E379+E382+E385+E388+E391+E394+E397</f>
        <v>1</v>
      </c>
      <c r="F349" s="1">
        <f t="shared" si="15"/>
        <v>8542</v>
      </c>
      <c r="G349" s="1">
        <f t="shared" si="15"/>
        <v>41</v>
      </c>
      <c r="H349" s="1">
        <f t="shared" si="15"/>
        <v>3015</v>
      </c>
      <c r="I349" s="1">
        <f t="shared" si="15"/>
        <v>1</v>
      </c>
      <c r="J349" s="1">
        <f t="shared" si="15"/>
        <v>42</v>
      </c>
      <c r="K349" s="1">
        <f t="shared" si="15"/>
        <v>7</v>
      </c>
      <c r="L349" s="1">
        <f t="shared" si="15"/>
        <v>42</v>
      </c>
      <c r="M349" s="1">
        <f t="shared" si="15"/>
        <v>18</v>
      </c>
      <c r="N349" s="1">
        <f t="shared" si="15"/>
        <v>663</v>
      </c>
      <c r="O349" s="1">
        <f t="shared" si="15"/>
        <v>34</v>
      </c>
      <c r="P349" s="1">
        <f t="shared" si="15"/>
        <v>563</v>
      </c>
      <c r="Q349" s="1">
        <f t="shared" si="15"/>
        <v>40</v>
      </c>
      <c r="R349" s="1">
        <f t="shared" si="15"/>
        <v>0</v>
      </c>
      <c r="S349" s="1">
        <f t="shared" si="15"/>
        <v>0</v>
      </c>
      <c r="T349" s="1">
        <f t="shared" si="15"/>
        <v>234</v>
      </c>
      <c r="U349" s="1">
        <f t="shared" si="15"/>
        <v>347</v>
      </c>
      <c r="V349" s="1">
        <f t="shared" si="15"/>
        <v>2</v>
      </c>
      <c r="W349" s="1">
        <f t="shared" si="15"/>
        <v>478</v>
      </c>
      <c r="X349" s="1">
        <f t="shared" si="15"/>
        <v>8</v>
      </c>
      <c r="Y349" s="1">
        <f t="shared" si="15"/>
        <v>1298</v>
      </c>
      <c r="Z349" s="1">
        <f t="shared" si="15"/>
        <v>828</v>
      </c>
      <c r="AA349" s="1">
        <f t="shared" si="15"/>
        <v>1382</v>
      </c>
      <c r="AB349" s="1">
        <f t="shared" si="15"/>
        <v>2266</v>
      </c>
      <c r="AC349" s="1">
        <f t="shared" si="15"/>
        <v>5356</v>
      </c>
      <c r="AD349" s="1">
        <f t="shared" si="15"/>
        <v>352</v>
      </c>
      <c r="AE349" s="1">
        <f t="shared" si="15"/>
        <v>161</v>
      </c>
      <c r="AF349" s="1">
        <f t="shared" si="15"/>
        <v>226</v>
      </c>
      <c r="AG349" s="1">
        <f t="shared" si="15"/>
        <v>328</v>
      </c>
    </row>
    <row r="350" spans="1:33" x14ac:dyDescent="0.3">
      <c r="A350" t="s">
        <v>142</v>
      </c>
      <c r="B350" t="s">
        <v>143</v>
      </c>
      <c r="C350" t="s">
        <v>32</v>
      </c>
      <c r="D350" s="1">
        <v>7144</v>
      </c>
      <c r="E350">
        <v>0</v>
      </c>
      <c r="F350">
        <v>52</v>
      </c>
      <c r="G350">
        <v>5</v>
      </c>
      <c r="H350">
        <v>8</v>
      </c>
      <c r="I350">
        <v>0</v>
      </c>
      <c r="J350">
        <v>2</v>
      </c>
      <c r="K350">
        <v>4</v>
      </c>
      <c r="L350">
        <v>70</v>
      </c>
      <c r="M350">
        <v>43</v>
      </c>
      <c r="N350">
        <v>14</v>
      </c>
      <c r="O350">
        <v>0</v>
      </c>
      <c r="P350">
        <v>51</v>
      </c>
      <c r="Q350">
        <v>7</v>
      </c>
      <c r="R350">
        <v>0</v>
      </c>
      <c r="S350">
        <v>0</v>
      </c>
      <c r="T350">
        <v>4</v>
      </c>
      <c r="U350">
        <v>985</v>
      </c>
      <c r="V350">
        <v>0</v>
      </c>
      <c r="W350" s="1">
        <v>4493</v>
      </c>
      <c r="X350">
        <v>9</v>
      </c>
      <c r="Y350">
        <v>137</v>
      </c>
      <c r="Z350">
        <v>116</v>
      </c>
      <c r="AA350">
        <v>324</v>
      </c>
      <c r="AB350">
        <v>235</v>
      </c>
      <c r="AC350">
        <v>386</v>
      </c>
      <c r="AD350">
        <v>99</v>
      </c>
      <c r="AE350">
        <v>2</v>
      </c>
      <c r="AF350">
        <v>53</v>
      </c>
      <c r="AG350">
        <v>45</v>
      </c>
    </row>
    <row r="351" spans="1:33" x14ac:dyDescent="0.3">
      <c r="A351" t="s">
        <v>142</v>
      </c>
      <c r="B351" t="s">
        <v>143</v>
      </c>
      <c r="C351" t="s">
        <v>35</v>
      </c>
      <c r="D351" s="1">
        <v>6117</v>
      </c>
      <c r="E351">
        <v>0</v>
      </c>
      <c r="F351">
        <v>30</v>
      </c>
      <c r="G351">
        <v>5</v>
      </c>
      <c r="H351">
        <v>2</v>
      </c>
      <c r="I351">
        <v>0</v>
      </c>
      <c r="J351">
        <v>2</v>
      </c>
      <c r="K351">
        <v>4</v>
      </c>
      <c r="L351">
        <v>66</v>
      </c>
      <c r="M351">
        <v>39</v>
      </c>
      <c r="N351">
        <v>8</v>
      </c>
      <c r="O351">
        <v>0</v>
      </c>
      <c r="P351">
        <v>20</v>
      </c>
      <c r="Q351">
        <v>7</v>
      </c>
      <c r="R351">
        <v>0</v>
      </c>
      <c r="S351">
        <v>0</v>
      </c>
      <c r="T351">
        <v>4</v>
      </c>
      <c r="U351">
        <v>974</v>
      </c>
      <c r="V351">
        <v>0</v>
      </c>
      <c r="W351" s="1">
        <v>4393</v>
      </c>
      <c r="X351">
        <v>9</v>
      </c>
      <c r="Y351">
        <v>54</v>
      </c>
      <c r="Z351">
        <v>57</v>
      </c>
      <c r="AA351">
        <v>79</v>
      </c>
      <c r="AB351">
        <v>111</v>
      </c>
      <c r="AC351">
        <v>94</v>
      </c>
      <c r="AD351">
        <v>84</v>
      </c>
      <c r="AE351">
        <v>0</v>
      </c>
      <c r="AF351">
        <v>36</v>
      </c>
      <c r="AG351">
        <v>39</v>
      </c>
    </row>
    <row r="352" spans="1:33" x14ac:dyDescent="0.3">
      <c r="A352" t="s">
        <v>142</v>
      </c>
      <c r="B352" t="s">
        <v>143</v>
      </c>
      <c r="C352" t="s">
        <v>36</v>
      </c>
      <c r="D352" s="1">
        <v>1027</v>
      </c>
      <c r="E352">
        <v>0</v>
      </c>
      <c r="F352">
        <v>22</v>
      </c>
      <c r="G352">
        <v>0</v>
      </c>
      <c r="H352">
        <v>6</v>
      </c>
      <c r="I352">
        <v>0</v>
      </c>
      <c r="J352">
        <v>0</v>
      </c>
      <c r="K352">
        <v>0</v>
      </c>
      <c r="L352">
        <v>4</v>
      </c>
      <c r="M352">
        <v>4</v>
      </c>
      <c r="N352">
        <v>6</v>
      </c>
      <c r="O352">
        <v>0</v>
      </c>
      <c r="P352">
        <v>31</v>
      </c>
      <c r="Q352">
        <v>0</v>
      </c>
      <c r="R352">
        <v>0</v>
      </c>
      <c r="S352">
        <v>0</v>
      </c>
      <c r="T352">
        <v>0</v>
      </c>
      <c r="U352">
        <v>11</v>
      </c>
      <c r="V352">
        <v>0</v>
      </c>
      <c r="W352">
        <v>100</v>
      </c>
      <c r="X352" s="1">
        <v>0</v>
      </c>
      <c r="Y352">
        <v>83</v>
      </c>
      <c r="Z352">
        <v>59</v>
      </c>
      <c r="AA352">
        <v>245</v>
      </c>
      <c r="AB352">
        <v>124</v>
      </c>
      <c r="AC352">
        <v>292</v>
      </c>
      <c r="AD352">
        <v>15</v>
      </c>
      <c r="AE352">
        <v>2</v>
      </c>
      <c r="AF352">
        <v>17</v>
      </c>
      <c r="AG352">
        <v>6</v>
      </c>
    </row>
    <row r="353" spans="1:33" x14ac:dyDescent="0.3">
      <c r="A353" t="s">
        <v>142</v>
      </c>
      <c r="B353" t="s">
        <v>144</v>
      </c>
      <c r="C353" t="s">
        <v>32</v>
      </c>
      <c r="D353" s="1">
        <v>5133</v>
      </c>
      <c r="E353">
        <v>0</v>
      </c>
      <c r="F353" s="1">
        <v>2777</v>
      </c>
      <c r="G353">
        <v>23</v>
      </c>
      <c r="H353">
        <v>766</v>
      </c>
      <c r="I353">
        <v>0</v>
      </c>
      <c r="J353">
        <v>18</v>
      </c>
      <c r="K353">
        <v>0</v>
      </c>
      <c r="L353">
        <v>11</v>
      </c>
      <c r="M353">
        <v>2</v>
      </c>
      <c r="N353">
        <v>193</v>
      </c>
      <c r="O353">
        <v>23</v>
      </c>
      <c r="P353">
        <v>36</v>
      </c>
      <c r="Q353">
        <v>86</v>
      </c>
      <c r="R353">
        <v>0</v>
      </c>
      <c r="S353">
        <v>0</v>
      </c>
      <c r="T353">
        <v>3</v>
      </c>
      <c r="U353">
        <v>53</v>
      </c>
      <c r="V353">
        <v>0</v>
      </c>
      <c r="W353">
        <v>127</v>
      </c>
      <c r="X353">
        <v>7</v>
      </c>
      <c r="Y353">
        <v>130</v>
      </c>
      <c r="Z353">
        <v>76</v>
      </c>
      <c r="AA353">
        <v>182</v>
      </c>
      <c r="AB353">
        <v>165</v>
      </c>
      <c r="AC353">
        <v>366</v>
      </c>
      <c r="AD353">
        <v>31</v>
      </c>
      <c r="AE353">
        <v>23</v>
      </c>
      <c r="AF353">
        <v>26</v>
      </c>
      <c r="AG353">
        <v>9</v>
      </c>
    </row>
    <row r="354" spans="1:33" x14ac:dyDescent="0.3">
      <c r="A354" t="s">
        <v>142</v>
      </c>
      <c r="B354" t="s">
        <v>144</v>
      </c>
      <c r="C354" t="s">
        <v>35</v>
      </c>
      <c r="D354" s="1">
        <v>2033</v>
      </c>
      <c r="E354">
        <v>0</v>
      </c>
      <c r="F354" s="1">
        <v>1061</v>
      </c>
      <c r="G354">
        <v>9</v>
      </c>
      <c r="H354">
        <v>298</v>
      </c>
      <c r="I354">
        <v>0</v>
      </c>
      <c r="J354">
        <v>7</v>
      </c>
      <c r="K354">
        <v>0</v>
      </c>
      <c r="L354">
        <v>8</v>
      </c>
      <c r="M354">
        <v>1</v>
      </c>
      <c r="N354">
        <v>78</v>
      </c>
      <c r="O354">
        <v>11</v>
      </c>
      <c r="P354">
        <v>15</v>
      </c>
      <c r="Q354">
        <v>65</v>
      </c>
      <c r="R354">
        <v>0</v>
      </c>
      <c r="S354">
        <v>0</v>
      </c>
      <c r="T354">
        <v>3</v>
      </c>
      <c r="U354">
        <v>40</v>
      </c>
      <c r="V354">
        <v>0</v>
      </c>
      <c r="W354">
        <v>108</v>
      </c>
      <c r="X354">
        <v>7</v>
      </c>
      <c r="Y354">
        <v>55</v>
      </c>
      <c r="Z354">
        <v>33</v>
      </c>
      <c r="AA354">
        <v>57</v>
      </c>
      <c r="AB354">
        <v>65</v>
      </c>
      <c r="AC354">
        <v>70</v>
      </c>
      <c r="AD354">
        <v>16</v>
      </c>
      <c r="AE354">
        <v>5</v>
      </c>
      <c r="AF354">
        <v>12</v>
      </c>
      <c r="AG354">
        <v>9</v>
      </c>
    </row>
    <row r="355" spans="1:33" x14ac:dyDescent="0.3">
      <c r="A355" t="s">
        <v>142</v>
      </c>
      <c r="B355" t="s">
        <v>144</v>
      </c>
      <c r="C355" t="s">
        <v>36</v>
      </c>
      <c r="D355" s="1">
        <v>3100</v>
      </c>
      <c r="E355">
        <v>0</v>
      </c>
      <c r="F355" s="1">
        <v>1716</v>
      </c>
      <c r="G355">
        <v>14</v>
      </c>
      <c r="H355">
        <v>468</v>
      </c>
      <c r="I355">
        <v>0</v>
      </c>
      <c r="J355">
        <v>11</v>
      </c>
      <c r="K355">
        <v>0</v>
      </c>
      <c r="L355">
        <v>3</v>
      </c>
      <c r="M355">
        <v>1</v>
      </c>
      <c r="N355">
        <v>115</v>
      </c>
      <c r="O355">
        <v>12</v>
      </c>
      <c r="P355">
        <v>21</v>
      </c>
      <c r="Q355">
        <v>21</v>
      </c>
      <c r="R355">
        <v>0</v>
      </c>
      <c r="S355">
        <v>0</v>
      </c>
      <c r="T355">
        <v>0</v>
      </c>
      <c r="U355">
        <v>13</v>
      </c>
      <c r="V355">
        <v>0</v>
      </c>
      <c r="W355">
        <v>19</v>
      </c>
      <c r="X355">
        <v>0</v>
      </c>
      <c r="Y355">
        <v>75</v>
      </c>
      <c r="Z355">
        <v>43</v>
      </c>
      <c r="AA355">
        <v>125</v>
      </c>
      <c r="AB355">
        <v>100</v>
      </c>
      <c r="AC355">
        <v>296</v>
      </c>
      <c r="AD355">
        <v>15</v>
      </c>
      <c r="AE355">
        <v>18</v>
      </c>
      <c r="AF355">
        <v>14</v>
      </c>
      <c r="AG355">
        <v>0</v>
      </c>
    </row>
    <row r="356" spans="1:33" x14ac:dyDescent="0.3">
      <c r="A356" t="s">
        <v>142</v>
      </c>
      <c r="B356" t="s">
        <v>145</v>
      </c>
      <c r="C356" t="s">
        <v>32</v>
      </c>
      <c r="D356" s="1">
        <v>3150</v>
      </c>
      <c r="E356">
        <v>0</v>
      </c>
      <c r="F356">
        <v>30</v>
      </c>
      <c r="G356">
        <v>2</v>
      </c>
      <c r="H356">
        <v>4</v>
      </c>
      <c r="I356">
        <v>0</v>
      </c>
      <c r="J356">
        <v>0</v>
      </c>
      <c r="K356">
        <v>10</v>
      </c>
      <c r="L356">
        <v>10</v>
      </c>
      <c r="M356">
        <v>11</v>
      </c>
      <c r="N356">
        <v>7</v>
      </c>
      <c r="O356">
        <v>2</v>
      </c>
      <c r="P356">
        <v>35</v>
      </c>
      <c r="Q356">
        <v>1</v>
      </c>
      <c r="R356">
        <v>0</v>
      </c>
      <c r="S356">
        <v>0</v>
      </c>
      <c r="T356">
        <v>23</v>
      </c>
      <c r="U356">
        <v>266</v>
      </c>
      <c r="V356">
        <v>30</v>
      </c>
      <c r="W356" s="1">
        <v>1485</v>
      </c>
      <c r="X356">
        <v>139</v>
      </c>
      <c r="Y356">
        <v>107</v>
      </c>
      <c r="Z356">
        <v>69</v>
      </c>
      <c r="AA356">
        <v>144</v>
      </c>
      <c r="AB356">
        <v>162</v>
      </c>
      <c r="AC356">
        <v>492</v>
      </c>
      <c r="AD356">
        <v>67</v>
      </c>
      <c r="AE356">
        <v>4</v>
      </c>
      <c r="AF356">
        <v>30</v>
      </c>
      <c r="AG356">
        <v>20</v>
      </c>
    </row>
    <row r="357" spans="1:33" x14ac:dyDescent="0.3">
      <c r="A357" t="s">
        <v>142</v>
      </c>
      <c r="B357" t="s">
        <v>145</v>
      </c>
      <c r="C357" t="s">
        <v>35</v>
      </c>
      <c r="D357" s="1">
        <v>2236</v>
      </c>
      <c r="E357">
        <v>0</v>
      </c>
      <c r="F357">
        <v>12</v>
      </c>
      <c r="G357">
        <v>2</v>
      </c>
      <c r="H357">
        <v>1</v>
      </c>
      <c r="I357">
        <v>0</v>
      </c>
      <c r="J357">
        <v>0</v>
      </c>
      <c r="K357">
        <v>9</v>
      </c>
      <c r="L357">
        <v>7</v>
      </c>
      <c r="M357">
        <v>10</v>
      </c>
      <c r="N357">
        <v>3</v>
      </c>
      <c r="O357">
        <v>2</v>
      </c>
      <c r="P357">
        <v>12</v>
      </c>
      <c r="Q357">
        <v>1</v>
      </c>
      <c r="R357">
        <v>0</v>
      </c>
      <c r="S357">
        <v>0</v>
      </c>
      <c r="T357">
        <v>9</v>
      </c>
      <c r="U357">
        <v>235</v>
      </c>
      <c r="V357">
        <v>29</v>
      </c>
      <c r="W357" s="1">
        <v>1397</v>
      </c>
      <c r="X357">
        <v>139</v>
      </c>
      <c r="Y357">
        <v>43</v>
      </c>
      <c r="Z357">
        <v>36</v>
      </c>
      <c r="AA357">
        <v>36</v>
      </c>
      <c r="AB357">
        <v>62</v>
      </c>
      <c r="AC357">
        <v>93</v>
      </c>
      <c r="AD357">
        <v>58</v>
      </c>
      <c r="AE357">
        <v>1</v>
      </c>
      <c r="AF357">
        <v>20</v>
      </c>
      <c r="AG357">
        <v>19</v>
      </c>
    </row>
    <row r="358" spans="1:33" x14ac:dyDescent="0.3">
      <c r="A358" t="s">
        <v>142</v>
      </c>
      <c r="B358" t="s">
        <v>145</v>
      </c>
      <c r="C358" t="s">
        <v>36</v>
      </c>
      <c r="D358">
        <v>914</v>
      </c>
      <c r="E358">
        <v>0</v>
      </c>
      <c r="F358">
        <v>18</v>
      </c>
      <c r="G358">
        <v>0</v>
      </c>
      <c r="H358">
        <v>3</v>
      </c>
      <c r="I358">
        <v>0</v>
      </c>
      <c r="J358">
        <v>0</v>
      </c>
      <c r="K358">
        <v>1</v>
      </c>
      <c r="L358">
        <v>3</v>
      </c>
      <c r="M358">
        <v>1</v>
      </c>
      <c r="N358">
        <v>4</v>
      </c>
      <c r="O358">
        <v>0</v>
      </c>
      <c r="P358">
        <v>23</v>
      </c>
      <c r="Q358">
        <v>0</v>
      </c>
      <c r="R358">
        <v>0</v>
      </c>
      <c r="S358">
        <v>0</v>
      </c>
      <c r="T358">
        <v>14</v>
      </c>
      <c r="U358">
        <v>31</v>
      </c>
      <c r="V358">
        <v>1</v>
      </c>
      <c r="W358">
        <v>88</v>
      </c>
      <c r="X358">
        <v>0</v>
      </c>
      <c r="Y358">
        <v>64</v>
      </c>
      <c r="Z358">
        <v>33</v>
      </c>
      <c r="AA358">
        <v>108</v>
      </c>
      <c r="AB358">
        <v>100</v>
      </c>
      <c r="AC358">
        <v>399</v>
      </c>
      <c r="AD358">
        <v>9</v>
      </c>
      <c r="AE358">
        <v>3</v>
      </c>
      <c r="AF358">
        <v>10</v>
      </c>
      <c r="AG358">
        <v>1</v>
      </c>
    </row>
    <row r="359" spans="1:33" x14ac:dyDescent="0.3">
      <c r="A359" t="s">
        <v>142</v>
      </c>
      <c r="B359" t="s">
        <v>129</v>
      </c>
      <c r="C359" t="s">
        <v>32</v>
      </c>
      <c r="D359" s="1">
        <v>8068</v>
      </c>
      <c r="E359">
        <v>1</v>
      </c>
      <c r="F359" s="1">
        <v>5100</v>
      </c>
      <c r="G359">
        <v>3</v>
      </c>
      <c r="H359">
        <v>996</v>
      </c>
      <c r="I359">
        <v>0</v>
      </c>
      <c r="J359">
        <v>20</v>
      </c>
      <c r="K359">
        <v>4</v>
      </c>
      <c r="L359">
        <v>15</v>
      </c>
      <c r="M359">
        <v>7</v>
      </c>
      <c r="N359">
        <v>323</v>
      </c>
      <c r="O359">
        <v>19</v>
      </c>
      <c r="P359">
        <v>55</v>
      </c>
      <c r="Q359">
        <v>47</v>
      </c>
      <c r="R359">
        <v>0</v>
      </c>
      <c r="S359">
        <v>0</v>
      </c>
      <c r="T359">
        <v>2</v>
      </c>
      <c r="U359">
        <v>95</v>
      </c>
      <c r="V359">
        <v>0</v>
      </c>
      <c r="W359">
        <v>68</v>
      </c>
      <c r="X359">
        <v>62</v>
      </c>
      <c r="Y359">
        <v>96</v>
      </c>
      <c r="Z359">
        <v>141</v>
      </c>
      <c r="AA359">
        <v>177</v>
      </c>
      <c r="AB359">
        <v>299</v>
      </c>
      <c r="AC359">
        <v>401</v>
      </c>
      <c r="AD359">
        <v>40</v>
      </c>
      <c r="AE359">
        <v>18</v>
      </c>
      <c r="AF359">
        <v>29</v>
      </c>
      <c r="AG359">
        <v>50</v>
      </c>
    </row>
    <row r="360" spans="1:33" x14ac:dyDescent="0.3">
      <c r="A360" t="s">
        <v>142</v>
      </c>
      <c r="B360" t="s">
        <v>129</v>
      </c>
      <c r="C360" t="s">
        <v>35</v>
      </c>
      <c r="D360" s="1">
        <v>4289</v>
      </c>
      <c r="E360">
        <v>0</v>
      </c>
      <c r="F360" s="1">
        <v>2863</v>
      </c>
      <c r="G360">
        <v>2</v>
      </c>
      <c r="H360">
        <v>528</v>
      </c>
      <c r="I360">
        <v>0</v>
      </c>
      <c r="J360">
        <v>11</v>
      </c>
      <c r="K360">
        <v>4</v>
      </c>
      <c r="L360">
        <v>12</v>
      </c>
      <c r="M360">
        <v>5</v>
      </c>
      <c r="N360">
        <v>162</v>
      </c>
      <c r="O360">
        <v>14</v>
      </c>
      <c r="P360">
        <v>16</v>
      </c>
      <c r="Q360">
        <v>37</v>
      </c>
      <c r="R360">
        <v>0</v>
      </c>
      <c r="S360">
        <v>0</v>
      </c>
      <c r="T360">
        <v>2</v>
      </c>
      <c r="U360">
        <v>43</v>
      </c>
      <c r="V360">
        <v>0</v>
      </c>
      <c r="W360">
        <v>60</v>
      </c>
      <c r="X360">
        <v>62</v>
      </c>
      <c r="Y360">
        <v>36</v>
      </c>
      <c r="Z360">
        <v>72</v>
      </c>
      <c r="AA360">
        <v>77</v>
      </c>
      <c r="AB360">
        <v>132</v>
      </c>
      <c r="AC360">
        <v>82</v>
      </c>
      <c r="AD360">
        <v>25</v>
      </c>
      <c r="AE360">
        <v>1</v>
      </c>
      <c r="AF360">
        <v>15</v>
      </c>
      <c r="AG360">
        <v>28</v>
      </c>
    </row>
    <row r="361" spans="1:33" x14ac:dyDescent="0.3">
      <c r="A361" t="s">
        <v>142</v>
      </c>
      <c r="B361" t="s">
        <v>129</v>
      </c>
      <c r="C361" t="s">
        <v>36</v>
      </c>
      <c r="D361" s="1">
        <v>3779</v>
      </c>
      <c r="E361">
        <v>1</v>
      </c>
      <c r="F361" s="1">
        <v>2237</v>
      </c>
      <c r="G361">
        <v>1</v>
      </c>
      <c r="H361">
        <v>468</v>
      </c>
      <c r="I361">
        <v>0</v>
      </c>
      <c r="J361">
        <v>9</v>
      </c>
      <c r="K361">
        <v>0</v>
      </c>
      <c r="L361">
        <v>3</v>
      </c>
      <c r="M361">
        <v>2</v>
      </c>
      <c r="N361">
        <v>161</v>
      </c>
      <c r="O361">
        <v>5</v>
      </c>
      <c r="P361">
        <v>39</v>
      </c>
      <c r="Q361">
        <v>10</v>
      </c>
      <c r="R361">
        <v>0</v>
      </c>
      <c r="S361">
        <v>0</v>
      </c>
      <c r="T361">
        <v>0</v>
      </c>
      <c r="U361">
        <v>52</v>
      </c>
      <c r="V361">
        <v>0</v>
      </c>
      <c r="W361">
        <v>8</v>
      </c>
      <c r="X361">
        <v>0</v>
      </c>
      <c r="Y361">
        <v>60</v>
      </c>
      <c r="Z361">
        <v>69</v>
      </c>
      <c r="AA361">
        <v>100</v>
      </c>
      <c r="AB361">
        <v>167</v>
      </c>
      <c r="AC361">
        <v>319</v>
      </c>
      <c r="AD361">
        <v>15</v>
      </c>
      <c r="AE361">
        <v>17</v>
      </c>
      <c r="AF361">
        <v>14</v>
      </c>
      <c r="AG361">
        <v>22</v>
      </c>
    </row>
    <row r="362" spans="1:33" x14ac:dyDescent="0.3">
      <c r="A362" t="s">
        <v>142</v>
      </c>
      <c r="B362" t="s">
        <v>130</v>
      </c>
      <c r="C362" t="s">
        <v>32</v>
      </c>
      <c r="D362" s="1">
        <v>1978</v>
      </c>
      <c r="E362">
        <v>0</v>
      </c>
      <c r="F362">
        <v>89</v>
      </c>
      <c r="G362">
        <v>0</v>
      </c>
      <c r="H362">
        <v>28</v>
      </c>
      <c r="I362">
        <v>0</v>
      </c>
      <c r="J362">
        <v>6</v>
      </c>
      <c r="K362">
        <v>16</v>
      </c>
      <c r="L362">
        <v>8</v>
      </c>
      <c r="M362">
        <v>13</v>
      </c>
      <c r="N362">
        <v>27</v>
      </c>
      <c r="O362">
        <v>0</v>
      </c>
      <c r="P362">
        <v>8</v>
      </c>
      <c r="Q362">
        <v>0</v>
      </c>
      <c r="R362">
        <v>0</v>
      </c>
      <c r="S362">
        <v>0</v>
      </c>
      <c r="T362">
        <v>193</v>
      </c>
      <c r="U362">
        <v>115</v>
      </c>
      <c r="V362">
        <v>2</v>
      </c>
      <c r="W362">
        <v>11</v>
      </c>
      <c r="X362">
        <v>303</v>
      </c>
      <c r="Y362">
        <v>79</v>
      </c>
      <c r="Z362">
        <v>151</v>
      </c>
      <c r="AA362">
        <v>116</v>
      </c>
      <c r="AB362">
        <v>390</v>
      </c>
      <c r="AC362">
        <v>207</v>
      </c>
      <c r="AD362">
        <v>118</v>
      </c>
      <c r="AE362">
        <v>7</v>
      </c>
      <c r="AF362">
        <v>23</v>
      </c>
      <c r="AG362">
        <v>68</v>
      </c>
    </row>
    <row r="363" spans="1:33" x14ac:dyDescent="0.3">
      <c r="A363" t="s">
        <v>142</v>
      </c>
      <c r="B363" t="s">
        <v>130</v>
      </c>
      <c r="C363" t="s">
        <v>35</v>
      </c>
      <c r="D363">
        <v>922</v>
      </c>
      <c r="E363">
        <v>0</v>
      </c>
      <c r="F363">
        <v>27</v>
      </c>
      <c r="G363">
        <v>0</v>
      </c>
      <c r="H363">
        <v>16</v>
      </c>
      <c r="I363">
        <v>0</v>
      </c>
      <c r="J363">
        <v>0</v>
      </c>
      <c r="K363">
        <v>15</v>
      </c>
      <c r="L363">
        <v>8</v>
      </c>
      <c r="M363">
        <v>12</v>
      </c>
      <c r="N363">
        <v>10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11</v>
      </c>
      <c r="U363">
        <v>63</v>
      </c>
      <c r="V363">
        <v>1</v>
      </c>
      <c r="W363">
        <v>11</v>
      </c>
      <c r="X363">
        <v>303</v>
      </c>
      <c r="Y363">
        <v>31</v>
      </c>
      <c r="Z363">
        <v>69</v>
      </c>
      <c r="AA363">
        <v>53</v>
      </c>
      <c r="AB363">
        <v>174</v>
      </c>
      <c r="AC363">
        <v>23</v>
      </c>
      <c r="AD363">
        <v>40</v>
      </c>
      <c r="AE363">
        <v>2</v>
      </c>
      <c r="AF363">
        <v>13</v>
      </c>
      <c r="AG363">
        <v>38</v>
      </c>
    </row>
    <row r="364" spans="1:33" x14ac:dyDescent="0.3">
      <c r="A364" t="s">
        <v>142</v>
      </c>
      <c r="B364" t="s">
        <v>130</v>
      </c>
      <c r="C364" t="s">
        <v>36</v>
      </c>
      <c r="D364" s="1">
        <v>1056</v>
      </c>
      <c r="E364">
        <v>0</v>
      </c>
      <c r="F364">
        <v>62</v>
      </c>
      <c r="G364">
        <v>0</v>
      </c>
      <c r="H364">
        <v>12</v>
      </c>
      <c r="I364">
        <v>0</v>
      </c>
      <c r="J364">
        <v>6</v>
      </c>
      <c r="K364">
        <v>1</v>
      </c>
      <c r="L364">
        <v>0</v>
      </c>
      <c r="M364">
        <v>1</v>
      </c>
      <c r="N364">
        <v>17</v>
      </c>
      <c r="O364">
        <v>0</v>
      </c>
      <c r="P364">
        <v>6</v>
      </c>
      <c r="Q364">
        <v>0</v>
      </c>
      <c r="R364">
        <v>0</v>
      </c>
      <c r="S364">
        <v>0</v>
      </c>
      <c r="T364">
        <v>182</v>
      </c>
      <c r="U364">
        <v>52</v>
      </c>
      <c r="V364">
        <v>1</v>
      </c>
      <c r="W364">
        <v>0</v>
      </c>
      <c r="X364">
        <v>0</v>
      </c>
      <c r="Y364">
        <v>48</v>
      </c>
      <c r="Z364">
        <v>82</v>
      </c>
      <c r="AA364">
        <v>63</v>
      </c>
      <c r="AB364">
        <v>216</v>
      </c>
      <c r="AC364">
        <v>184</v>
      </c>
      <c r="AD364">
        <v>78</v>
      </c>
      <c r="AE364">
        <v>5</v>
      </c>
      <c r="AF364">
        <v>10</v>
      </c>
      <c r="AG364">
        <v>30</v>
      </c>
    </row>
    <row r="365" spans="1:33" x14ac:dyDescent="0.3">
      <c r="A365" t="s">
        <v>142</v>
      </c>
      <c r="B365" t="s">
        <v>146</v>
      </c>
      <c r="C365" t="s">
        <v>32</v>
      </c>
      <c r="D365" s="1">
        <v>1114</v>
      </c>
      <c r="E365">
        <v>0</v>
      </c>
      <c r="F365">
        <v>132</v>
      </c>
      <c r="G365">
        <v>9</v>
      </c>
      <c r="H365">
        <v>29</v>
      </c>
      <c r="I365">
        <v>0</v>
      </c>
      <c r="J365">
        <v>8</v>
      </c>
      <c r="K365">
        <v>0</v>
      </c>
      <c r="L365">
        <v>3</v>
      </c>
      <c r="M365">
        <v>0</v>
      </c>
      <c r="N365">
        <v>19</v>
      </c>
      <c r="O365">
        <v>5</v>
      </c>
      <c r="P365">
        <v>104</v>
      </c>
      <c r="Q365">
        <v>1</v>
      </c>
      <c r="R365">
        <v>0</v>
      </c>
      <c r="S365">
        <v>0</v>
      </c>
      <c r="T365">
        <v>6</v>
      </c>
      <c r="U365">
        <v>29</v>
      </c>
      <c r="V365">
        <v>0</v>
      </c>
      <c r="W365">
        <v>47</v>
      </c>
      <c r="X365">
        <v>14</v>
      </c>
      <c r="Y365">
        <v>86</v>
      </c>
      <c r="Z365">
        <v>41</v>
      </c>
      <c r="AA365">
        <v>28</v>
      </c>
      <c r="AB365">
        <v>171</v>
      </c>
      <c r="AC365">
        <v>311</v>
      </c>
      <c r="AD365">
        <v>34</v>
      </c>
      <c r="AE365">
        <v>10</v>
      </c>
      <c r="AF365">
        <v>24</v>
      </c>
      <c r="AG365">
        <v>3</v>
      </c>
    </row>
    <row r="366" spans="1:33" x14ac:dyDescent="0.3">
      <c r="A366" t="s">
        <v>142</v>
      </c>
      <c r="B366" t="s">
        <v>146</v>
      </c>
      <c r="C366" t="s">
        <v>35</v>
      </c>
      <c r="D366">
        <v>418</v>
      </c>
      <c r="E366">
        <v>0</v>
      </c>
      <c r="F366">
        <v>53</v>
      </c>
      <c r="G366">
        <v>0</v>
      </c>
      <c r="H366">
        <v>16</v>
      </c>
      <c r="I366">
        <v>0</v>
      </c>
      <c r="J366">
        <v>4</v>
      </c>
      <c r="K366">
        <v>0</v>
      </c>
      <c r="L366">
        <v>3</v>
      </c>
      <c r="M366">
        <v>0</v>
      </c>
      <c r="N366">
        <v>8</v>
      </c>
      <c r="O366">
        <v>5</v>
      </c>
      <c r="P366">
        <v>36</v>
      </c>
      <c r="Q366">
        <v>1</v>
      </c>
      <c r="R366">
        <v>0</v>
      </c>
      <c r="S366">
        <v>0</v>
      </c>
      <c r="T366">
        <v>4</v>
      </c>
      <c r="U366">
        <v>24</v>
      </c>
      <c r="V366">
        <v>0</v>
      </c>
      <c r="W366">
        <v>47</v>
      </c>
      <c r="X366">
        <v>14</v>
      </c>
      <c r="Y366">
        <v>32</v>
      </c>
      <c r="Z366">
        <v>14</v>
      </c>
      <c r="AA366">
        <v>10</v>
      </c>
      <c r="AB366">
        <v>63</v>
      </c>
      <c r="AC366">
        <v>43</v>
      </c>
      <c r="AD366">
        <v>24</v>
      </c>
      <c r="AE366">
        <v>1</v>
      </c>
      <c r="AF366">
        <v>14</v>
      </c>
      <c r="AG366">
        <v>2</v>
      </c>
    </row>
    <row r="367" spans="1:33" x14ac:dyDescent="0.3">
      <c r="A367" t="s">
        <v>142</v>
      </c>
      <c r="B367" t="s">
        <v>146</v>
      </c>
      <c r="C367" t="s">
        <v>36</v>
      </c>
      <c r="D367">
        <v>696</v>
      </c>
      <c r="E367">
        <v>0</v>
      </c>
      <c r="F367">
        <v>79</v>
      </c>
      <c r="G367">
        <v>9</v>
      </c>
      <c r="H367">
        <v>13</v>
      </c>
      <c r="I367">
        <v>0</v>
      </c>
      <c r="J367">
        <v>4</v>
      </c>
      <c r="K367">
        <v>0</v>
      </c>
      <c r="L367">
        <v>0</v>
      </c>
      <c r="M367">
        <v>0</v>
      </c>
      <c r="N367">
        <v>11</v>
      </c>
      <c r="O367">
        <v>0</v>
      </c>
      <c r="P367">
        <v>68</v>
      </c>
      <c r="Q367">
        <v>0</v>
      </c>
      <c r="R367">
        <v>0</v>
      </c>
      <c r="S367">
        <v>0</v>
      </c>
      <c r="T367">
        <v>2</v>
      </c>
      <c r="U367">
        <v>5</v>
      </c>
      <c r="V367">
        <v>0</v>
      </c>
      <c r="W367">
        <v>0</v>
      </c>
      <c r="X367">
        <v>0</v>
      </c>
      <c r="Y367">
        <v>54</v>
      </c>
      <c r="Z367">
        <v>27</v>
      </c>
      <c r="AA367">
        <v>18</v>
      </c>
      <c r="AB367">
        <v>108</v>
      </c>
      <c r="AC367">
        <v>268</v>
      </c>
      <c r="AD367">
        <v>10</v>
      </c>
      <c r="AE367">
        <v>9</v>
      </c>
      <c r="AF367">
        <v>10</v>
      </c>
      <c r="AG367">
        <v>1</v>
      </c>
    </row>
    <row r="368" spans="1:33" x14ac:dyDescent="0.3">
      <c r="A368" t="s">
        <v>142</v>
      </c>
      <c r="B368" t="s">
        <v>147</v>
      </c>
      <c r="C368" t="s">
        <v>32</v>
      </c>
      <c r="D368" s="1">
        <v>3616</v>
      </c>
      <c r="E368">
        <v>0</v>
      </c>
      <c r="F368" s="1">
        <v>1404</v>
      </c>
      <c r="G368">
        <v>2</v>
      </c>
      <c r="H368">
        <v>345</v>
      </c>
      <c r="I368">
        <v>1</v>
      </c>
      <c r="J368">
        <v>3</v>
      </c>
      <c r="K368">
        <v>5</v>
      </c>
      <c r="L368">
        <v>10</v>
      </c>
      <c r="M368">
        <v>3</v>
      </c>
      <c r="N368">
        <v>109</v>
      </c>
      <c r="O368">
        <v>7</v>
      </c>
      <c r="P368">
        <v>78</v>
      </c>
      <c r="Q368">
        <v>5</v>
      </c>
      <c r="R368">
        <v>0</v>
      </c>
      <c r="S368">
        <v>1</v>
      </c>
      <c r="T368">
        <v>2</v>
      </c>
      <c r="U368">
        <v>50</v>
      </c>
      <c r="V368">
        <v>0</v>
      </c>
      <c r="W368">
        <v>53</v>
      </c>
      <c r="X368">
        <v>5</v>
      </c>
      <c r="Y368">
        <v>206</v>
      </c>
      <c r="Z368">
        <v>99</v>
      </c>
      <c r="AA368">
        <v>58</v>
      </c>
      <c r="AB368">
        <v>321</v>
      </c>
      <c r="AC368">
        <v>642</v>
      </c>
      <c r="AD368">
        <v>65</v>
      </c>
      <c r="AE368">
        <v>43</v>
      </c>
      <c r="AF368">
        <v>44</v>
      </c>
      <c r="AG368">
        <v>55</v>
      </c>
    </row>
    <row r="369" spans="1:33" x14ac:dyDescent="0.3">
      <c r="A369" t="s">
        <v>142</v>
      </c>
      <c r="B369" t="s">
        <v>147</v>
      </c>
      <c r="C369" t="s">
        <v>35</v>
      </c>
      <c r="D369" s="1">
        <v>1644</v>
      </c>
      <c r="E369">
        <v>0</v>
      </c>
      <c r="F369">
        <v>790</v>
      </c>
      <c r="G369">
        <v>1</v>
      </c>
      <c r="H369">
        <v>171</v>
      </c>
      <c r="I369">
        <v>0</v>
      </c>
      <c r="J369">
        <v>3</v>
      </c>
      <c r="K369">
        <v>5</v>
      </c>
      <c r="L369">
        <v>9</v>
      </c>
      <c r="M369">
        <v>2</v>
      </c>
      <c r="N369">
        <v>49</v>
      </c>
      <c r="O369">
        <v>3</v>
      </c>
      <c r="P369">
        <v>24</v>
      </c>
      <c r="Q369">
        <v>3</v>
      </c>
      <c r="R369">
        <v>0</v>
      </c>
      <c r="S369">
        <v>1</v>
      </c>
      <c r="T369">
        <v>2</v>
      </c>
      <c r="U369">
        <v>31</v>
      </c>
      <c r="V369">
        <v>0</v>
      </c>
      <c r="W369">
        <v>49</v>
      </c>
      <c r="X369">
        <v>5</v>
      </c>
      <c r="Y369">
        <v>83</v>
      </c>
      <c r="Z369">
        <v>42</v>
      </c>
      <c r="AA369">
        <v>27</v>
      </c>
      <c r="AB369">
        <v>138</v>
      </c>
      <c r="AC369">
        <v>97</v>
      </c>
      <c r="AD369">
        <v>38</v>
      </c>
      <c r="AE369">
        <v>9</v>
      </c>
      <c r="AF369">
        <v>28</v>
      </c>
      <c r="AG369">
        <v>34</v>
      </c>
    </row>
    <row r="370" spans="1:33" x14ac:dyDescent="0.3">
      <c r="A370" t="s">
        <v>142</v>
      </c>
      <c r="B370" t="s">
        <v>147</v>
      </c>
      <c r="C370" t="s">
        <v>36</v>
      </c>
      <c r="D370" s="1">
        <v>1972</v>
      </c>
      <c r="E370">
        <v>0</v>
      </c>
      <c r="F370">
        <v>614</v>
      </c>
      <c r="G370">
        <v>1</v>
      </c>
      <c r="H370">
        <v>174</v>
      </c>
      <c r="I370">
        <v>1</v>
      </c>
      <c r="J370">
        <v>0</v>
      </c>
      <c r="K370">
        <v>0</v>
      </c>
      <c r="L370">
        <v>1</v>
      </c>
      <c r="M370">
        <v>1</v>
      </c>
      <c r="N370">
        <v>60</v>
      </c>
      <c r="O370">
        <v>4</v>
      </c>
      <c r="P370">
        <v>54</v>
      </c>
      <c r="Q370">
        <v>2</v>
      </c>
      <c r="R370">
        <v>0</v>
      </c>
      <c r="S370">
        <v>0</v>
      </c>
      <c r="T370">
        <v>0</v>
      </c>
      <c r="U370">
        <v>19</v>
      </c>
      <c r="V370">
        <v>0</v>
      </c>
      <c r="W370">
        <v>4</v>
      </c>
      <c r="X370">
        <v>0</v>
      </c>
      <c r="Y370">
        <v>123</v>
      </c>
      <c r="Z370">
        <v>57</v>
      </c>
      <c r="AA370">
        <v>31</v>
      </c>
      <c r="AB370">
        <v>183</v>
      </c>
      <c r="AC370">
        <v>545</v>
      </c>
      <c r="AD370">
        <v>27</v>
      </c>
      <c r="AE370">
        <v>34</v>
      </c>
      <c r="AF370">
        <v>16</v>
      </c>
      <c r="AG370">
        <v>21</v>
      </c>
    </row>
    <row r="371" spans="1:33" x14ac:dyDescent="0.3">
      <c r="A371" t="s">
        <v>142</v>
      </c>
      <c r="B371" t="s">
        <v>131</v>
      </c>
      <c r="C371" t="s">
        <v>32</v>
      </c>
      <c r="D371" s="1">
        <v>2353</v>
      </c>
      <c r="E371">
        <v>0</v>
      </c>
      <c r="F371">
        <v>604</v>
      </c>
      <c r="G371">
        <v>0</v>
      </c>
      <c r="H371">
        <v>629</v>
      </c>
      <c r="I371">
        <v>0</v>
      </c>
      <c r="J371">
        <v>6</v>
      </c>
      <c r="K371">
        <v>0</v>
      </c>
      <c r="L371">
        <v>6</v>
      </c>
      <c r="M371">
        <v>0</v>
      </c>
      <c r="N371">
        <v>47</v>
      </c>
      <c r="O371">
        <v>0</v>
      </c>
      <c r="P371">
        <v>41</v>
      </c>
      <c r="Q371">
        <v>0</v>
      </c>
      <c r="R371">
        <v>0</v>
      </c>
      <c r="S371">
        <v>0</v>
      </c>
      <c r="T371">
        <v>1</v>
      </c>
      <c r="U371">
        <v>21</v>
      </c>
      <c r="V371">
        <v>0</v>
      </c>
      <c r="W371">
        <v>48</v>
      </c>
      <c r="X371">
        <v>8</v>
      </c>
      <c r="Y371">
        <v>173</v>
      </c>
      <c r="Z371">
        <v>40</v>
      </c>
      <c r="AA371">
        <v>46</v>
      </c>
      <c r="AB371">
        <v>153</v>
      </c>
      <c r="AC371">
        <v>461</v>
      </c>
      <c r="AD371">
        <v>26</v>
      </c>
      <c r="AE371">
        <v>5</v>
      </c>
      <c r="AF371">
        <v>32</v>
      </c>
      <c r="AG371">
        <v>6</v>
      </c>
    </row>
    <row r="372" spans="1:33" x14ac:dyDescent="0.3">
      <c r="A372" t="s">
        <v>142</v>
      </c>
      <c r="B372" t="s">
        <v>131</v>
      </c>
      <c r="C372" t="s">
        <v>35</v>
      </c>
      <c r="D372" s="1">
        <v>1161</v>
      </c>
      <c r="E372">
        <v>0</v>
      </c>
      <c r="F372">
        <v>366</v>
      </c>
      <c r="G372">
        <v>0</v>
      </c>
      <c r="H372">
        <v>430</v>
      </c>
      <c r="I372">
        <v>0</v>
      </c>
      <c r="J372">
        <v>4</v>
      </c>
      <c r="K372">
        <v>0</v>
      </c>
      <c r="L372">
        <v>5</v>
      </c>
      <c r="M372">
        <v>0</v>
      </c>
      <c r="N372">
        <v>22</v>
      </c>
      <c r="O372">
        <v>0</v>
      </c>
      <c r="P372">
        <v>14</v>
      </c>
      <c r="Q372">
        <v>0</v>
      </c>
      <c r="R372">
        <v>0</v>
      </c>
      <c r="S372">
        <v>0</v>
      </c>
      <c r="T372">
        <v>1</v>
      </c>
      <c r="U372">
        <v>15</v>
      </c>
      <c r="V372">
        <v>0</v>
      </c>
      <c r="W372">
        <v>44</v>
      </c>
      <c r="X372">
        <v>8</v>
      </c>
      <c r="Y372">
        <v>63</v>
      </c>
      <c r="Z372">
        <v>18</v>
      </c>
      <c r="AA372">
        <v>23</v>
      </c>
      <c r="AB372">
        <v>56</v>
      </c>
      <c r="AC372">
        <v>53</v>
      </c>
      <c r="AD372">
        <v>19</v>
      </c>
      <c r="AE372">
        <v>0</v>
      </c>
      <c r="AF372">
        <v>16</v>
      </c>
      <c r="AG372">
        <v>4</v>
      </c>
    </row>
    <row r="373" spans="1:33" x14ac:dyDescent="0.3">
      <c r="A373" t="s">
        <v>142</v>
      </c>
      <c r="B373" t="s">
        <v>131</v>
      </c>
      <c r="C373" t="s">
        <v>36</v>
      </c>
      <c r="D373" s="1">
        <v>1192</v>
      </c>
      <c r="E373">
        <v>0</v>
      </c>
      <c r="F373">
        <v>238</v>
      </c>
      <c r="G373">
        <v>0</v>
      </c>
      <c r="H373">
        <v>199</v>
      </c>
      <c r="I373">
        <v>0</v>
      </c>
      <c r="J373">
        <v>2</v>
      </c>
      <c r="K373">
        <v>0</v>
      </c>
      <c r="L373">
        <v>1</v>
      </c>
      <c r="M373">
        <v>0</v>
      </c>
      <c r="N373">
        <v>25</v>
      </c>
      <c r="O373">
        <v>0</v>
      </c>
      <c r="P373">
        <v>27</v>
      </c>
      <c r="Q373">
        <v>0</v>
      </c>
      <c r="R373">
        <v>0</v>
      </c>
      <c r="S373">
        <v>0</v>
      </c>
      <c r="T373">
        <v>0</v>
      </c>
      <c r="U373">
        <v>6</v>
      </c>
      <c r="V373">
        <v>0</v>
      </c>
      <c r="W373">
        <v>4</v>
      </c>
      <c r="X373">
        <v>0</v>
      </c>
      <c r="Y373">
        <v>110</v>
      </c>
      <c r="Z373">
        <v>22</v>
      </c>
      <c r="AA373">
        <v>23</v>
      </c>
      <c r="AB373">
        <v>97</v>
      </c>
      <c r="AC373">
        <v>408</v>
      </c>
      <c r="AD373">
        <v>7</v>
      </c>
      <c r="AE373">
        <v>5</v>
      </c>
      <c r="AF373">
        <v>16</v>
      </c>
      <c r="AG373">
        <v>2</v>
      </c>
    </row>
    <row r="374" spans="1:33" x14ac:dyDescent="0.3">
      <c r="A374" t="s">
        <v>142</v>
      </c>
      <c r="B374" t="s">
        <v>148</v>
      </c>
      <c r="C374" t="s">
        <v>32</v>
      </c>
      <c r="D374" s="1">
        <v>7563</v>
      </c>
      <c r="E374">
        <v>0</v>
      </c>
      <c r="F374" s="1">
        <v>2923</v>
      </c>
      <c r="G374">
        <v>9</v>
      </c>
      <c r="H374" s="1">
        <v>1358</v>
      </c>
      <c r="I374">
        <v>0</v>
      </c>
      <c r="J374">
        <v>3</v>
      </c>
      <c r="K374">
        <v>5</v>
      </c>
      <c r="L374">
        <v>13</v>
      </c>
      <c r="M374">
        <v>5</v>
      </c>
      <c r="N374">
        <v>133</v>
      </c>
      <c r="O374">
        <v>10</v>
      </c>
      <c r="P374">
        <v>20</v>
      </c>
      <c r="Q374">
        <v>2</v>
      </c>
      <c r="R374">
        <v>0</v>
      </c>
      <c r="S374">
        <v>0</v>
      </c>
      <c r="T374">
        <v>0</v>
      </c>
      <c r="U374">
        <v>220</v>
      </c>
      <c r="V374">
        <v>0</v>
      </c>
      <c r="W374">
        <v>944</v>
      </c>
      <c r="X374">
        <v>4</v>
      </c>
      <c r="Y374">
        <v>294</v>
      </c>
      <c r="Z374">
        <v>187</v>
      </c>
      <c r="AA374">
        <v>188</v>
      </c>
      <c r="AB374">
        <v>353</v>
      </c>
      <c r="AC374">
        <v>706</v>
      </c>
      <c r="AD374">
        <v>96</v>
      </c>
      <c r="AE374">
        <v>5</v>
      </c>
      <c r="AF374">
        <v>46</v>
      </c>
      <c r="AG374">
        <v>39</v>
      </c>
    </row>
    <row r="375" spans="1:33" x14ac:dyDescent="0.3">
      <c r="A375" t="s">
        <v>142</v>
      </c>
      <c r="B375" t="s">
        <v>148</v>
      </c>
      <c r="C375" t="s">
        <v>35</v>
      </c>
      <c r="D375" s="1">
        <v>4092</v>
      </c>
      <c r="E375">
        <v>0</v>
      </c>
      <c r="F375" s="1">
        <v>1384</v>
      </c>
      <c r="G375">
        <v>7</v>
      </c>
      <c r="H375">
        <v>713</v>
      </c>
      <c r="I375">
        <v>0</v>
      </c>
      <c r="J375">
        <v>2</v>
      </c>
      <c r="K375">
        <v>5</v>
      </c>
      <c r="L375">
        <v>12</v>
      </c>
      <c r="M375">
        <v>3</v>
      </c>
      <c r="N375">
        <v>68</v>
      </c>
      <c r="O375">
        <v>7</v>
      </c>
      <c r="P375">
        <v>6</v>
      </c>
      <c r="Q375">
        <v>1</v>
      </c>
      <c r="R375">
        <v>0</v>
      </c>
      <c r="S375">
        <v>0</v>
      </c>
      <c r="T375">
        <v>0</v>
      </c>
      <c r="U375">
        <v>211</v>
      </c>
      <c r="V375">
        <v>0</v>
      </c>
      <c r="W375">
        <v>917</v>
      </c>
      <c r="X375">
        <v>4</v>
      </c>
      <c r="Y375">
        <v>108</v>
      </c>
      <c r="Z375">
        <v>91</v>
      </c>
      <c r="AA375">
        <v>79</v>
      </c>
      <c r="AB375">
        <v>160</v>
      </c>
      <c r="AC375">
        <v>182</v>
      </c>
      <c r="AD375">
        <v>74</v>
      </c>
      <c r="AE375">
        <v>1</v>
      </c>
      <c r="AF375">
        <v>25</v>
      </c>
      <c r="AG375">
        <v>32</v>
      </c>
    </row>
    <row r="376" spans="1:33" x14ac:dyDescent="0.3">
      <c r="A376" t="s">
        <v>142</v>
      </c>
      <c r="B376" t="s">
        <v>148</v>
      </c>
      <c r="C376" t="s">
        <v>36</v>
      </c>
      <c r="D376" s="1">
        <v>3471</v>
      </c>
      <c r="E376">
        <v>0</v>
      </c>
      <c r="F376" s="1">
        <v>1539</v>
      </c>
      <c r="G376">
        <v>2</v>
      </c>
      <c r="H376">
        <v>645</v>
      </c>
      <c r="I376">
        <v>0</v>
      </c>
      <c r="J376">
        <v>1</v>
      </c>
      <c r="K376">
        <v>0</v>
      </c>
      <c r="L376">
        <v>1</v>
      </c>
      <c r="M376">
        <v>2</v>
      </c>
      <c r="N376">
        <v>65</v>
      </c>
      <c r="O376">
        <v>3</v>
      </c>
      <c r="P376">
        <v>14</v>
      </c>
      <c r="Q376">
        <v>1</v>
      </c>
      <c r="R376">
        <v>0</v>
      </c>
      <c r="S376">
        <v>0</v>
      </c>
      <c r="T376">
        <v>0</v>
      </c>
      <c r="U376">
        <v>9</v>
      </c>
      <c r="V376">
        <v>0</v>
      </c>
      <c r="W376">
        <v>27</v>
      </c>
      <c r="X376">
        <v>0</v>
      </c>
      <c r="Y376">
        <v>186</v>
      </c>
      <c r="Z376">
        <v>96</v>
      </c>
      <c r="AA376">
        <v>109</v>
      </c>
      <c r="AB376">
        <v>193</v>
      </c>
      <c r="AC376">
        <v>524</v>
      </c>
      <c r="AD376">
        <v>22</v>
      </c>
      <c r="AE376">
        <v>4</v>
      </c>
      <c r="AF376">
        <v>21</v>
      </c>
      <c r="AG376">
        <v>7</v>
      </c>
    </row>
    <row r="377" spans="1:33" x14ac:dyDescent="0.3">
      <c r="A377" t="s">
        <v>142</v>
      </c>
      <c r="B377" t="s">
        <v>149</v>
      </c>
      <c r="C377" t="s">
        <v>32</v>
      </c>
      <c r="D377" s="1">
        <v>5360</v>
      </c>
      <c r="E377">
        <v>0</v>
      </c>
      <c r="F377">
        <v>550</v>
      </c>
      <c r="G377">
        <v>14</v>
      </c>
      <c r="H377">
        <v>71</v>
      </c>
      <c r="I377">
        <v>0</v>
      </c>
      <c r="J377">
        <v>7</v>
      </c>
      <c r="K377">
        <v>0</v>
      </c>
      <c r="L377">
        <v>7</v>
      </c>
      <c r="M377">
        <v>2</v>
      </c>
      <c r="N377">
        <v>74</v>
      </c>
      <c r="O377">
        <v>3</v>
      </c>
      <c r="P377">
        <v>51</v>
      </c>
      <c r="Q377">
        <v>13</v>
      </c>
      <c r="R377">
        <v>0</v>
      </c>
      <c r="S377">
        <v>0</v>
      </c>
      <c r="T377">
        <v>3</v>
      </c>
      <c r="U377">
        <v>384</v>
      </c>
      <c r="V377">
        <v>0</v>
      </c>
      <c r="W377" s="1">
        <v>2015</v>
      </c>
      <c r="X377">
        <v>164</v>
      </c>
      <c r="Y377">
        <v>268</v>
      </c>
      <c r="Z377">
        <v>128</v>
      </c>
      <c r="AA377">
        <v>239</v>
      </c>
      <c r="AB377">
        <v>404</v>
      </c>
      <c r="AC377">
        <v>780</v>
      </c>
      <c r="AD377">
        <v>81</v>
      </c>
      <c r="AE377">
        <v>5</v>
      </c>
      <c r="AF377">
        <v>65</v>
      </c>
      <c r="AG377">
        <v>32</v>
      </c>
    </row>
    <row r="378" spans="1:33" x14ac:dyDescent="0.3">
      <c r="A378" t="s">
        <v>142</v>
      </c>
      <c r="B378" t="s">
        <v>149</v>
      </c>
      <c r="C378" t="s">
        <v>35</v>
      </c>
      <c r="D378" s="1">
        <v>3422</v>
      </c>
      <c r="E378">
        <v>0</v>
      </c>
      <c r="F378">
        <v>256</v>
      </c>
      <c r="G378">
        <v>10</v>
      </c>
      <c r="H378">
        <v>26</v>
      </c>
      <c r="I378">
        <v>0</v>
      </c>
      <c r="J378">
        <v>7</v>
      </c>
      <c r="K378">
        <v>0</v>
      </c>
      <c r="L378">
        <v>6</v>
      </c>
      <c r="M378">
        <v>2</v>
      </c>
      <c r="N378">
        <v>41</v>
      </c>
      <c r="O378">
        <v>2</v>
      </c>
      <c r="P378">
        <v>15</v>
      </c>
      <c r="Q378">
        <v>8</v>
      </c>
      <c r="R378">
        <v>0</v>
      </c>
      <c r="S378">
        <v>0</v>
      </c>
      <c r="T378">
        <v>2</v>
      </c>
      <c r="U378">
        <v>367</v>
      </c>
      <c r="V378">
        <v>0</v>
      </c>
      <c r="W378" s="1">
        <v>1869</v>
      </c>
      <c r="X378">
        <v>164</v>
      </c>
      <c r="Y378">
        <v>105</v>
      </c>
      <c r="Z378">
        <v>62</v>
      </c>
      <c r="AA378">
        <v>68</v>
      </c>
      <c r="AB378">
        <v>168</v>
      </c>
      <c r="AC378">
        <v>121</v>
      </c>
      <c r="AD378">
        <v>59</v>
      </c>
      <c r="AE378">
        <v>1</v>
      </c>
      <c r="AF378">
        <v>38</v>
      </c>
      <c r="AG378">
        <v>25</v>
      </c>
    </row>
    <row r="379" spans="1:33" x14ac:dyDescent="0.3">
      <c r="A379" t="s">
        <v>142</v>
      </c>
      <c r="B379" t="s">
        <v>149</v>
      </c>
      <c r="C379" t="s">
        <v>36</v>
      </c>
      <c r="D379" s="1">
        <v>1938</v>
      </c>
      <c r="E379">
        <v>0</v>
      </c>
      <c r="F379">
        <v>294</v>
      </c>
      <c r="G379">
        <v>4</v>
      </c>
      <c r="H379">
        <v>45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33</v>
      </c>
      <c r="O379">
        <v>1</v>
      </c>
      <c r="P379">
        <v>36</v>
      </c>
      <c r="Q379">
        <v>5</v>
      </c>
      <c r="R379">
        <v>0</v>
      </c>
      <c r="S379">
        <v>0</v>
      </c>
      <c r="T379">
        <v>1</v>
      </c>
      <c r="U379">
        <v>17</v>
      </c>
      <c r="V379">
        <v>0</v>
      </c>
      <c r="W379">
        <v>146</v>
      </c>
      <c r="X379">
        <v>0</v>
      </c>
      <c r="Y379">
        <v>163</v>
      </c>
      <c r="Z379">
        <v>66</v>
      </c>
      <c r="AA379">
        <v>171</v>
      </c>
      <c r="AB379">
        <v>236</v>
      </c>
      <c r="AC379">
        <v>659</v>
      </c>
      <c r="AD379">
        <v>22</v>
      </c>
      <c r="AE379">
        <v>4</v>
      </c>
      <c r="AF379">
        <v>27</v>
      </c>
      <c r="AG379">
        <v>7</v>
      </c>
    </row>
    <row r="380" spans="1:33" x14ac:dyDescent="0.3">
      <c r="A380" t="s">
        <v>142</v>
      </c>
      <c r="B380" t="s">
        <v>132</v>
      </c>
      <c r="C380" t="s">
        <v>32</v>
      </c>
      <c r="D380" s="1">
        <v>2981</v>
      </c>
      <c r="E380">
        <v>0</v>
      </c>
      <c r="F380">
        <v>785</v>
      </c>
      <c r="G380">
        <v>3</v>
      </c>
      <c r="H380">
        <v>542</v>
      </c>
      <c r="I380">
        <v>0</v>
      </c>
      <c r="J380">
        <v>3</v>
      </c>
      <c r="K380">
        <v>5</v>
      </c>
      <c r="L380">
        <v>14</v>
      </c>
      <c r="M380">
        <v>16</v>
      </c>
      <c r="N380">
        <v>49</v>
      </c>
      <c r="O380">
        <v>3</v>
      </c>
      <c r="P380">
        <v>9</v>
      </c>
      <c r="Q380">
        <v>3</v>
      </c>
      <c r="R380">
        <v>0</v>
      </c>
      <c r="S380">
        <v>0</v>
      </c>
      <c r="T380">
        <v>0</v>
      </c>
      <c r="U380">
        <v>44</v>
      </c>
      <c r="V380">
        <v>0</v>
      </c>
      <c r="W380">
        <v>134</v>
      </c>
      <c r="X380">
        <v>707</v>
      </c>
      <c r="Y380">
        <v>66</v>
      </c>
      <c r="Z380">
        <v>101</v>
      </c>
      <c r="AA380">
        <v>70</v>
      </c>
      <c r="AB380">
        <v>168</v>
      </c>
      <c r="AC380">
        <v>205</v>
      </c>
      <c r="AD380">
        <v>24</v>
      </c>
      <c r="AE380">
        <v>2</v>
      </c>
      <c r="AF380">
        <v>17</v>
      </c>
      <c r="AG380">
        <v>11</v>
      </c>
    </row>
    <row r="381" spans="1:33" x14ac:dyDescent="0.3">
      <c r="A381" t="s">
        <v>142</v>
      </c>
      <c r="B381" t="s">
        <v>132</v>
      </c>
      <c r="C381" t="s">
        <v>35</v>
      </c>
      <c r="D381" s="1">
        <v>1580</v>
      </c>
      <c r="E381">
        <v>0</v>
      </c>
      <c r="F381">
        <v>280</v>
      </c>
      <c r="G381">
        <v>1</v>
      </c>
      <c r="H381">
        <v>189</v>
      </c>
      <c r="I381">
        <v>0</v>
      </c>
      <c r="J381">
        <v>2</v>
      </c>
      <c r="K381">
        <v>4</v>
      </c>
      <c r="L381">
        <v>11</v>
      </c>
      <c r="M381">
        <v>15</v>
      </c>
      <c r="N381">
        <v>18</v>
      </c>
      <c r="O381">
        <v>3</v>
      </c>
      <c r="P381">
        <v>3</v>
      </c>
      <c r="Q381">
        <v>2</v>
      </c>
      <c r="R381">
        <v>0</v>
      </c>
      <c r="S381">
        <v>0</v>
      </c>
      <c r="T381">
        <v>0</v>
      </c>
      <c r="U381">
        <v>31</v>
      </c>
      <c r="V381">
        <v>0</v>
      </c>
      <c r="W381">
        <v>73</v>
      </c>
      <c r="X381">
        <v>707</v>
      </c>
      <c r="Y381">
        <v>24</v>
      </c>
      <c r="Z381">
        <v>51</v>
      </c>
      <c r="AA381">
        <v>26</v>
      </c>
      <c r="AB381">
        <v>75</v>
      </c>
      <c r="AC381">
        <v>32</v>
      </c>
      <c r="AD381">
        <v>15</v>
      </c>
      <c r="AE381">
        <v>0</v>
      </c>
      <c r="AF381">
        <v>8</v>
      </c>
      <c r="AG381">
        <v>10</v>
      </c>
    </row>
    <row r="382" spans="1:33" x14ac:dyDescent="0.3">
      <c r="A382" t="s">
        <v>142</v>
      </c>
      <c r="B382" t="s">
        <v>132</v>
      </c>
      <c r="C382" t="s">
        <v>36</v>
      </c>
      <c r="D382" s="1">
        <v>1401</v>
      </c>
      <c r="E382">
        <v>0</v>
      </c>
      <c r="F382">
        <v>505</v>
      </c>
      <c r="G382">
        <v>2</v>
      </c>
      <c r="H382">
        <v>353</v>
      </c>
      <c r="I382">
        <v>0</v>
      </c>
      <c r="J382">
        <v>1</v>
      </c>
      <c r="K382">
        <v>1</v>
      </c>
      <c r="L382">
        <v>3</v>
      </c>
      <c r="M382">
        <v>1</v>
      </c>
      <c r="N382">
        <v>31</v>
      </c>
      <c r="O382">
        <v>0</v>
      </c>
      <c r="P382">
        <v>6</v>
      </c>
      <c r="Q382">
        <v>1</v>
      </c>
      <c r="R382">
        <v>0</v>
      </c>
      <c r="S382">
        <v>0</v>
      </c>
      <c r="T382">
        <v>0</v>
      </c>
      <c r="U382">
        <v>13</v>
      </c>
      <c r="V382">
        <v>0</v>
      </c>
      <c r="W382">
        <v>61</v>
      </c>
      <c r="X382">
        <v>0</v>
      </c>
      <c r="Y382">
        <v>42</v>
      </c>
      <c r="Z382">
        <v>50</v>
      </c>
      <c r="AA382">
        <v>44</v>
      </c>
      <c r="AB382">
        <v>93</v>
      </c>
      <c r="AC382">
        <v>173</v>
      </c>
      <c r="AD382">
        <v>9</v>
      </c>
      <c r="AE382">
        <v>2</v>
      </c>
      <c r="AF382">
        <v>9</v>
      </c>
      <c r="AG382">
        <v>1</v>
      </c>
    </row>
    <row r="383" spans="1:33" x14ac:dyDescent="0.3">
      <c r="A383" t="s">
        <v>142</v>
      </c>
      <c r="B383" t="s">
        <v>150</v>
      </c>
      <c r="C383" t="s">
        <v>32</v>
      </c>
      <c r="D383" s="1">
        <v>1908</v>
      </c>
      <c r="E383">
        <v>0</v>
      </c>
      <c r="F383">
        <v>350</v>
      </c>
      <c r="G383">
        <v>6</v>
      </c>
      <c r="H383">
        <v>49</v>
      </c>
      <c r="I383">
        <v>0</v>
      </c>
      <c r="J383">
        <v>7</v>
      </c>
      <c r="K383">
        <v>3</v>
      </c>
      <c r="L383">
        <v>20</v>
      </c>
      <c r="M383">
        <v>12</v>
      </c>
      <c r="N383">
        <v>81</v>
      </c>
      <c r="O383">
        <v>22</v>
      </c>
      <c r="P383">
        <v>172</v>
      </c>
      <c r="Q383">
        <v>2</v>
      </c>
      <c r="R383">
        <v>0</v>
      </c>
      <c r="S383">
        <v>0</v>
      </c>
      <c r="T383">
        <v>2</v>
      </c>
      <c r="U383">
        <v>71</v>
      </c>
      <c r="V383">
        <v>0</v>
      </c>
      <c r="W383">
        <v>48</v>
      </c>
      <c r="X383">
        <v>35</v>
      </c>
      <c r="Y383">
        <v>86</v>
      </c>
      <c r="Z383">
        <v>68</v>
      </c>
      <c r="AA383">
        <v>83</v>
      </c>
      <c r="AB383">
        <v>205</v>
      </c>
      <c r="AC383">
        <v>347</v>
      </c>
      <c r="AD383">
        <v>32</v>
      </c>
      <c r="AE383">
        <v>37</v>
      </c>
      <c r="AF383">
        <v>19</v>
      </c>
      <c r="AG383">
        <v>151</v>
      </c>
    </row>
    <row r="384" spans="1:33" x14ac:dyDescent="0.3">
      <c r="A384" t="s">
        <v>142</v>
      </c>
      <c r="B384" t="s">
        <v>150</v>
      </c>
      <c r="C384" t="s">
        <v>35</v>
      </c>
      <c r="D384">
        <v>841</v>
      </c>
      <c r="E384">
        <v>0</v>
      </c>
      <c r="F384">
        <v>125</v>
      </c>
      <c r="G384">
        <v>3</v>
      </c>
      <c r="H384">
        <v>19</v>
      </c>
      <c r="I384">
        <v>0</v>
      </c>
      <c r="J384">
        <v>1</v>
      </c>
      <c r="K384">
        <v>3</v>
      </c>
      <c r="L384">
        <v>16</v>
      </c>
      <c r="M384">
        <v>9</v>
      </c>
      <c r="N384">
        <v>30</v>
      </c>
      <c r="O384">
        <v>15</v>
      </c>
      <c r="P384">
        <v>68</v>
      </c>
      <c r="Q384">
        <v>2</v>
      </c>
      <c r="R384">
        <v>0</v>
      </c>
      <c r="S384">
        <v>0</v>
      </c>
      <c r="T384">
        <v>0</v>
      </c>
      <c r="U384">
        <v>48</v>
      </c>
      <c r="V384">
        <v>0</v>
      </c>
      <c r="W384">
        <v>48</v>
      </c>
      <c r="X384">
        <v>35</v>
      </c>
      <c r="Y384">
        <v>38</v>
      </c>
      <c r="Z384">
        <v>32</v>
      </c>
      <c r="AA384">
        <v>46</v>
      </c>
      <c r="AB384">
        <v>90</v>
      </c>
      <c r="AC384">
        <v>101</v>
      </c>
      <c r="AD384">
        <v>14</v>
      </c>
      <c r="AE384">
        <v>6</v>
      </c>
      <c r="AF384">
        <v>13</v>
      </c>
      <c r="AG384">
        <v>79</v>
      </c>
    </row>
    <row r="385" spans="1:33" x14ac:dyDescent="0.3">
      <c r="A385" t="s">
        <v>142</v>
      </c>
      <c r="B385" t="s">
        <v>150</v>
      </c>
      <c r="C385" t="s">
        <v>36</v>
      </c>
      <c r="D385" s="1">
        <v>1067</v>
      </c>
      <c r="E385">
        <v>0</v>
      </c>
      <c r="F385">
        <v>225</v>
      </c>
      <c r="G385">
        <v>3</v>
      </c>
      <c r="H385">
        <v>30</v>
      </c>
      <c r="I385">
        <v>0</v>
      </c>
      <c r="J385">
        <v>6</v>
      </c>
      <c r="K385">
        <v>0</v>
      </c>
      <c r="L385">
        <v>4</v>
      </c>
      <c r="M385">
        <v>3</v>
      </c>
      <c r="N385">
        <v>51</v>
      </c>
      <c r="O385">
        <v>7</v>
      </c>
      <c r="P385">
        <v>104</v>
      </c>
      <c r="Q385">
        <v>0</v>
      </c>
      <c r="R385">
        <v>0</v>
      </c>
      <c r="S385">
        <v>0</v>
      </c>
      <c r="T385">
        <v>2</v>
      </c>
      <c r="U385">
        <v>23</v>
      </c>
      <c r="V385">
        <v>0</v>
      </c>
      <c r="W385">
        <v>0</v>
      </c>
      <c r="X385">
        <v>0</v>
      </c>
      <c r="Y385">
        <v>48</v>
      </c>
      <c r="Z385">
        <v>36</v>
      </c>
      <c r="AA385">
        <v>37</v>
      </c>
      <c r="AB385">
        <v>115</v>
      </c>
      <c r="AC385">
        <v>246</v>
      </c>
      <c r="AD385">
        <v>18</v>
      </c>
      <c r="AE385">
        <v>31</v>
      </c>
      <c r="AF385">
        <v>6</v>
      </c>
      <c r="AG385">
        <v>72</v>
      </c>
    </row>
    <row r="386" spans="1:33" x14ac:dyDescent="0.3">
      <c r="A386" t="s">
        <v>142</v>
      </c>
      <c r="B386" t="s">
        <v>151</v>
      </c>
      <c r="C386" t="s">
        <v>32</v>
      </c>
      <c r="D386">
        <v>997</v>
      </c>
      <c r="E386">
        <v>0</v>
      </c>
      <c r="F386">
        <v>131</v>
      </c>
      <c r="G386">
        <v>5</v>
      </c>
      <c r="H386">
        <v>28</v>
      </c>
      <c r="I386">
        <v>0</v>
      </c>
      <c r="J386">
        <v>1</v>
      </c>
      <c r="K386">
        <v>0</v>
      </c>
      <c r="L386">
        <v>3</v>
      </c>
      <c r="M386">
        <v>1</v>
      </c>
      <c r="N386">
        <v>24</v>
      </c>
      <c r="O386">
        <v>0</v>
      </c>
      <c r="P386">
        <v>35</v>
      </c>
      <c r="Q386">
        <v>0</v>
      </c>
      <c r="R386">
        <v>0</v>
      </c>
      <c r="S386">
        <v>0</v>
      </c>
      <c r="T386">
        <v>4</v>
      </c>
      <c r="U386">
        <v>46</v>
      </c>
      <c r="V386">
        <v>0</v>
      </c>
      <c r="W386">
        <v>26</v>
      </c>
      <c r="X386">
        <v>28</v>
      </c>
      <c r="Y386">
        <v>98</v>
      </c>
      <c r="Z386">
        <v>31</v>
      </c>
      <c r="AA386">
        <v>39</v>
      </c>
      <c r="AB386">
        <v>149</v>
      </c>
      <c r="AC386">
        <v>297</v>
      </c>
      <c r="AD386">
        <v>18</v>
      </c>
      <c r="AE386">
        <v>8</v>
      </c>
      <c r="AF386">
        <v>20</v>
      </c>
      <c r="AG386">
        <v>5</v>
      </c>
    </row>
    <row r="387" spans="1:33" x14ac:dyDescent="0.3">
      <c r="A387" t="s">
        <v>142</v>
      </c>
      <c r="B387" t="s">
        <v>151</v>
      </c>
      <c r="C387" t="s">
        <v>35</v>
      </c>
      <c r="D387">
        <v>371</v>
      </c>
      <c r="E387">
        <v>0</v>
      </c>
      <c r="F387">
        <v>55</v>
      </c>
      <c r="G387">
        <v>4</v>
      </c>
      <c r="H387">
        <v>8</v>
      </c>
      <c r="I387">
        <v>0</v>
      </c>
      <c r="J387">
        <v>1</v>
      </c>
      <c r="K387">
        <v>0</v>
      </c>
      <c r="L387">
        <v>3</v>
      </c>
      <c r="M387">
        <v>1</v>
      </c>
      <c r="N387">
        <v>6</v>
      </c>
      <c r="O387">
        <v>0</v>
      </c>
      <c r="P387">
        <v>6</v>
      </c>
      <c r="Q387">
        <v>0</v>
      </c>
      <c r="R387">
        <v>0</v>
      </c>
      <c r="S387">
        <v>0</v>
      </c>
      <c r="T387">
        <v>2</v>
      </c>
      <c r="U387">
        <v>31</v>
      </c>
      <c r="V387">
        <v>0</v>
      </c>
      <c r="W387">
        <v>23</v>
      </c>
      <c r="X387">
        <v>28</v>
      </c>
      <c r="Y387">
        <v>39</v>
      </c>
      <c r="Z387">
        <v>11</v>
      </c>
      <c r="AA387">
        <v>16</v>
      </c>
      <c r="AB387">
        <v>61</v>
      </c>
      <c r="AC387">
        <v>47</v>
      </c>
      <c r="AD387">
        <v>13</v>
      </c>
      <c r="AE387">
        <v>1</v>
      </c>
      <c r="AF387">
        <v>11</v>
      </c>
      <c r="AG387">
        <v>4</v>
      </c>
    </row>
    <row r="388" spans="1:33" x14ac:dyDescent="0.3">
      <c r="A388" t="s">
        <v>142</v>
      </c>
      <c r="B388" t="s">
        <v>151</v>
      </c>
      <c r="C388" t="s">
        <v>36</v>
      </c>
      <c r="D388">
        <v>626</v>
      </c>
      <c r="E388">
        <v>0</v>
      </c>
      <c r="F388">
        <v>76</v>
      </c>
      <c r="G388">
        <v>1</v>
      </c>
      <c r="H388">
        <v>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18</v>
      </c>
      <c r="O388">
        <v>0</v>
      </c>
      <c r="P388">
        <v>29</v>
      </c>
      <c r="Q388">
        <v>0</v>
      </c>
      <c r="R388">
        <v>0</v>
      </c>
      <c r="S388">
        <v>0</v>
      </c>
      <c r="T388">
        <v>2</v>
      </c>
      <c r="U388">
        <v>15</v>
      </c>
      <c r="V388">
        <v>0</v>
      </c>
      <c r="W388">
        <v>3</v>
      </c>
      <c r="X388">
        <v>0</v>
      </c>
      <c r="Y388">
        <v>59</v>
      </c>
      <c r="Z388">
        <v>20</v>
      </c>
      <c r="AA388">
        <v>23</v>
      </c>
      <c r="AB388">
        <v>88</v>
      </c>
      <c r="AC388">
        <v>250</v>
      </c>
      <c r="AD388">
        <v>5</v>
      </c>
      <c r="AE388">
        <v>7</v>
      </c>
      <c r="AF388">
        <v>9</v>
      </c>
      <c r="AG388">
        <v>1</v>
      </c>
    </row>
    <row r="389" spans="1:33" x14ac:dyDescent="0.3">
      <c r="A389" t="s">
        <v>142</v>
      </c>
      <c r="B389" t="s">
        <v>152</v>
      </c>
      <c r="C389" t="s">
        <v>32</v>
      </c>
      <c r="D389" s="1">
        <v>2412</v>
      </c>
      <c r="E389">
        <v>0</v>
      </c>
      <c r="F389">
        <v>322</v>
      </c>
      <c r="G389">
        <v>1</v>
      </c>
      <c r="H389">
        <v>284</v>
      </c>
      <c r="I389">
        <v>0</v>
      </c>
      <c r="J389">
        <v>4</v>
      </c>
      <c r="K389">
        <v>9</v>
      </c>
      <c r="L389">
        <v>11</v>
      </c>
      <c r="M389">
        <v>12</v>
      </c>
      <c r="N389">
        <v>19</v>
      </c>
      <c r="O389">
        <v>0</v>
      </c>
      <c r="P389">
        <v>4</v>
      </c>
      <c r="Q389">
        <v>10</v>
      </c>
      <c r="R389">
        <v>0</v>
      </c>
      <c r="S389">
        <v>0</v>
      </c>
      <c r="T389">
        <v>0</v>
      </c>
      <c r="U389">
        <v>328</v>
      </c>
      <c r="V389">
        <v>0</v>
      </c>
      <c r="W389">
        <v>132</v>
      </c>
      <c r="X389">
        <v>539</v>
      </c>
      <c r="Y389">
        <v>90</v>
      </c>
      <c r="Z389">
        <v>116</v>
      </c>
      <c r="AA389">
        <v>98</v>
      </c>
      <c r="AB389">
        <v>163</v>
      </c>
      <c r="AC389">
        <v>222</v>
      </c>
      <c r="AD389">
        <v>11</v>
      </c>
      <c r="AE389">
        <v>0</v>
      </c>
      <c r="AF389">
        <v>33</v>
      </c>
      <c r="AG389">
        <v>4</v>
      </c>
    </row>
    <row r="390" spans="1:33" x14ac:dyDescent="0.3">
      <c r="A390" t="s">
        <v>142</v>
      </c>
      <c r="B390" t="s">
        <v>152</v>
      </c>
      <c r="C390" t="s">
        <v>35</v>
      </c>
      <c r="D390" s="1">
        <v>1631</v>
      </c>
      <c r="E390">
        <v>0</v>
      </c>
      <c r="F390">
        <v>168</v>
      </c>
      <c r="G390">
        <v>0</v>
      </c>
      <c r="H390">
        <v>163</v>
      </c>
      <c r="I390">
        <v>0</v>
      </c>
      <c r="J390">
        <v>3</v>
      </c>
      <c r="K390">
        <v>9</v>
      </c>
      <c r="L390">
        <v>9</v>
      </c>
      <c r="M390">
        <v>12</v>
      </c>
      <c r="N390">
        <v>15</v>
      </c>
      <c r="O390">
        <v>0</v>
      </c>
      <c r="P390">
        <v>1</v>
      </c>
      <c r="Q390">
        <v>10</v>
      </c>
      <c r="R390">
        <v>0</v>
      </c>
      <c r="S390">
        <v>0</v>
      </c>
      <c r="T390">
        <v>0</v>
      </c>
      <c r="U390">
        <v>319</v>
      </c>
      <c r="V390">
        <v>0</v>
      </c>
      <c r="W390">
        <v>129</v>
      </c>
      <c r="X390">
        <v>539</v>
      </c>
      <c r="Y390">
        <v>30</v>
      </c>
      <c r="Z390">
        <v>57</v>
      </c>
      <c r="AA390">
        <v>35</v>
      </c>
      <c r="AB390">
        <v>77</v>
      </c>
      <c r="AC390">
        <v>29</v>
      </c>
      <c r="AD390">
        <v>7</v>
      </c>
      <c r="AE390">
        <v>0</v>
      </c>
      <c r="AF390">
        <v>17</v>
      </c>
      <c r="AG390">
        <v>2</v>
      </c>
    </row>
    <row r="391" spans="1:33" x14ac:dyDescent="0.3">
      <c r="A391" t="s">
        <v>142</v>
      </c>
      <c r="B391" t="s">
        <v>152</v>
      </c>
      <c r="C391" t="s">
        <v>36</v>
      </c>
      <c r="D391">
        <v>781</v>
      </c>
      <c r="E391">
        <v>0</v>
      </c>
      <c r="F391">
        <v>154</v>
      </c>
      <c r="G391">
        <v>1</v>
      </c>
      <c r="H391">
        <v>121</v>
      </c>
      <c r="I391">
        <v>0</v>
      </c>
      <c r="J391">
        <v>1</v>
      </c>
      <c r="K391">
        <v>0</v>
      </c>
      <c r="L391">
        <v>2</v>
      </c>
      <c r="M391">
        <v>0</v>
      </c>
      <c r="N391">
        <v>4</v>
      </c>
      <c r="O391">
        <v>0</v>
      </c>
      <c r="P391">
        <v>3</v>
      </c>
      <c r="Q391">
        <v>0</v>
      </c>
      <c r="R391">
        <v>0</v>
      </c>
      <c r="S391">
        <v>0</v>
      </c>
      <c r="T391">
        <v>0</v>
      </c>
      <c r="U391">
        <v>9</v>
      </c>
      <c r="V391">
        <v>0</v>
      </c>
      <c r="W391">
        <v>3</v>
      </c>
      <c r="X391">
        <v>0</v>
      </c>
      <c r="Y391">
        <v>60</v>
      </c>
      <c r="Z391">
        <v>59</v>
      </c>
      <c r="AA391">
        <v>63</v>
      </c>
      <c r="AB391">
        <v>86</v>
      </c>
      <c r="AC391">
        <v>193</v>
      </c>
      <c r="AD391">
        <v>4</v>
      </c>
      <c r="AE391">
        <v>0</v>
      </c>
      <c r="AF391">
        <v>16</v>
      </c>
      <c r="AG391">
        <v>2</v>
      </c>
    </row>
    <row r="392" spans="1:33" x14ac:dyDescent="0.3">
      <c r="A392" t="s">
        <v>142</v>
      </c>
      <c r="B392" t="s">
        <v>138</v>
      </c>
      <c r="C392" t="s">
        <v>32</v>
      </c>
      <c r="D392" s="1">
        <v>2485</v>
      </c>
      <c r="E392">
        <v>0</v>
      </c>
      <c r="F392">
        <v>385</v>
      </c>
      <c r="G392">
        <v>0</v>
      </c>
      <c r="H392">
        <v>446</v>
      </c>
      <c r="I392">
        <v>0</v>
      </c>
      <c r="J392">
        <v>3</v>
      </c>
      <c r="K392">
        <v>2</v>
      </c>
      <c r="L392">
        <v>7</v>
      </c>
      <c r="M392">
        <v>6</v>
      </c>
      <c r="N392">
        <v>31</v>
      </c>
      <c r="O392">
        <v>1</v>
      </c>
      <c r="P392">
        <v>16</v>
      </c>
      <c r="Q392">
        <v>0</v>
      </c>
      <c r="R392">
        <v>0</v>
      </c>
      <c r="S392">
        <v>0</v>
      </c>
      <c r="T392">
        <v>4</v>
      </c>
      <c r="U392">
        <v>41</v>
      </c>
      <c r="V392">
        <v>0</v>
      </c>
      <c r="W392">
        <v>5</v>
      </c>
      <c r="X392" s="1">
        <v>1012</v>
      </c>
      <c r="Y392">
        <v>28</v>
      </c>
      <c r="Z392">
        <v>45</v>
      </c>
      <c r="AA392">
        <v>36</v>
      </c>
      <c r="AB392">
        <v>157</v>
      </c>
      <c r="AC392">
        <v>118</v>
      </c>
      <c r="AD392">
        <v>109</v>
      </c>
      <c r="AE392">
        <v>6</v>
      </c>
      <c r="AF392">
        <v>18</v>
      </c>
      <c r="AG392">
        <v>9</v>
      </c>
    </row>
    <row r="393" spans="1:33" x14ac:dyDescent="0.3">
      <c r="A393" t="s">
        <v>142</v>
      </c>
      <c r="B393" t="s">
        <v>138</v>
      </c>
      <c r="C393" t="s">
        <v>35</v>
      </c>
      <c r="D393" s="1">
        <v>1596</v>
      </c>
      <c r="E393">
        <v>0</v>
      </c>
      <c r="F393">
        <v>143</v>
      </c>
      <c r="G393">
        <v>0</v>
      </c>
      <c r="H393">
        <v>197</v>
      </c>
      <c r="I393">
        <v>0</v>
      </c>
      <c r="J393">
        <v>2</v>
      </c>
      <c r="K393">
        <v>1</v>
      </c>
      <c r="L393">
        <v>6</v>
      </c>
      <c r="M393">
        <v>6</v>
      </c>
      <c r="N393">
        <v>13</v>
      </c>
      <c r="O393">
        <v>1</v>
      </c>
      <c r="P393">
        <v>4</v>
      </c>
      <c r="Q393">
        <v>0</v>
      </c>
      <c r="R393">
        <v>0</v>
      </c>
      <c r="S393">
        <v>0</v>
      </c>
      <c r="T393">
        <v>0</v>
      </c>
      <c r="U393">
        <v>31</v>
      </c>
      <c r="V393">
        <v>0</v>
      </c>
      <c r="W393">
        <v>3</v>
      </c>
      <c r="X393" s="1">
        <v>1004</v>
      </c>
      <c r="Y393">
        <v>10</v>
      </c>
      <c r="Z393">
        <v>21</v>
      </c>
      <c r="AA393">
        <v>13</v>
      </c>
      <c r="AB393">
        <v>75</v>
      </c>
      <c r="AC393">
        <v>22</v>
      </c>
      <c r="AD393">
        <v>28</v>
      </c>
      <c r="AE393">
        <v>1</v>
      </c>
      <c r="AF393">
        <v>11</v>
      </c>
      <c r="AG393">
        <v>4</v>
      </c>
    </row>
    <row r="394" spans="1:33" x14ac:dyDescent="0.3">
      <c r="A394" t="s">
        <v>142</v>
      </c>
      <c r="B394" t="s">
        <v>138</v>
      </c>
      <c r="C394" t="s">
        <v>36</v>
      </c>
      <c r="D394">
        <v>889</v>
      </c>
      <c r="E394">
        <v>0</v>
      </c>
      <c r="F394">
        <v>242</v>
      </c>
      <c r="G394">
        <v>0</v>
      </c>
      <c r="H394">
        <v>249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18</v>
      </c>
      <c r="O394">
        <v>0</v>
      </c>
      <c r="P394">
        <v>12</v>
      </c>
      <c r="Q394">
        <v>0</v>
      </c>
      <c r="R394">
        <v>0</v>
      </c>
      <c r="S394">
        <v>0</v>
      </c>
      <c r="T394">
        <v>4</v>
      </c>
      <c r="U394">
        <v>10</v>
      </c>
      <c r="V394">
        <v>0</v>
      </c>
      <c r="W394">
        <v>2</v>
      </c>
      <c r="X394">
        <v>8</v>
      </c>
      <c r="Y394">
        <v>18</v>
      </c>
      <c r="Z394">
        <v>24</v>
      </c>
      <c r="AA394">
        <v>23</v>
      </c>
      <c r="AB394">
        <v>82</v>
      </c>
      <c r="AC394">
        <v>96</v>
      </c>
      <c r="AD394">
        <v>81</v>
      </c>
      <c r="AE394">
        <v>5</v>
      </c>
      <c r="AF394">
        <v>7</v>
      </c>
      <c r="AG394">
        <v>5</v>
      </c>
    </row>
    <row r="395" spans="1:33" x14ac:dyDescent="0.3">
      <c r="A395" t="s">
        <v>142</v>
      </c>
      <c r="B395" t="s">
        <v>153</v>
      </c>
      <c r="C395" t="s">
        <v>32</v>
      </c>
      <c r="D395" s="1">
        <v>4667</v>
      </c>
      <c r="E395">
        <v>0</v>
      </c>
      <c r="F395" s="1">
        <v>1118</v>
      </c>
      <c r="G395">
        <v>5</v>
      </c>
      <c r="H395">
        <v>391</v>
      </c>
      <c r="I395">
        <v>0</v>
      </c>
      <c r="J395">
        <v>13</v>
      </c>
      <c r="K395">
        <v>23</v>
      </c>
      <c r="L395">
        <v>84</v>
      </c>
      <c r="M395">
        <v>29</v>
      </c>
      <c r="N395">
        <v>93</v>
      </c>
      <c r="O395">
        <v>15</v>
      </c>
      <c r="P395">
        <v>153</v>
      </c>
      <c r="Q395">
        <v>1</v>
      </c>
      <c r="R395">
        <v>0</v>
      </c>
      <c r="S395">
        <v>0</v>
      </c>
      <c r="T395">
        <v>48</v>
      </c>
      <c r="U395">
        <v>205</v>
      </c>
      <c r="V395">
        <v>0</v>
      </c>
      <c r="W395">
        <v>70</v>
      </c>
      <c r="X395">
        <v>50</v>
      </c>
      <c r="Y395">
        <v>176</v>
      </c>
      <c r="Z395">
        <v>169</v>
      </c>
      <c r="AA395">
        <v>359</v>
      </c>
      <c r="AB395">
        <v>520</v>
      </c>
      <c r="AC395">
        <v>742</v>
      </c>
      <c r="AD395">
        <v>38</v>
      </c>
      <c r="AE395">
        <v>20</v>
      </c>
      <c r="AF395">
        <v>54</v>
      </c>
      <c r="AG395">
        <v>291</v>
      </c>
    </row>
    <row r="396" spans="1:33" x14ac:dyDescent="0.3">
      <c r="A396" t="s">
        <v>142</v>
      </c>
      <c r="B396" t="s">
        <v>153</v>
      </c>
      <c r="C396" t="s">
        <v>35</v>
      </c>
      <c r="D396" s="1">
        <v>2301</v>
      </c>
      <c r="E396">
        <v>0</v>
      </c>
      <c r="F396">
        <v>597</v>
      </c>
      <c r="G396">
        <v>2</v>
      </c>
      <c r="H396">
        <v>182</v>
      </c>
      <c r="I396">
        <v>0</v>
      </c>
      <c r="J396">
        <v>13</v>
      </c>
      <c r="K396">
        <v>20</v>
      </c>
      <c r="L396">
        <v>69</v>
      </c>
      <c r="M396">
        <v>27</v>
      </c>
      <c r="N396">
        <v>49</v>
      </c>
      <c r="O396">
        <v>13</v>
      </c>
      <c r="P396">
        <v>63</v>
      </c>
      <c r="Q396">
        <v>1</v>
      </c>
      <c r="R396">
        <v>0</v>
      </c>
      <c r="S396">
        <v>0</v>
      </c>
      <c r="T396">
        <v>21</v>
      </c>
      <c r="U396">
        <v>143</v>
      </c>
      <c r="V396">
        <v>0</v>
      </c>
      <c r="W396">
        <v>57</v>
      </c>
      <c r="X396">
        <v>50</v>
      </c>
      <c r="Y396">
        <v>71</v>
      </c>
      <c r="Z396">
        <v>84</v>
      </c>
      <c r="AA396">
        <v>160</v>
      </c>
      <c r="AB396">
        <v>242</v>
      </c>
      <c r="AC396">
        <v>238</v>
      </c>
      <c r="AD396">
        <v>23</v>
      </c>
      <c r="AE396">
        <v>5</v>
      </c>
      <c r="AF396">
        <v>30</v>
      </c>
      <c r="AG396">
        <v>141</v>
      </c>
    </row>
    <row r="397" spans="1:33" x14ac:dyDescent="0.3">
      <c r="A397" t="s">
        <v>142</v>
      </c>
      <c r="B397" t="s">
        <v>153</v>
      </c>
      <c r="C397" t="s">
        <v>36</v>
      </c>
      <c r="D397" s="1">
        <v>2366</v>
      </c>
      <c r="E397">
        <v>0</v>
      </c>
      <c r="F397">
        <v>521</v>
      </c>
      <c r="G397">
        <v>3</v>
      </c>
      <c r="H397">
        <v>209</v>
      </c>
      <c r="I397">
        <v>0</v>
      </c>
      <c r="J397">
        <v>0</v>
      </c>
      <c r="K397">
        <v>3</v>
      </c>
      <c r="L397">
        <v>15</v>
      </c>
      <c r="M397">
        <v>2</v>
      </c>
      <c r="N397">
        <v>44</v>
      </c>
      <c r="O397">
        <v>2</v>
      </c>
      <c r="P397">
        <v>90</v>
      </c>
      <c r="Q397">
        <v>0</v>
      </c>
      <c r="R397">
        <v>0</v>
      </c>
      <c r="S397">
        <v>0</v>
      </c>
      <c r="T397">
        <v>27</v>
      </c>
      <c r="U397">
        <v>62</v>
      </c>
      <c r="V397">
        <v>0</v>
      </c>
      <c r="W397">
        <v>13</v>
      </c>
      <c r="X397">
        <v>0</v>
      </c>
      <c r="Y397">
        <v>105</v>
      </c>
      <c r="Z397">
        <v>85</v>
      </c>
      <c r="AA397">
        <v>199</v>
      </c>
      <c r="AB397">
        <v>278</v>
      </c>
      <c r="AC397">
        <v>504</v>
      </c>
      <c r="AD397">
        <v>15</v>
      </c>
      <c r="AE397">
        <v>15</v>
      </c>
      <c r="AF397">
        <v>24</v>
      </c>
      <c r="AG397">
        <v>150</v>
      </c>
    </row>
    <row r="398" spans="1:33" x14ac:dyDescent="0.3">
      <c r="A398" t="s">
        <v>154</v>
      </c>
      <c r="B398" t="s">
        <v>32</v>
      </c>
      <c r="C398" t="s">
        <v>32</v>
      </c>
      <c r="D398" s="1">
        <v>279629</v>
      </c>
      <c r="E398">
        <v>24</v>
      </c>
      <c r="F398" s="1">
        <v>72243</v>
      </c>
      <c r="G398">
        <v>35</v>
      </c>
      <c r="H398" s="1">
        <v>21879</v>
      </c>
      <c r="I398">
        <v>121</v>
      </c>
      <c r="J398">
        <v>445</v>
      </c>
      <c r="K398">
        <v>550</v>
      </c>
      <c r="L398" s="1">
        <v>3112</v>
      </c>
      <c r="M398">
        <v>388</v>
      </c>
      <c r="N398" s="1">
        <v>7565</v>
      </c>
      <c r="O398">
        <v>478</v>
      </c>
      <c r="P398" s="1">
        <v>3421</v>
      </c>
      <c r="Q398">
        <v>790</v>
      </c>
      <c r="R398">
        <v>42</v>
      </c>
      <c r="S398">
        <v>208</v>
      </c>
      <c r="T398" s="1">
        <v>1578</v>
      </c>
      <c r="U398" s="1">
        <v>8554</v>
      </c>
      <c r="V398">
        <v>3</v>
      </c>
      <c r="W398" s="1">
        <v>3399</v>
      </c>
      <c r="X398">
        <v>2</v>
      </c>
      <c r="Y398" s="1">
        <v>9098</v>
      </c>
      <c r="Z398" s="1">
        <v>16877</v>
      </c>
      <c r="AA398" s="1">
        <v>10928</v>
      </c>
      <c r="AB398" s="1">
        <v>54554</v>
      </c>
      <c r="AC398" s="1">
        <v>23067</v>
      </c>
      <c r="AD398" s="1">
        <v>4865</v>
      </c>
      <c r="AE398" s="1">
        <v>2939</v>
      </c>
      <c r="AF398" s="1">
        <v>22502</v>
      </c>
      <c r="AG398" s="1">
        <v>9962</v>
      </c>
    </row>
    <row r="399" spans="1:33" x14ac:dyDescent="0.3">
      <c r="A399" t="s">
        <v>154</v>
      </c>
      <c r="B399" t="s">
        <v>32</v>
      </c>
      <c r="C399" t="s">
        <v>35</v>
      </c>
      <c r="D399" s="1">
        <f>D402+D405+D408+D411+D414+D417+D420+D423+D426+D429+D432+D435+D438+D441+D444+D447+D450+D453+D456+D459+D462+D465+D468+D471+D474</f>
        <v>120183</v>
      </c>
      <c r="E399" s="1">
        <f t="shared" ref="E399:AG399" si="16">E402+E405+E408+E411+E414+E417+E420+E423+E426+E429+E432+E435+E438+E441+E444+E447+E450+E453+E456+E459+E462+E465+E468+E471+E474</f>
        <v>11</v>
      </c>
      <c r="F399" s="1">
        <f t="shared" si="16"/>
        <v>24024</v>
      </c>
      <c r="G399" s="1">
        <f t="shared" si="16"/>
        <v>13</v>
      </c>
      <c r="H399" s="1">
        <f t="shared" si="16"/>
        <v>7996</v>
      </c>
      <c r="I399" s="1">
        <f t="shared" si="16"/>
        <v>84</v>
      </c>
      <c r="J399" s="1">
        <f t="shared" si="16"/>
        <v>250</v>
      </c>
      <c r="K399" s="1">
        <f t="shared" si="16"/>
        <v>422</v>
      </c>
      <c r="L399" s="1">
        <f t="shared" si="16"/>
        <v>2449</v>
      </c>
      <c r="M399" s="1">
        <f t="shared" si="16"/>
        <v>252</v>
      </c>
      <c r="N399" s="1">
        <f t="shared" si="16"/>
        <v>2193</v>
      </c>
      <c r="O399" s="1">
        <f t="shared" si="16"/>
        <v>354</v>
      </c>
      <c r="P399" s="1">
        <f t="shared" si="16"/>
        <v>1017</v>
      </c>
      <c r="Q399" s="1">
        <f t="shared" si="16"/>
        <v>590</v>
      </c>
      <c r="R399" s="1">
        <f t="shared" si="16"/>
        <v>42</v>
      </c>
      <c r="S399" s="1">
        <f t="shared" si="16"/>
        <v>205</v>
      </c>
      <c r="T399" s="1">
        <f t="shared" si="16"/>
        <v>690</v>
      </c>
      <c r="U399" s="1">
        <f t="shared" si="16"/>
        <v>4889</v>
      </c>
      <c r="V399" s="1">
        <f t="shared" si="16"/>
        <v>3</v>
      </c>
      <c r="W399" s="1">
        <f t="shared" si="16"/>
        <v>2884</v>
      </c>
      <c r="X399" s="1">
        <f t="shared" si="16"/>
        <v>2</v>
      </c>
      <c r="Y399" s="1">
        <f t="shared" si="16"/>
        <v>3607</v>
      </c>
      <c r="Z399" s="1">
        <f t="shared" si="16"/>
        <v>6581</v>
      </c>
      <c r="AA399" s="1">
        <f t="shared" si="16"/>
        <v>4199</v>
      </c>
      <c r="AB399" s="1">
        <f t="shared" si="16"/>
        <v>29266</v>
      </c>
      <c r="AC399" s="1">
        <f t="shared" si="16"/>
        <v>6621</v>
      </c>
      <c r="AD399" s="1">
        <f t="shared" si="16"/>
        <v>3080</v>
      </c>
      <c r="AE399" s="1">
        <f t="shared" si="16"/>
        <v>519</v>
      </c>
      <c r="AF399" s="1">
        <f t="shared" si="16"/>
        <v>12581</v>
      </c>
      <c r="AG399" s="1">
        <f t="shared" si="16"/>
        <v>5359</v>
      </c>
    </row>
    <row r="400" spans="1:33" x14ac:dyDescent="0.3">
      <c r="A400" t="s">
        <v>154</v>
      </c>
      <c r="B400" t="s">
        <v>32</v>
      </c>
      <c r="C400" t="s">
        <v>36</v>
      </c>
      <c r="D400" s="1">
        <f>D403+D406+D409+D412+D415+D418+D421+D424+D427+D430+D433+D436+D439+D442+D445+D448+D451+D454+D457+D460+D463+D466+D469+D472+D475</f>
        <v>159446</v>
      </c>
      <c r="E400" s="1">
        <f t="shared" ref="E400:AG400" si="17">E403+E406+E409+E412+E415+E418+E421+E424+E427+E430+E433+E436+E439+E442+E445+E448+E451+E454+E457+E460+E463+E466+E469+E472+E475</f>
        <v>13</v>
      </c>
      <c r="F400" s="1">
        <f t="shared" si="17"/>
        <v>48219</v>
      </c>
      <c r="G400" s="1">
        <f t="shared" si="17"/>
        <v>22</v>
      </c>
      <c r="H400" s="1">
        <f t="shared" si="17"/>
        <v>13883</v>
      </c>
      <c r="I400" s="1">
        <f t="shared" si="17"/>
        <v>37</v>
      </c>
      <c r="J400" s="1">
        <f t="shared" si="17"/>
        <v>195</v>
      </c>
      <c r="K400" s="1">
        <f t="shared" si="17"/>
        <v>128</v>
      </c>
      <c r="L400" s="1">
        <f t="shared" si="17"/>
        <v>663</v>
      </c>
      <c r="M400" s="1">
        <f t="shared" si="17"/>
        <v>136</v>
      </c>
      <c r="N400" s="1">
        <f t="shared" si="17"/>
        <v>5372</v>
      </c>
      <c r="O400" s="1">
        <f t="shared" si="17"/>
        <v>124</v>
      </c>
      <c r="P400" s="1">
        <f t="shared" si="17"/>
        <v>2404</v>
      </c>
      <c r="Q400" s="1">
        <f t="shared" si="17"/>
        <v>200</v>
      </c>
      <c r="R400" s="1">
        <f t="shared" si="17"/>
        <v>0</v>
      </c>
      <c r="S400" s="1">
        <f t="shared" si="17"/>
        <v>3</v>
      </c>
      <c r="T400" s="1">
        <f t="shared" si="17"/>
        <v>888</v>
      </c>
      <c r="U400" s="1">
        <f t="shared" si="17"/>
        <v>3665</v>
      </c>
      <c r="V400" s="1">
        <f t="shared" si="17"/>
        <v>0</v>
      </c>
      <c r="W400" s="1">
        <f t="shared" si="17"/>
        <v>515</v>
      </c>
      <c r="X400" s="1">
        <f t="shared" si="17"/>
        <v>0</v>
      </c>
      <c r="Y400" s="1">
        <f t="shared" si="17"/>
        <v>5491</v>
      </c>
      <c r="Z400" s="1">
        <f t="shared" si="17"/>
        <v>10296</v>
      </c>
      <c r="AA400" s="1">
        <f t="shared" si="17"/>
        <v>6729</v>
      </c>
      <c r="AB400" s="1">
        <f t="shared" si="17"/>
        <v>25288</v>
      </c>
      <c r="AC400" s="1">
        <f t="shared" si="17"/>
        <v>16446</v>
      </c>
      <c r="AD400" s="1">
        <f t="shared" si="17"/>
        <v>1785</v>
      </c>
      <c r="AE400" s="1">
        <f t="shared" si="17"/>
        <v>2420</v>
      </c>
      <c r="AF400" s="1">
        <f t="shared" si="17"/>
        <v>9921</v>
      </c>
      <c r="AG400" s="1">
        <f t="shared" si="17"/>
        <v>4603</v>
      </c>
    </row>
    <row r="401" spans="1:33" x14ac:dyDescent="0.3">
      <c r="A401" t="s">
        <v>154</v>
      </c>
      <c r="B401" t="s">
        <v>155</v>
      </c>
      <c r="C401" t="s">
        <v>32</v>
      </c>
      <c r="D401" s="1">
        <v>6178</v>
      </c>
      <c r="E401">
        <v>1</v>
      </c>
      <c r="F401">
        <v>473</v>
      </c>
      <c r="G401">
        <v>1</v>
      </c>
      <c r="H401">
        <v>209</v>
      </c>
      <c r="I401">
        <v>1</v>
      </c>
      <c r="J401">
        <v>4</v>
      </c>
      <c r="K401">
        <v>24</v>
      </c>
      <c r="L401">
        <v>311</v>
      </c>
      <c r="M401">
        <v>6</v>
      </c>
      <c r="N401">
        <v>166</v>
      </c>
      <c r="O401">
        <v>11</v>
      </c>
      <c r="P401">
        <v>556</v>
      </c>
      <c r="Q401">
        <v>11</v>
      </c>
      <c r="R401">
        <v>0</v>
      </c>
      <c r="S401">
        <v>1</v>
      </c>
      <c r="T401">
        <v>436</v>
      </c>
      <c r="U401">
        <v>809</v>
      </c>
      <c r="V401">
        <v>0</v>
      </c>
      <c r="W401">
        <v>209</v>
      </c>
      <c r="X401">
        <v>0</v>
      </c>
      <c r="Y401">
        <v>141</v>
      </c>
      <c r="Z401">
        <v>499</v>
      </c>
      <c r="AA401">
        <v>242</v>
      </c>
      <c r="AB401">
        <v>777</v>
      </c>
      <c r="AC401">
        <v>739</v>
      </c>
      <c r="AD401">
        <v>118</v>
      </c>
      <c r="AE401">
        <v>162</v>
      </c>
      <c r="AF401">
        <v>156</v>
      </c>
      <c r="AG401">
        <v>115</v>
      </c>
    </row>
    <row r="402" spans="1:33" x14ac:dyDescent="0.3">
      <c r="A402" t="s">
        <v>154</v>
      </c>
      <c r="B402" t="s">
        <v>155</v>
      </c>
      <c r="C402" t="s">
        <v>35</v>
      </c>
      <c r="D402" s="1">
        <v>2844</v>
      </c>
      <c r="E402">
        <v>0</v>
      </c>
      <c r="F402">
        <v>137</v>
      </c>
      <c r="G402">
        <v>0</v>
      </c>
      <c r="H402">
        <v>67</v>
      </c>
      <c r="I402">
        <v>0</v>
      </c>
      <c r="J402">
        <v>3</v>
      </c>
      <c r="K402">
        <v>20</v>
      </c>
      <c r="L402">
        <v>232</v>
      </c>
      <c r="M402">
        <v>4</v>
      </c>
      <c r="N402">
        <v>51</v>
      </c>
      <c r="O402">
        <v>7</v>
      </c>
      <c r="P402">
        <v>150</v>
      </c>
      <c r="Q402">
        <v>10</v>
      </c>
      <c r="R402">
        <v>0</v>
      </c>
      <c r="S402">
        <v>1</v>
      </c>
      <c r="T402">
        <v>209</v>
      </c>
      <c r="U402">
        <v>561</v>
      </c>
      <c r="V402">
        <v>0</v>
      </c>
      <c r="W402">
        <v>192</v>
      </c>
      <c r="X402">
        <v>0</v>
      </c>
      <c r="Y402">
        <v>75</v>
      </c>
      <c r="Z402">
        <v>193</v>
      </c>
      <c r="AA402">
        <v>89</v>
      </c>
      <c r="AB402">
        <v>349</v>
      </c>
      <c r="AC402">
        <v>246</v>
      </c>
      <c r="AD402">
        <v>68</v>
      </c>
      <c r="AE402">
        <v>32</v>
      </c>
      <c r="AF402">
        <v>78</v>
      </c>
      <c r="AG402">
        <v>70</v>
      </c>
    </row>
    <row r="403" spans="1:33" x14ac:dyDescent="0.3">
      <c r="A403" t="s">
        <v>154</v>
      </c>
      <c r="B403" t="s">
        <v>155</v>
      </c>
      <c r="C403" t="s">
        <v>36</v>
      </c>
      <c r="D403" s="1">
        <v>3334</v>
      </c>
      <c r="E403">
        <v>1</v>
      </c>
      <c r="F403">
        <v>336</v>
      </c>
      <c r="G403">
        <v>1</v>
      </c>
      <c r="H403">
        <v>142</v>
      </c>
      <c r="I403">
        <v>1</v>
      </c>
      <c r="J403">
        <v>1</v>
      </c>
      <c r="K403">
        <v>4</v>
      </c>
      <c r="L403">
        <v>79</v>
      </c>
      <c r="M403">
        <v>2</v>
      </c>
      <c r="N403">
        <v>115</v>
      </c>
      <c r="O403">
        <v>4</v>
      </c>
      <c r="P403">
        <v>406</v>
      </c>
      <c r="Q403">
        <v>1</v>
      </c>
      <c r="R403">
        <v>0</v>
      </c>
      <c r="S403">
        <v>0</v>
      </c>
      <c r="T403">
        <v>227</v>
      </c>
      <c r="U403">
        <v>248</v>
      </c>
      <c r="V403">
        <v>0</v>
      </c>
      <c r="W403">
        <v>17</v>
      </c>
      <c r="X403">
        <v>0</v>
      </c>
      <c r="Y403">
        <v>66</v>
      </c>
      <c r="Z403">
        <v>306</v>
      </c>
      <c r="AA403">
        <v>153</v>
      </c>
      <c r="AB403">
        <v>428</v>
      </c>
      <c r="AC403">
        <v>493</v>
      </c>
      <c r="AD403">
        <v>50</v>
      </c>
      <c r="AE403">
        <v>130</v>
      </c>
      <c r="AF403">
        <v>78</v>
      </c>
      <c r="AG403">
        <v>45</v>
      </c>
    </row>
    <row r="404" spans="1:33" x14ac:dyDescent="0.3">
      <c r="A404" t="s">
        <v>154</v>
      </c>
      <c r="B404" t="s">
        <v>156</v>
      </c>
      <c r="C404" t="s">
        <v>32</v>
      </c>
      <c r="D404" s="1">
        <v>4870</v>
      </c>
      <c r="E404">
        <v>0</v>
      </c>
      <c r="F404">
        <v>479</v>
      </c>
      <c r="G404">
        <v>2</v>
      </c>
      <c r="H404">
        <v>124</v>
      </c>
      <c r="I404">
        <v>0</v>
      </c>
      <c r="J404">
        <v>2</v>
      </c>
      <c r="K404">
        <v>4</v>
      </c>
      <c r="L404">
        <v>45</v>
      </c>
      <c r="M404">
        <v>12</v>
      </c>
      <c r="N404">
        <v>94</v>
      </c>
      <c r="O404">
        <v>5</v>
      </c>
      <c r="P404">
        <v>186</v>
      </c>
      <c r="Q404">
        <v>5</v>
      </c>
      <c r="R404">
        <v>0</v>
      </c>
      <c r="S404">
        <v>0</v>
      </c>
      <c r="T404">
        <v>37</v>
      </c>
      <c r="U404">
        <v>152</v>
      </c>
      <c r="V404">
        <v>0</v>
      </c>
      <c r="W404">
        <v>231</v>
      </c>
      <c r="X404">
        <v>0</v>
      </c>
      <c r="Y404">
        <v>228</v>
      </c>
      <c r="Z404">
        <v>293</v>
      </c>
      <c r="AA404">
        <v>264</v>
      </c>
      <c r="AB404" s="1">
        <v>1023</v>
      </c>
      <c r="AC404">
        <v>973</v>
      </c>
      <c r="AD404">
        <v>166</v>
      </c>
      <c r="AE404">
        <v>42</v>
      </c>
      <c r="AF404">
        <v>473</v>
      </c>
      <c r="AG404">
        <v>30</v>
      </c>
    </row>
    <row r="405" spans="1:33" x14ac:dyDescent="0.3">
      <c r="A405" t="s">
        <v>154</v>
      </c>
      <c r="B405" t="s">
        <v>156</v>
      </c>
      <c r="C405" t="s">
        <v>35</v>
      </c>
      <c r="D405" s="1">
        <v>2124</v>
      </c>
      <c r="E405">
        <v>0</v>
      </c>
      <c r="F405">
        <v>256</v>
      </c>
      <c r="G405">
        <v>0</v>
      </c>
      <c r="H405">
        <v>69</v>
      </c>
      <c r="I405">
        <v>0</v>
      </c>
      <c r="J405">
        <v>1</v>
      </c>
      <c r="K405">
        <v>4</v>
      </c>
      <c r="L405">
        <v>38</v>
      </c>
      <c r="M405">
        <v>9</v>
      </c>
      <c r="N405">
        <v>40</v>
      </c>
      <c r="O405">
        <v>5</v>
      </c>
      <c r="P405">
        <v>43</v>
      </c>
      <c r="Q405">
        <v>3</v>
      </c>
      <c r="R405">
        <v>0</v>
      </c>
      <c r="S405">
        <v>0</v>
      </c>
      <c r="T405">
        <v>16</v>
      </c>
      <c r="U405">
        <v>92</v>
      </c>
      <c r="V405">
        <v>0</v>
      </c>
      <c r="W405">
        <v>199</v>
      </c>
      <c r="X405">
        <v>0</v>
      </c>
      <c r="Y405">
        <v>99</v>
      </c>
      <c r="Z405">
        <v>96</v>
      </c>
      <c r="AA405">
        <v>98</v>
      </c>
      <c r="AB405">
        <v>460</v>
      </c>
      <c r="AC405">
        <v>200</v>
      </c>
      <c r="AD405">
        <v>105</v>
      </c>
      <c r="AE405">
        <v>8</v>
      </c>
      <c r="AF405">
        <v>259</v>
      </c>
      <c r="AG405">
        <v>24</v>
      </c>
    </row>
    <row r="406" spans="1:33" x14ac:dyDescent="0.3">
      <c r="A406" t="s">
        <v>154</v>
      </c>
      <c r="B406" t="s">
        <v>156</v>
      </c>
      <c r="C406" t="s">
        <v>36</v>
      </c>
      <c r="D406" s="1">
        <v>2746</v>
      </c>
      <c r="E406">
        <v>0</v>
      </c>
      <c r="F406">
        <v>223</v>
      </c>
      <c r="G406">
        <v>2</v>
      </c>
      <c r="H406">
        <v>55</v>
      </c>
      <c r="I406">
        <v>0</v>
      </c>
      <c r="J406">
        <v>1</v>
      </c>
      <c r="K406">
        <v>0</v>
      </c>
      <c r="L406">
        <v>7</v>
      </c>
      <c r="M406">
        <v>3</v>
      </c>
      <c r="N406">
        <v>54</v>
      </c>
      <c r="O406">
        <v>0</v>
      </c>
      <c r="P406">
        <v>143</v>
      </c>
      <c r="Q406">
        <v>2</v>
      </c>
      <c r="R406">
        <v>0</v>
      </c>
      <c r="S406">
        <v>0</v>
      </c>
      <c r="T406">
        <v>21</v>
      </c>
      <c r="U406">
        <v>60</v>
      </c>
      <c r="V406">
        <v>0</v>
      </c>
      <c r="W406">
        <v>32</v>
      </c>
      <c r="X406">
        <v>0</v>
      </c>
      <c r="Y406">
        <v>129</v>
      </c>
      <c r="Z406">
        <v>197</v>
      </c>
      <c r="AA406">
        <v>166</v>
      </c>
      <c r="AB406">
        <v>563</v>
      </c>
      <c r="AC406">
        <v>773</v>
      </c>
      <c r="AD406">
        <v>61</v>
      </c>
      <c r="AE406">
        <v>34</v>
      </c>
      <c r="AF406">
        <v>214</v>
      </c>
      <c r="AG406">
        <v>6</v>
      </c>
    </row>
    <row r="407" spans="1:33" x14ac:dyDescent="0.3">
      <c r="A407" t="s">
        <v>154</v>
      </c>
      <c r="B407" t="s">
        <v>157</v>
      </c>
      <c r="C407" t="s">
        <v>32</v>
      </c>
      <c r="D407" s="1">
        <v>6972</v>
      </c>
      <c r="E407">
        <v>0</v>
      </c>
      <c r="F407" s="1">
        <v>2694</v>
      </c>
      <c r="G407">
        <v>2</v>
      </c>
      <c r="H407" s="1">
        <v>1082</v>
      </c>
      <c r="I407">
        <v>1</v>
      </c>
      <c r="J407">
        <v>16</v>
      </c>
      <c r="K407">
        <v>1</v>
      </c>
      <c r="L407">
        <v>23</v>
      </c>
      <c r="M407">
        <v>14</v>
      </c>
      <c r="N407">
        <v>338</v>
      </c>
      <c r="O407">
        <v>10</v>
      </c>
      <c r="P407">
        <v>63</v>
      </c>
      <c r="Q407">
        <v>5</v>
      </c>
      <c r="R407">
        <v>0</v>
      </c>
      <c r="S407">
        <v>0</v>
      </c>
      <c r="T407">
        <v>4</v>
      </c>
      <c r="U407">
        <v>111</v>
      </c>
      <c r="V407">
        <v>0</v>
      </c>
      <c r="W407">
        <v>131</v>
      </c>
      <c r="X407">
        <v>0</v>
      </c>
      <c r="Y407">
        <v>205</v>
      </c>
      <c r="Z407">
        <v>251</v>
      </c>
      <c r="AA407">
        <v>213</v>
      </c>
      <c r="AB407">
        <v>686</v>
      </c>
      <c r="AC407">
        <v>715</v>
      </c>
      <c r="AD407">
        <v>100</v>
      </c>
      <c r="AE407">
        <v>52</v>
      </c>
      <c r="AF407">
        <v>202</v>
      </c>
      <c r="AG407">
        <v>53</v>
      </c>
    </row>
    <row r="408" spans="1:33" x14ac:dyDescent="0.3">
      <c r="A408" t="s">
        <v>154</v>
      </c>
      <c r="B408" t="s">
        <v>157</v>
      </c>
      <c r="C408" t="s">
        <v>35</v>
      </c>
      <c r="D408" s="1">
        <v>2336</v>
      </c>
      <c r="E408">
        <v>0</v>
      </c>
      <c r="F408">
        <v>759</v>
      </c>
      <c r="G408">
        <v>0</v>
      </c>
      <c r="H408">
        <v>401</v>
      </c>
      <c r="I408">
        <v>1</v>
      </c>
      <c r="J408">
        <v>9</v>
      </c>
      <c r="K408">
        <v>1</v>
      </c>
      <c r="L408">
        <v>11</v>
      </c>
      <c r="M408">
        <v>7</v>
      </c>
      <c r="N408">
        <v>100</v>
      </c>
      <c r="O408">
        <v>8</v>
      </c>
      <c r="P408">
        <v>25</v>
      </c>
      <c r="Q408">
        <v>4</v>
      </c>
      <c r="R408">
        <v>0</v>
      </c>
      <c r="S408">
        <v>0</v>
      </c>
      <c r="T408">
        <v>1</v>
      </c>
      <c r="U408">
        <v>43</v>
      </c>
      <c r="V408">
        <v>0</v>
      </c>
      <c r="W408">
        <v>96</v>
      </c>
      <c r="X408">
        <v>0</v>
      </c>
      <c r="Y408">
        <v>77</v>
      </c>
      <c r="Z408">
        <v>89</v>
      </c>
      <c r="AA408">
        <v>102</v>
      </c>
      <c r="AB408">
        <v>297</v>
      </c>
      <c r="AC408">
        <v>114</v>
      </c>
      <c r="AD408">
        <v>58</v>
      </c>
      <c r="AE408">
        <v>9</v>
      </c>
      <c r="AF408">
        <v>97</v>
      </c>
      <c r="AG408">
        <v>27</v>
      </c>
    </row>
    <row r="409" spans="1:33" x14ac:dyDescent="0.3">
      <c r="A409" t="s">
        <v>154</v>
      </c>
      <c r="B409" t="s">
        <v>157</v>
      </c>
      <c r="C409" t="s">
        <v>36</v>
      </c>
      <c r="D409" s="1">
        <v>4636</v>
      </c>
      <c r="E409">
        <v>0</v>
      </c>
      <c r="F409" s="1">
        <v>1935</v>
      </c>
      <c r="G409">
        <v>2</v>
      </c>
      <c r="H409">
        <v>681</v>
      </c>
      <c r="I409">
        <v>0</v>
      </c>
      <c r="J409">
        <v>7</v>
      </c>
      <c r="K409">
        <v>0</v>
      </c>
      <c r="L409">
        <v>12</v>
      </c>
      <c r="M409">
        <v>7</v>
      </c>
      <c r="N409">
        <v>238</v>
      </c>
      <c r="O409">
        <v>2</v>
      </c>
      <c r="P409">
        <v>38</v>
      </c>
      <c r="Q409">
        <v>1</v>
      </c>
      <c r="R409">
        <v>0</v>
      </c>
      <c r="S409">
        <v>0</v>
      </c>
      <c r="T409">
        <v>3</v>
      </c>
      <c r="U409">
        <v>68</v>
      </c>
      <c r="V409">
        <v>0</v>
      </c>
      <c r="W409">
        <v>35</v>
      </c>
      <c r="X409">
        <v>0</v>
      </c>
      <c r="Y409">
        <v>128</v>
      </c>
      <c r="Z409">
        <v>162</v>
      </c>
      <c r="AA409">
        <v>111</v>
      </c>
      <c r="AB409">
        <v>389</v>
      </c>
      <c r="AC409">
        <v>601</v>
      </c>
      <c r="AD409">
        <v>42</v>
      </c>
      <c r="AE409">
        <v>43</v>
      </c>
      <c r="AF409">
        <v>105</v>
      </c>
      <c r="AG409">
        <v>26</v>
      </c>
    </row>
    <row r="410" spans="1:33" x14ac:dyDescent="0.3">
      <c r="A410" t="s">
        <v>154</v>
      </c>
      <c r="B410" t="s">
        <v>143</v>
      </c>
      <c r="C410" t="s">
        <v>32</v>
      </c>
      <c r="D410" s="1">
        <v>6659</v>
      </c>
      <c r="E410">
        <v>1</v>
      </c>
      <c r="F410">
        <v>564</v>
      </c>
      <c r="G410">
        <v>0</v>
      </c>
      <c r="H410">
        <v>194</v>
      </c>
      <c r="I410">
        <v>0</v>
      </c>
      <c r="J410">
        <v>12</v>
      </c>
      <c r="K410">
        <v>26</v>
      </c>
      <c r="L410">
        <v>73</v>
      </c>
      <c r="M410">
        <v>9</v>
      </c>
      <c r="N410">
        <v>133</v>
      </c>
      <c r="O410">
        <v>4</v>
      </c>
      <c r="P410">
        <v>135</v>
      </c>
      <c r="Q410">
        <v>10</v>
      </c>
      <c r="R410">
        <v>1</v>
      </c>
      <c r="S410">
        <v>200</v>
      </c>
      <c r="T410">
        <v>31</v>
      </c>
      <c r="U410">
        <v>270</v>
      </c>
      <c r="V410">
        <v>0</v>
      </c>
      <c r="W410">
        <v>162</v>
      </c>
      <c r="X410">
        <v>0</v>
      </c>
      <c r="Y410">
        <v>276</v>
      </c>
      <c r="Z410">
        <v>587</v>
      </c>
      <c r="AA410">
        <v>221</v>
      </c>
      <c r="AB410" s="1">
        <v>1680</v>
      </c>
      <c r="AC410" s="1">
        <v>1363</v>
      </c>
      <c r="AD410">
        <v>173</v>
      </c>
      <c r="AE410">
        <v>101</v>
      </c>
      <c r="AF410">
        <v>379</v>
      </c>
      <c r="AG410">
        <v>54</v>
      </c>
    </row>
    <row r="411" spans="1:33" x14ac:dyDescent="0.3">
      <c r="A411" t="s">
        <v>154</v>
      </c>
      <c r="B411" t="s">
        <v>143</v>
      </c>
      <c r="C411" t="s">
        <v>35</v>
      </c>
      <c r="D411" s="1">
        <v>2825</v>
      </c>
      <c r="E411">
        <v>0</v>
      </c>
      <c r="F411">
        <v>197</v>
      </c>
      <c r="G411">
        <v>0</v>
      </c>
      <c r="H411">
        <v>67</v>
      </c>
      <c r="I411">
        <v>0</v>
      </c>
      <c r="J411">
        <v>9</v>
      </c>
      <c r="K411">
        <v>19</v>
      </c>
      <c r="L411">
        <v>53</v>
      </c>
      <c r="M411">
        <v>8</v>
      </c>
      <c r="N411">
        <v>38</v>
      </c>
      <c r="O411">
        <v>3</v>
      </c>
      <c r="P411">
        <v>32</v>
      </c>
      <c r="Q411">
        <v>9</v>
      </c>
      <c r="R411">
        <v>1</v>
      </c>
      <c r="S411">
        <v>198</v>
      </c>
      <c r="T411">
        <v>8</v>
      </c>
      <c r="U411">
        <v>152</v>
      </c>
      <c r="V411">
        <v>0</v>
      </c>
      <c r="W411">
        <v>154</v>
      </c>
      <c r="X411">
        <v>0</v>
      </c>
      <c r="Y411">
        <v>124</v>
      </c>
      <c r="Z411">
        <v>237</v>
      </c>
      <c r="AA411">
        <v>80</v>
      </c>
      <c r="AB411">
        <v>748</v>
      </c>
      <c r="AC411">
        <v>302</v>
      </c>
      <c r="AD411">
        <v>128</v>
      </c>
      <c r="AE411">
        <v>13</v>
      </c>
      <c r="AF411">
        <v>207</v>
      </c>
      <c r="AG411">
        <v>38</v>
      </c>
    </row>
    <row r="412" spans="1:33" x14ac:dyDescent="0.3">
      <c r="A412" t="s">
        <v>154</v>
      </c>
      <c r="B412" t="s">
        <v>143</v>
      </c>
      <c r="C412" t="s">
        <v>36</v>
      </c>
      <c r="D412" s="1">
        <v>3834</v>
      </c>
      <c r="E412">
        <v>1</v>
      </c>
      <c r="F412">
        <v>367</v>
      </c>
      <c r="G412">
        <v>0</v>
      </c>
      <c r="H412">
        <v>127</v>
      </c>
      <c r="I412">
        <v>0</v>
      </c>
      <c r="J412">
        <v>3</v>
      </c>
      <c r="K412">
        <v>7</v>
      </c>
      <c r="L412">
        <v>20</v>
      </c>
      <c r="M412">
        <v>1</v>
      </c>
      <c r="N412">
        <v>95</v>
      </c>
      <c r="O412">
        <v>1</v>
      </c>
      <c r="P412">
        <v>103</v>
      </c>
      <c r="Q412">
        <v>1</v>
      </c>
      <c r="R412">
        <v>0</v>
      </c>
      <c r="S412">
        <v>2</v>
      </c>
      <c r="T412">
        <v>23</v>
      </c>
      <c r="U412">
        <v>118</v>
      </c>
      <c r="V412">
        <v>0</v>
      </c>
      <c r="W412">
        <v>8</v>
      </c>
      <c r="X412">
        <v>0</v>
      </c>
      <c r="Y412">
        <v>152</v>
      </c>
      <c r="Z412">
        <v>350</v>
      </c>
      <c r="AA412">
        <v>141</v>
      </c>
      <c r="AB412">
        <v>932</v>
      </c>
      <c r="AC412" s="1">
        <v>1061</v>
      </c>
      <c r="AD412">
        <v>45</v>
      </c>
      <c r="AE412">
        <v>88</v>
      </c>
      <c r="AF412">
        <v>172</v>
      </c>
      <c r="AG412">
        <v>16</v>
      </c>
    </row>
    <row r="413" spans="1:33" x14ac:dyDescent="0.3">
      <c r="A413" t="s">
        <v>154</v>
      </c>
      <c r="B413" t="s">
        <v>158</v>
      </c>
      <c r="C413" t="s">
        <v>32</v>
      </c>
      <c r="D413" s="1">
        <v>19786</v>
      </c>
      <c r="E413">
        <v>6</v>
      </c>
      <c r="F413" s="1">
        <v>5816</v>
      </c>
      <c r="G413">
        <v>1</v>
      </c>
      <c r="H413" s="1">
        <v>1582</v>
      </c>
      <c r="I413">
        <v>0</v>
      </c>
      <c r="J413">
        <v>5</v>
      </c>
      <c r="K413">
        <v>0</v>
      </c>
      <c r="L413">
        <v>68</v>
      </c>
      <c r="M413">
        <v>8</v>
      </c>
      <c r="N413">
        <v>900</v>
      </c>
      <c r="O413">
        <v>57</v>
      </c>
      <c r="P413">
        <v>200</v>
      </c>
      <c r="Q413">
        <v>144</v>
      </c>
      <c r="R413">
        <v>0</v>
      </c>
      <c r="S413">
        <v>0</v>
      </c>
      <c r="T413">
        <v>153</v>
      </c>
      <c r="U413">
        <v>738</v>
      </c>
      <c r="V413">
        <v>0</v>
      </c>
      <c r="W413">
        <v>80</v>
      </c>
      <c r="X413">
        <v>0</v>
      </c>
      <c r="Y413">
        <v>413</v>
      </c>
      <c r="Z413" s="1">
        <v>1388</v>
      </c>
      <c r="AA413">
        <v>406</v>
      </c>
      <c r="AB413" s="1">
        <v>4051</v>
      </c>
      <c r="AC413" s="1">
        <v>1277</v>
      </c>
      <c r="AD413">
        <v>257</v>
      </c>
      <c r="AE413">
        <v>443</v>
      </c>
      <c r="AF413" s="1">
        <v>1648</v>
      </c>
      <c r="AG413">
        <v>145</v>
      </c>
    </row>
    <row r="414" spans="1:33" x14ac:dyDescent="0.3">
      <c r="A414" t="s">
        <v>154</v>
      </c>
      <c r="B414" t="s">
        <v>158</v>
      </c>
      <c r="C414" t="s">
        <v>35</v>
      </c>
      <c r="D414" s="1">
        <v>7931</v>
      </c>
      <c r="E414">
        <v>2</v>
      </c>
      <c r="F414" s="1">
        <v>2186</v>
      </c>
      <c r="G414">
        <v>1</v>
      </c>
      <c r="H414">
        <v>522</v>
      </c>
      <c r="I414">
        <v>0</v>
      </c>
      <c r="J414">
        <v>4</v>
      </c>
      <c r="K414">
        <v>0</v>
      </c>
      <c r="L414">
        <v>45</v>
      </c>
      <c r="M414">
        <v>5</v>
      </c>
      <c r="N414">
        <v>228</v>
      </c>
      <c r="O414">
        <v>41</v>
      </c>
      <c r="P414">
        <v>55</v>
      </c>
      <c r="Q414">
        <v>109</v>
      </c>
      <c r="R414">
        <v>0</v>
      </c>
      <c r="S414">
        <v>0</v>
      </c>
      <c r="T414">
        <v>54</v>
      </c>
      <c r="U414">
        <v>260</v>
      </c>
      <c r="V414">
        <v>0</v>
      </c>
      <c r="W414">
        <v>53</v>
      </c>
      <c r="X414">
        <v>0</v>
      </c>
      <c r="Y414">
        <v>165</v>
      </c>
      <c r="Z414">
        <v>464</v>
      </c>
      <c r="AA414">
        <v>146</v>
      </c>
      <c r="AB414" s="1">
        <v>2147</v>
      </c>
      <c r="AC414">
        <v>323</v>
      </c>
      <c r="AD414">
        <v>121</v>
      </c>
      <c r="AE414">
        <v>61</v>
      </c>
      <c r="AF414">
        <v>850</v>
      </c>
      <c r="AG414">
        <v>89</v>
      </c>
    </row>
    <row r="415" spans="1:33" x14ac:dyDescent="0.3">
      <c r="A415" t="s">
        <v>154</v>
      </c>
      <c r="B415" t="s">
        <v>158</v>
      </c>
      <c r="C415" t="s">
        <v>36</v>
      </c>
      <c r="D415" s="1">
        <v>11855</v>
      </c>
      <c r="E415">
        <v>4</v>
      </c>
      <c r="F415" s="1">
        <v>3630</v>
      </c>
      <c r="G415">
        <v>0</v>
      </c>
      <c r="H415" s="1">
        <v>1060</v>
      </c>
      <c r="I415">
        <v>0</v>
      </c>
      <c r="J415">
        <v>1</v>
      </c>
      <c r="K415">
        <v>0</v>
      </c>
      <c r="L415">
        <v>23</v>
      </c>
      <c r="M415">
        <v>3</v>
      </c>
      <c r="N415">
        <v>672</v>
      </c>
      <c r="O415">
        <v>16</v>
      </c>
      <c r="P415">
        <v>145</v>
      </c>
      <c r="Q415">
        <v>35</v>
      </c>
      <c r="R415">
        <v>0</v>
      </c>
      <c r="S415">
        <v>0</v>
      </c>
      <c r="T415">
        <v>99</v>
      </c>
      <c r="U415">
        <v>478</v>
      </c>
      <c r="V415">
        <v>0</v>
      </c>
      <c r="W415">
        <v>27</v>
      </c>
      <c r="X415">
        <v>0</v>
      </c>
      <c r="Y415">
        <v>248</v>
      </c>
      <c r="Z415">
        <v>924</v>
      </c>
      <c r="AA415">
        <v>260</v>
      </c>
      <c r="AB415" s="1">
        <v>1904</v>
      </c>
      <c r="AC415">
        <v>954</v>
      </c>
      <c r="AD415">
        <v>136</v>
      </c>
      <c r="AE415">
        <v>382</v>
      </c>
      <c r="AF415">
        <v>798</v>
      </c>
      <c r="AG415">
        <v>56</v>
      </c>
    </row>
    <row r="416" spans="1:33" x14ac:dyDescent="0.3">
      <c r="A416" t="s">
        <v>154</v>
      </c>
      <c r="B416" t="s">
        <v>159</v>
      </c>
      <c r="C416" t="s">
        <v>32</v>
      </c>
      <c r="D416" s="1">
        <v>17950</v>
      </c>
      <c r="E416">
        <v>0</v>
      </c>
      <c r="F416" s="1">
        <v>7875</v>
      </c>
      <c r="G416">
        <v>0</v>
      </c>
      <c r="H416" s="1">
        <v>1553</v>
      </c>
      <c r="I416">
        <v>0</v>
      </c>
      <c r="J416">
        <v>5</v>
      </c>
      <c r="K416">
        <v>5</v>
      </c>
      <c r="L416">
        <v>83</v>
      </c>
      <c r="M416">
        <v>33</v>
      </c>
      <c r="N416">
        <v>744</v>
      </c>
      <c r="O416">
        <v>24</v>
      </c>
      <c r="P416">
        <v>115</v>
      </c>
      <c r="Q416">
        <v>77</v>
      </c>
      <c r="R416">
        <v>0</v>
      </c>
      <c r="S416">
        <v>1</v>
      </c>
      <c r="T416">
        <v>71</v>
      </c>
      <c r="U416">
        <v>426</v>
      </c>
      <c r="V416">
        <v>0</v>
      </c>
      <c r="W416">
        <v>67</v>
      </c>
      <c r="X416">
        <v>0</v>
      </c>
      <c r="Y416">
        <v>404</v>
      </c>
      <c r="Z416">
        <v>978</v>
      </c>
      <c r="AA416">
        <v>633</v>
      </c>
      <c r="AB416" s="1">
        <v>2420</v>
      </c>
      <c r="AC416">
        <v>821</v>
      </c>
      <c r="AD416">
        <v>214</v>
      </c>
      <c r="AE416">
        <v>109</v>
      </c>
      <c r="AF416" s="1">
        <v>1190</v>
      </c>
      <c r="AG416">
        <v>102</v>
      </c>
    </row>
    <row r="417" spans="1:33" x14ac:dyDescent="0.3">
      <c r="A417" t="s">
        <v>154</v>
      </c>
      <c r="B417" t="s">
        <v>159</v>
      </c>
      <c r="C417" t="s">
        <v>35</v>
      </c>
      <c r="D417" s="1">
        <v>7318</v>
      </c>
      <c r="E417">
        <v>0</v>
      </c>
      <c r="F417" s="1">
        <v>3004</v>
      </c>
      <c r="G417">
        <v>0</v>
      </c>
      <c r="H417">
        <v>509</v>
      </c>
      <c r="I417">
        <v>0</v>
      </c>
      <c r="J417">
        <v>5</v>
      </c>
      <c r="K417">
        <v>2</v>
      </c>
      <c r="L417">
        <v>60</v>
      </c>
      <c r="M417">
        <v>19</v>
      </c>
      <c r="N417">
        <v>260</v>
      </c>
      <c r="O417">
        <v>21</v>
      </c>
      <c r="P417">
        <v>25</v>
      </c>
      <c r="Q417">
        <v>65</v>
      </c>
      <c r="R417">
        <v>0</v>
      </c>
      <c r="S417">
        <v>1</v>
      </c>
      <c r="T417">
        <v>28</v>
      </c>
      <c r="U417">
        <v>214</v>
      </c>
      <c r="V417">
        <v>0</v>
      </c>
      <c r="W417">
        <v>43</v>
      </c>
      <c r="X417">
        <v>0</v>
      </c>
      <c r="Y417">
        <v>158</v>
      </c>
      <c r="Z417">
        <v>362</v>
      </c>
      <c r="AA417">
        <v>293</v>
      </c>
      <c r="AB417" s="1">
        <v>1250</v>
      </c>
      <c r="AC417">
        <v>227</v>
      </c>
      <c r="AD417">
        <v>114</v>
      </c>
      <c r="AE417">
        <v>16</v>
      </c>
      <c r="AF417">
        <v>585</v>
      </c>
      <c r="AG417">
        <v>57</v>
      </c>
    </row>
    <row r="418" spans="1:33" x14ac:dyDescent="0.3">
      <c r="A418" t="s">
        <v>154</v>
      </c>
      <c r="B418" t="s">
        <v>159</v>
      </c>
      <c r="C418" t="s">
        <v>36</v>
      </c>
      <c r="D418" s="1">
        <v>10632</v>
      </c>
      <c r="E418">
        <v>0</v>
      </c>
      <c r="F418" s="1">
        <v>4871</v>
      </c>
      <c r="G418">
        <v>0</v>
      </c>
      <c r="H418" s="1">
        <v>1044</v>
      </c>
      <c r="I418">
        <v>0</v>
      </c>
      <c r="J418" s="1">
        <v>0</v>
      </c>
      <c r="K418">
        <v>3</v>
      </c>
      <c r="L418">
        <v>23</v>
      </c>
      <c r="M418">
        <v>14</v>
      </c>
      <c r="N418">
        <v>484</v>
      </c>
      <c r="O418">
        <v>3</v>
      </c>
      <c r="P418">
        <v>90</v>
      </c>
      <c r="Q418">
        <v>12</v>
      </c>
      <c r="R418">
        <v>0</v>
      </c>
      <c r="S418">
        <v>0</v>
      </c>
      <c r="T418">
        <v>43</v>
      </c>
      <c r="U418">
        <v>212</v>
      </c>
      <c r="V418">
        <v>0</v>
      </c>
      <c r="W418">
        <v>24</v>
      </c>
      <c r="X418">
        <v>0</v>
      </c>
      <c r="Y418">
        <v>246</v>
      </c>
      <c r="Z418">
        <v>616</v>
      </c>
      <c r="AA418">
        <v>340</v>
      </c>
      <c r="AB418" s="1">
        <v>1170</v>
      </c>
      <c r="AC418">
        <v>594</v>
      </c>
      <c r="AD418">
        <v>100</v>
      </c>
      <c r="AE418">
        <v>93</v>
      </c>
      <c r="AF418">
        <v>605</v>
      </c>
      <c r="AG418">
        <v>45</v>
      </c>
    </row>
    <row r="419" spans="1:33" x14ac:dyDescent="0.3">
      <c r="A419" t="s">
        <v>154</v>
      </c>
      <c r="B419" t="s">
        <v>160</v>
      </c>
      <c r="C419" t="s">
        <v>32</v>
      </c>
      <c r="D419" s="1">
        <v>24409</v>
      </c>
      <c r="E419">
        <v>0</v>
      </c>
      <c r="F419">
        <v>834</v>
      </c>
      <c r="G419">
        <v>7</v>
      </c>
      <c r="H419">
        <v>291</v>
      </c>
      <c r="I419">
        <v>0</v>
      </c>
      <c r="J419">
        <v>12</v>
      </c>
      <c r="K419">
        <v>8</v>
      </c>
      <c r="L419">
        <v>79</v>
      </c>
      <c r="M419">
        <v>2</v>
      </c>
      <c r="N419">
        <v>128</v>
      </c>
      <c r="O419">
        <v>2</v>
      </c>
      <c r="P419">
        <v>65</v>
      </c>
      <c r="Q419">
        <v>7</v>
      </c>
      <c r="R419">
        <v>0</v>
      </c>
      <c r="S419">
        <v>0</v>
      </c>
      <c r="T419">
        <v>25</v>
      </c>
      <c r="U419">
        <v>208</v>
      </c>
      <c r="V419">
        <v>0</v>
      </c>
      <c r="W419">
        <v>139</v>
      </c>
      <c r="X419">
        <v>0</v>
      </c>
      <c r="Y419" s="1">
        <v>1358</v>
      </c>
      <c r="Z419" s="1">
        <v>2183</v>
      </c>
      <c r="AA419">
        <v>996</v>
      </c>
      <c r="AB419" s="1">
        <v>10262</v>
      </c>
      <c r="AC419" s="1">
        <v>1864</v>
      </c>
      <c r="AD419">
        <v>382</v>
      </c>
      <c r="AE419">
        <v>49</v>
      </c>
      <c r="AF419" s="1">
        <v>5327</v>
      </c>
      <c r="AG419">
        <v>181</v>
      </c>
    </row>
    <row r="420" spans="1:33" x14ac:dyDescent="0.3">
      <c r="A420" t="s">
        <v>154</v>
      </c>
      <c r="B420" t="s">
        <v>160</v>
      </c>
      <c r="C420" t="s">
        <v>35</v>
      </c>
      <c r="D420" s="1">
        <v>13083</v>
      </c>
      <c r="E420">
        <v>0</v>
      </c>
      <c r="F420">
        <v>305</v>
      </c>
      <c r="G420">
        <v>2</v>
      </c>
      <c r="H420">
        <v>164</v>
      </c>
      <c r="I420">
        <v>0</v>
      </c>
      <c r="J420">
        <v>2</v>
      </c>
      <c r="K420">
        <v>7</v>
      </c>
      <c r="L420">
        <v>58</v>
      </c>
      <c r="M420">
        <v>2</v>
      </c>
      <c r="N420">
        <v>36</v>
      </c>
      <c r="O420">
        <v>1</v>
      </c>
      <c r="P420">
        <v>18</v>
      </c>
      <c r="Q420">
        <v>5</v>
      </c>
      <c r="R420">
        <v>0</v>
      </c>
      <c r="S420">
        <v>0</v>
      </c>
      <c r="T420">
        <v>9</v>
      </c>
      <c r="U420">
        <v>105</v>
      </c>
      <c r="V420">
        <v>0</v>
      </c>
      <c r="W420">
        <v>111</v>
      </c>
      <c r="X420">
        <v>0</v>
      </c>
      <c r="Y420">
        <v>532</v>
      </c>
      <c r="Z420">
        <v>808</v>
      </c>
      <c r="AA420">
        <v>341</v>
      </c>
      <c r="AB420" s="1">
        <v>6122</v>
      </c>
      <c r="AC420">
        <v>727</v>
      </c>
      <c r="AD420">
        <v>257</v>
      </c>
      <c r="AE420">
        <v>5</v>
      </c>
      <c r="AF420" s="1">
        <v>3345</v>
      </c>
      <c r="AG420">
        <v>121</v>
      </c>
    </row>
    <row r="421" spans="1:33" x14ac:dyDescent="0.3">
      <c r="A421" t="s">
        <v>154</v>
      </c>
      <c r="B421" t="s">
        <v>160</v>
      </c>
      <c r="C421" t="s">
        <v>36</v>
      </c>
      <c r="D421" s="1">
        <v>11326</v>
      </c>
      <c r="E421">
        <v>0</v>
      </c>
      <c r="F421">
        <v>529</v>
      </c>
      <c r="G421">
        <v>5</v>
      </c>
      <c r="H421">
        <v>127</v>
      </c>
      <c r="I421">
        <v>0</v>
      </c>
      <c r="J421">
        <v>10</v>
      </c>
      <c r="K421">
        <v>1</v>
      </c>
      <c r="L421">
        <v>21</v>
      </c>
      <c r="M421">
        <v>0</v>
      </c>
      <c r="N421">
        <v>92</v>
      </c>
      <c r="O421">
        <v>1</v>
      </c>
      <c r="P421">
        <v>47</v>
      </c>
      <c r="Q421">
        <v>2</v>
      </c>
      <c r="R421">
        <v>0</v>
      </c>
      <c r="S421">
        <v>0</v>
      </c>
      <c r="T421">
        <v>16</v>
      </c>
      <c r="U421">
        <v>103</v>
      </c>
      <c r="V421">
        <v>0</v>
      </c>
      <c r="W421">
        <v>28</v>
      </c>
      <c r="X421">
        <v>0</v>
      </c>
      <c r="Y421">
        <v>826</v>
      </c>
      <c r="Z421" s="1">
        <v>1375</v>
      </c>
      <c r="AA421">
        <v>655</v>
      </c>
      <c r="AB421" s="1">
        <v>4140</v>
      </c>
      <c r="AC421" s="1">
        <v>1137</v>
      </c>
      <c r="AD421">
        <v>125</v>
      </c>
      <c r="AE421">
        <v>44</v>
      </c>
      <c r="AF421" s="1">
        <v>1982</v>
      </c>
      <c r="AG421">
        <v>60</v>
      </c>
    </row>
    <row r="422" spans="1:33" x14ac:dyDescent="0.3">
      <c r="A422" t="s">
        <v>154</v>
      </c>
      <c r="B422" t="s">
        <v>161</v>
      </c>
      <c r="C422" t="s">
        <v>32</v>
      </c>
      <c r="D422" s="1">
        <v>14272</v>
      </c>
      <c r="E422">
        <v>1</v>
      </c>
      <c r="F422">
        <v>410</v>
      </c>
      <c r="G422">
        <v>10</v>
      </c>
      <c r="H422">
        <v>133</v>
      </c>
      <c r="I422">
        <v>0</v>
      </c>
      <c r="J422">
        <v>2</v>
      </c>
      <c r="K422">
        <v>6</v>
      </c>
      <c r="L422">
        <v>44</v>
      </c>
      <c r="M422">
        <v>8</v>
      </c>
      <c r="N422">
        <v>107</v>
      </c>
      <c r="O422">
        <v>2</v>
      </c>
      <c r="P422">
        <v>29</v>
      </c>
      <c r="Q422">
        <v>2</v>
      </c>
      <c r="R422">
        <v>0</v>
      </c>
      <c r="S422">
        <v>0</v>
      </c>
      <c r="T422">
        <v>11</v>
      </c>
      <c r="U422">
        <v>227</v>
      </c>
      <c r="V422">
        <v>0</v>
      </c>
      <c r="W422">
        <v>358</v>
      </c>
      <c r="X422">
        <v>0</v>
      </c>
      <c r="Y422">
        <v>777</v>
      </c>
      <c r="Z422" s="1">
        <v>1247</v>
      </c>
      <c r="AA422">
        <v>455</v>
      </c>
      <c r="AB422" s="1">
        <v>5888</v>
      </c>
      <c r="AC422" s="1">
        <v>1281</v>
      </c>
      <c r="AD422">
        <v>143</v>
      </c>
      <c r="AE422">
        <v>49</v>
      </c>
      <c r="AF422" s="1">
        <v>3035</v>
      </c>
      <c r="AG422">
        <v>47</v>
      </c>
    </row>
    <row r="423" spans="1:33" x14ac:dyDescent="0.3">
      <c r="A423" t="s">
        <v>154</v>
      </c>
      <c r="B423" t="s">
        <v>161</v>
      </c>
      <c r="C423" t="s">
        <v>35</v>
      </c>
      <c r="D423" s="1">
        <v>7481</v>
      </c>
      <c r="E423">
        <v>0</v>
      </c>
      <c r="F423">
        <v>114</v>
      </c>
      <c r="G423">
        <v>5</v>
      </c>
      <c r="H423">
        <v>63</v>
      </c>
      <c r="I423">
        <v>0</v>
      </c>
      <c r="J423">
        <v>2</v>
      </c>
      <c r="K423">
        <v>5</v>
      </c>
      <c r="L423">
        <v>33</v>
      </c>
      <c r="M423">
        <v>3</v>
      </c>
      <c r="N423">
        <v>30</v>
      </c>
      <c r="O423">
        <v>0</v>
      </c>
      <c r="P423">
        <v>11</v>
      </c>
      <c r="Q423">
        <v>1</v>
      </c>
      <c r="R423">
        <v>0</v>
      </c>
      <c r="S423">
        <v>0</v>
      </c>
      <c r="T423">
        <v>5</v>
      </c>
      <c r="U423">
        <v>130</v>
      </c>
      <c r="V423">
        <v>0</v>
      </c>
      <c r="W423">
        <v>315</v>
      </c>
      <c r="X423">
        <v>0</v>
      </c>
      <c r="Y423">
        <v>309</v>
      </c>
      <c r="Z423">
        <v>474</v>
      </c>
      <c r="AA423">
        <v>176</v>
      </c>
      <c r="AB423" s="1">
        <v>3464</v>
      </c>
      <c r="AC423">
        <v>439</v>
      </c>
      <c r="AD423">
        <v>92</v>
      </c>
      <c r="AE423">
        <v>10</v>
      </c>
      <c r="AF423" s="1">
        <v>1768</v>
      </c>
      <c r="AG423">
        <v>32</v>
      </c>
    </row>
    <row r="424" spans="1:33" x14ac:dyDescent="0.3">
      <c r="A424" t="s">
        <v>154</v>
      </c>
      <c r="B424" t="s">
        <v>161</v>
      </c>
      <c r="C424" t="s">
        <v>36</v>
      </c>
      <c r="D424" s="1">
        <v>6791</v>
      </c>
      <c r="E424">
        <v>1</v>
      </c>
      <c r="F424">
        <v>296</v>
      </c>
      <c r="G424">
        <v>5</v>
      </c>
      <c r="H424">
        <v>70</v>
      </c>
      <c r="I424">
        <v>0</v>
      </c>
      <c r="J424">
        <v>0</v>
      </c>
      <c r="K424">
        <v>1</v>
      </c>
      <c r="L424">
        <v>11</v>
      </c>
      <c r="M424">
        <v>5</v>
      </c>
      <c r="N424">
        <v>77</v>
      </c>
      <c r="O424">
        <v>2</v>
      </c>
      <c r="P424">
        <v>18</v>
      </c>
      <c r="Q424">
        <v>1</v>
      </c>
      <c r="R424">
        <v>0</v>
      </c>
      <c r="S424">
        <v>0</v>
      </c>
      <c r="T424">
        <v>6</v>
      </c>
      <c r="U424">
        <v>97</v>
      </c>
      <c r="V424">
        <v>0</v>
      </c>
      <c r="W424">
        <v>43</v>
      </c>
      <c r="X424">
        <v>0</v>
      </c>
      <c r="Y424">
        <v>468</v>
      </c>
      <c r="Z424">
        <v>773</v>
      </c>
      <c r="AA424">
        <v>279</v>
      </c>
      <c r="AB424" s="1">
        <v>2424</v>
      </c>
      <c r="AC424">
        <v>842</v>
      </c>
      <c r="AD424">
        <v>51</v>
      </c>
      <c r="AE424">
        <v>39</v>
      </c>
      <c r="AF424" s="1">
        <v>1267</v>
      </c>
      <c r="AG424">
        <v>15</v>
      </c>
    </row>
    <row r="425" spans="1:33" x14ac:dyDescent="0.3">
      <c r="A425" t="s">
        <v>154</v>
      </c>
      <c r="B425" t="s">
        <v>162</v>
      </c>
      <c r="C425" t="s">
        <v>32</v>
      </c>
      <c r="D425" s="1">
        <v>5462</v>
      </c>
      <c r="E425">
        <v>0</v>
      </c>
      <c r="F425" s="1">
        <v>1829</v>
      </c>
      <c r="G425">
        <v>0</v>
      </c>
      <c r="H425">
        <v>947</v>
      </c>
      <c r="I425">
        <v>0</v>
      </c>
      <c r="J425">
        <v>7</v>
      </c>
      <c r="K425">
        <v>0</v>
      </c>
      <c r="L425">
        <v>20</v>
      </c>
      <c r="M425">
        <v>13</v>
      </c>
      <c r="N425">
        <v>141</v>
      </c>
      <c r="O425">
        <v>14</v>
      </c>
      <c r="P425">
        <v>92</v>
      </c>
      <c r="Q425">
        <v>37</v>
      </c>
      <c r="R425">
        <v>0</v>
      </c>
      <c r="S425">
        <v>1</v>
      </c>
      <c r="T425">
        <v>1</v>
      </c>
      <c r="U425">
        <v>83</v>
      </c>
      <c r="V425">
        <v>0</v>
      </c>
      <c r="W425">
        <v>242</v>
      </c>
      <c r="X425">
        <v>0</v>
      </c>
      <c r="Y425">
        <v>153</v>
      </c>
      <c r="Z425">
        <v>142</v>
      </c>
      <c r="AA425">
        <v>129</v>
      </c>
      <c r="AB425">
        <v>577</v>
      </c>
      <c r="AC425">
        <v>790</v>
      </c>
      <c r="AD425">
        <v>107</v>
      </c>
      <c r="AE425">
        <v>22</v>
      </c>
      <c r="AF425">
        <v>90</v>
      </c>
      <c r="AG425">
        <v>25</v>
      </c>
    </row>
    <row r="426" spans="1:33" x14ac:dyDescent="0.3">
      <c r="A426" t="s">
        <v>154</v>
      </c>
      <c r="B426" t="s">
        <v>162</v>
      </c>
      <c r="C426" t="s">
        <v>35</v>
      </c>
      <c r="D426" s="1">
        <v>2227</v>
      </c>
      <c r="E426">
        <v>0</v>
      </c>
      <c r="F426">
        <v>667</v>
      </c>
      <c r="G426">
        <v>0</v>
      </c>
      <c r="H426">
        <v>407</v>
      </c>
      <c r="I426">
        <v>0</v>
      </c>
      <c r="J426">
        <v>4</v>
      </c>
      <c r="K426">
        <v>0</v>
      </c>
      <c r="L426">
        <v>15</v>
      </c>
      <c r="M426">
        <v>10</v>
      </c>
      <c r="N426">
        <v>53</v>
      </c>
      <c r="O426">
        <v>12</v>
      </c>
      <c r="P426">
        <v>34</v>
      </c>
      <c r="Q426">
        <v>26</v>
      </c>
      <c r="R426">
        <v>0</v>
      </c>
      <c r="S426">
        <v>1</v>
      </c>
      <c r="T426">
        <v>1</v>
      </c>
      <c r="U426">
        <v>46</v>
      </c>
      <c r="V426">
        <v>0</v>
      </c>
      <c r="W426">
        <v>239</v>
      </c>
      <c r="X426">
        <v>0</v>
      </c>
      <c r="Y426">
        <v>67</v>
      </c>
      <c r="Z426">
        <v>53</v>
      </c>
      <c r="AA426">
        <v>50</v>
      </c>
      <c r="AB426">
        <v>227</v>
      </c>
      <c r="AC426">
        <v>178</v>
      </c>
      <c r="AD426">
        <v>71</v>
      </c>
      <c r="AE426">
        <v>6</v>
      </c>
      <c r="AF426">
        <v>47</v>
      </c>
      <c r="AG426">
        <v>13</v>
      </c>
    </row>
    <row r="427" spans="1:33" x14ac:dyDescent="0.3">
      <c r="A427" t="s">
        <v>154</v>
      </c>
      <c r="B427" t="s">
        <v>162</v>
      </c>
      <c r="C427" t="s">
        <v>36</v>
      </c>
      <c r="D427" s="1">
        <v>3235</v>
      </c>
      <c r="E427">
        <v>0</v>
      </c>
      <c r="F427" s="1">
        <v>1162</v>
      </c>
      <c r="G427">
        <v>0</v>
      </c>
      <c r="H427">
        <v>540</v>
      </c>
      <c r="I427">
        <v>0</v>
      </c>
      <c r="J427">
        <v>3</v>
      </c>
      <c r="K427">
        <v>0</v>
      </c>
      <c r="L427">
        <v>5</v>
      </c>
      <c r="M427">
        <v>3</v>
      </c>
      <c r="N427">
        <v>88</v>
      </c>
      <c r="O427">
        <v>2</v>
      </c>
      <c r="P427">
        <v>58</v>
      </c>
      <c r="Q427">
        <v>11</v>
      </c>
      <c r="R427">
        <v>0</v>
      </c>
      <c r="S427">
        <v>0</v>
      </c>
      <c r="T427">
        <v>0</v>
      </c>
      <c r="U427">
        <v>37</v>
      </c>
      <c r="V427">
        <v>0</v>
      </c>
      <c r="W427">
        <v>3</v>
      </c>
      <c r="X427">
        <v>0</v>
      </c>
      <c r="Y427">
        <v>86</v>
      </c>
      <c r="Z427">
        <v>89</v>
      </c>
      <c r="AA427">
        <v>79</v>
      </c>
      <c r="AB427">
        <v>350</v>
      </c>
      <c r="AC427">
        <v>612</v>
      </c>
      <c r="AD427">
        <v>36</v>
      </c>
      <c r="AE427">
        <v>16</v>
      </c>
      <c r="AF427">
        <v>43</v>
      </c>
      <c r="AG427">
        <v>12</v>
      </c>
    </row>
    <row r="428" spans="1:33" x14ac:dyDescent="0.3">
      <c r="A428" t="s">
        <v>154</v>
      </c>
      <c r="B428" t="s">
        <v>163</v>
      </c>
      <c r="C428" t="s">
        <v>32</v>
      </c>
      <c r="D428" s="1">
        <v>3152</v>
      </c>
      <c r="E428">
        <v>0</v>
      </c>
      <c r="F428">
        <v>684</v>
      </c>
      <c r="G428">
        <v>1</v>
      </c>
      <c r="H428">
        <v>421</v>
      </c>
      <c r="I428">
        <v>0</v>
      </c>
      <c r="J428">
        <v>4</v>
      </c>
      <c r="K428">
        <v>1</v>
      </c>
      <c r="L428">
        <v>9</v>
      </c>
      <c r="M428">
        <v>7</v>
      </c>
      <c r="N428">
        <v>67</v>
      </c>
      <c r="O428">
        <v>2</v>
      </c>
      <c r="P428">
        <v>60</v>
      </c>
      <c r="Q428">
        <v>5</v>
      </c>
      <c r="R428">
        <v>0</v>
      </c>
      <c r="S428">
        <v>0</v>
      </c>
      <c r="T428">
        <v>6</v>
      </c>
      <c r="U428">
        <v>42</v>
      </c>
      <c r="V428">
        <v>0</v>
      </c>
      <c r="W428">
        <v>184</v>
      </c>
      <c r="X428">
        <v>0</v>
      </c>
      <c r="Y428">
        <v>157</v>
      </c>
      <c r="Z428">
        <v>117</v>
      </c>
      <c r="AA428">
        <v>126</v>
      </c>
      <c r="AB428">
        <v>404</v>
      </c>
      <c r="AC428">
        <v>638</v>
      </c>
      <c r="AD428">
        <v>95</v>
      </c>
      <c r="AE428">
        <v>14</v>
      </c>
      <c r="AF428">
        <v>80</v>
      </c>
      <c r="AG428">
        <v>28</v>
      </c>
    </row>
    <row r="429" spans="1:33" x14ac:dyDescent="0.3">
      <c r="A429" t="s">
        <v>154</v>
      </c>
      <c r="B429" t="s">
        <v>163</v>
      </c>
      <c r="C429" t="s">
        <v>35</v>
      </c>
      <c r="D429" s="1">
        <v>1120</v>
      </c>
      <c r="E429">
        <v>0</v>
      </c>
      <c r="F429">
        <v>213</v>
      </c>
      <c r="G429">
        <v>0</v>
      </c>
      <c r="H429">
        <v>114</v>
      </c>
      <c r="I429">
        <v>0</v>
      </c>
      <c r="J429">
        <v>1</v>
      </c>
      <c r="K429">
        <v>1</v>
      </c>
      <c r="L429">
        <v>7</v>
      </c>
      <c r="M429">
        <v>2</v>
      </c>
      <c r="N429">
        <v>16</v>
      </c>
      <c r="O429">
        <v>2</v>
      </c>
      <c r="P429">
        <v>20</v>
      </c>
      <c r="Q429">
        <v>3</v>
      </c>
      <c r="R429">
        <v>0</v>
      </c>
      <c r="S429">
        <v>0</v>
      </c>
      <c r="T429">
        <v>1</v>
      </c>
      <c r="U429">
        <v>20</v>
      </c>
      <c r="V429">
        <v>0</v>
      </c>
      <c r="W429">
        <v>146</v>
      </c>
      <c r="X429">
        <v>0</v>
      </c>
      <c r="Y429">
        <v>60</v>
      </c>
      <c r="Z429">
        <v>49</v>
      </c>
      <c r="AA429">
        <v>69</v>
      </c>
      <c r="AB429">
        <v>163</v>
      </c>
      <c r="AC429">
        <v>123</v>
      </c>
      <c r="AD429">
        <v>55</v>
      </c>
      <c r="AE429">
        <v>4</v>
      </c>
      <c r="AF429">
        <v>35</v>
      </c>
      <c r="AG429">
        <v>16</v>
      </c>
    </row>
    <row r="430" spans="1:33" x14ac:dyDescent="0.3">
      <c r="A430" t="s">
        <v>154</v>
      </c>
      <c r="B430" t="s">
        <v>163</v>
      </c>
      <c r="C430" t="s">
        <v>36</v>
      </c>
      <c r="D430" s="1">
        <v>2032</v>
      </c>
      <c r="E430">
        <v>0</v>
      </c>
      <c r="F430">
        <v>471</v>
      </c>
      <c r="G430">
        <v>1</v>
      </c>
      <c r="H430">
        <v>307</v>
      </c>
      <c r="I430">
        <v>0</v>
      </c>
      <c r="J430">
        <v>3</v>
      </c>
      <c r="K430">
        <v>0</v>
      </c>
      <c r="L430">
        <v>2</v>
      </c>
      <c r="M430">
        <v>5</v>
      </c>
      <c r="N430">
        <v>51</v>
      </c>
      <c r="O430">
        <v>0</v>
      </c>
      <c r="P430">
        <v>40</v>
      </c>
      <c r="Q430">
        <v>2</v>
      </c>
      <c r="R430">
        <v>0</v>
      </c>
      <c r="S430">
        <v>0</v>
      </c>
      <c r="T430">
        <v>5</v>
      </c>
      <c r="U430">
        <v>22</v>
      </c>
      <c r="V430">
        <v>0</v>
      </c>
      <c r="W430">
        <v>38</v>
      </c>
      <c r="X430">
        <v>0</v>
      </c>
      <c r="Y430">
        <v>97</v>
      </c>
      <c r="Z430">
        <v>68</v>
      </c>
      <c r="AA430">
        <v>57</v>
      </c>
      <c r="AB430">
        <v>241</v>
      </c>
      <c r="AC430">
        <v>515</v>
      </c>
      <c r="AD430">
        <v>40</v>
      </c>
      <c r="AE430">
        <v>10</v>
      </c>
      <c r="AF430">
        <v>45</v>
      </c>
      <c r="AG430">
        <v>12</v>
      </c>
    </row>
    <row r="431" spans="1:33" x14ac:dyDescent="0.3">
      <c r="A431" t="s">
        <v>154</v>
      </c>
      <c r="B431" t="s">
        <v>164</v>
      </c>
      <c r="C431" t="s">
        <v>32</v>
      </c>
      <c r="D431" s="1">
        <v>20682</v>
      </c>
      <c r="E431">
        <v>1</v>
      </c>
      <c r="F431" s="1">
        <v>11579</v>
      </c>
      <c r="G431">
        <v>2</v>
      </c>
      <c r="H431" s="1">
        <v>2752</v>
      </c>
      <c r="I431">
        <v>1</v>
      </c>
      <c r="J431">
        <v>15</v>
      </c>
      <c r="K431">
        <v>7</v>
      </c>
      <c r="L431">
        <v>120</v>
      </c>
      <c r="M431">
        <v>20</v>
      </c>
      <c r="N431">
        <v>936</v>
      </c>
      <c r="O431">
        <v>47</v>
      </c>
      <c r="P431">
        <v>123</v>
      </c>
      <c r="Q431">
        <v>106</v>
      </c>
      <c r="R431">
        <v>0</v>
      </c>
      <c r="S431">
        <v>0</v>
      </c>
      <c r="T431">
        <v>34</v>
      </c>
      <c r="U431">
        <v>303</v>
      </c>
      <c r="V431">
        <v>0</v>
      </c>
      <c r="W431">
        <v>113</v>
      </c>
      <c r="X431">
        <v>0</v>
      </c>
      <c r="Y431">
        <v>279</v>
      </c>
      <c r="Z431">
        <v>632</v>
      </c>
      <c r="AA431">
        <v>443</v>
      </c>
      <c r="AB431" s="1">
        <v>1392</v>
      </c>
      <c r="AC431">
        <v>878</v>
      </c>
      <c r="AD431">
        <v>185</v>
      </c>
      <c r="AE431">
        <v>166</v>
      </c>
      <c r="AF431">
        <v>449</v>
      </c>
      <c r="AG431">
        <v>99</v>
      </c>
    </row>
    <row r="432" spans="1:33" x14ac:dyDescent="0.3">
      <c r="A432" t="s">
        <v>154</v>
      </c>
      <c r="B432" t="s">
        <v>164</v>
      </c>
      <c r="C432" t="s">
        <v>35</v>
      </c>
      <c r="D432" s="1">
        <v>7540</v>
      </c>
      <c r="E432">
        <v>1</v>
      </c>
      <c r="F432" s="1">
        <v>3873</v>
      </c>
      <c r="G432">
        <v>0</v>
      </c>
      <c r="H432" s="1">
        <v>1133</v>
      </c>
      <c r="I432">
        <v>0</v>
      </c>
      <c r="J432">
        <v>8</v>
      </c>
      <c r="K432">
        <v>5</v>
      </c>
      <c r="L432">
        <v>80</v>
      </c>
      <c r="M432">
        <v>13</v>
      </c>
      <c r="N432">
        <v>292</v>
      </c>
      <c r="O432">
        <v>27</v>
      </c>
      <c r="P432">
        <v>41</v>
      </c>
      <c r="Q432">
        <v>86</v>
      </c>
      <c r="R432">
        <v>0</v>
      </c>
      <c r="S432">
        <v>0</v>
      </c>
      <c r="T432">
        <v>8</v>
      </c>
      <c r="U432">
        <v>122</v>
      </c>
      <c r="V432">
        <v>0</v>
      </c>
      <c r="W432">
        <v>77</v>
      </c>
      <c r="X432">
        <v>0</v>
      </c>
      <c r="Y432">
        <v>118</v>
      </c>
      <c r="Z432">
        <v>237</v>
      </c>
      <c r="AA432">
        <v>168</v>
      </c>
      <c r="AB432">
        <v>654</v>
      </c>
      <c r="AC432">
        <v>196</v>
      </c>
      <c r="AD432">
        <v>105</v>
      </c>
      <c r="AE432">
        <v>20</v>
      </c>
      <c r="AF432">
        <v>221</v>
      </c>
      <c r="AG432">
        <v>55</v>
      </c>
    </row>
    <row r="433" spans="1:33" x14ac:dyDescent="0.3">
      <c r="A433" t="s">
        <v>154</v>
      </c>
      <c r="B433" t="s">
        <v>164</v>
      </c>
      <c r="C433" t="s">
        <v>36</v>
      </c>
      <c r="D433" s="1">
        <v>13142</v>
      </c>
      <c r="E433">
        <v>0</v>
      </c>
      <c r="F433" s="1">
        <v>7706</v>
      </c>
      <c r="G433">
        <v>2</v>
      </c>
      <c r="H433" s="1">
        <v>1619</v>
      </c>
      <c r="I433">
        <v>1</v>
      </c>
      <c r="J433">
        <v>7</v>
      </c>
      <c r="K433">
        <v>2</v>
      </c>
      <c r="L433">
        <v>40</v>
      </c>
      <c r="M433">
        <v>7</v>
      </c>
      <c r="N433">
        <v>644</v>
      </c>
      <c r="O433">
        <v>20</v>
      </c>
      <c r="P433">
        <v>82</v>
      </c>
      <c r="Q433">
        <v>20</v>
      </c>
      <c r="R433">
        <v>0</v>
      </c>
      <c r="S433">
        <v>0</v>
      </c>
      <c r="T433">
        <v>26</v>
      </c>
      <c r="U433">
        <v>181</v>
      </c>
      <c r="V433">
        <v>0</v>
      </c>
      <c r="W433">
        <v>36</v>
      </c>
      <c r="X433">
        <v>0</v>
      </c>
      <c r="Y433">
        <v>161</v>
      </c>
      <c r="Z433">
        <v>395</v>
      </c>
      <c r="AA433">
        <v>275</v>
      </c>
      <c r="AB433">
        <v>738</v>
      </c>
      <c r="AC433">
        <v>682</v>
      </c>
      <c r="AD433">
        <v>80</v>
      </c>
      <c r="AE433">
        <v>146</v>
      </c>
      <c r="AF433">
        <v>228</v>
      </c>
      <c r="AG433">
        <v>44</v>
      </c>
    </row>
    <row r="434" spans="1:33" x14ac:dyDescent="0.3">
      <c r="A434" t="s">
        <v>154</v>
      </c>
      <c r="B434" t="s">
        <v>165</v>
      </c>
      <c r="C434" t="s">
        <v>32</v>
      </c>
      <c r="D434" s="1">
        <v>12357</v>
      </c>
      <c r="E434">
        <v>0</v>
      </c>
      <c r="F434" s="1">
        <v>4227</v>
      </c>
      <c r="G434">
        <v>0</v>
      </c>
      <c r="H434" s="1">
        <v>1862</v>
      </c>
      <c r="I434">
        <v>0</v>
      </c>
      <c r="J434">
        <v>6</v>
      </c>
      <c r="K434">
        <v>5</v>
      </c>
      <c r="L434">
        <v>35</v>
      </c>
      <c r="M434">
        <v>4</v>
      </c>
      <c r="N434">
        <v>391</v>
      </c>
      <c r="O434">
        <v>17</v>
      </c>
      <c r="P434">
        <v>77</v>
      </c>
      <c r="Q434">
        <v>52</v>
      </c>
      <c r="R434">
        <v>0</v>
      </c>
      <c r="S434">
        <v>0</v>
      </c>
      <c r="T434">
        <v>37</v>
      </c>
      <c r="U434">
        <v>204</v>
      </c>
      <c r="V434">
        <v>0</v>
      </c>
      <c r="W434">
        <v>154</v>
      </c>
      <c r="X434">
        <v>0</v>
      </c>
      <c r="Y434">
        <v>242</v>
      </c>
      <c r="Z434">
        <v>619</v>
      </c>
      <c r="AA434">
        <v>166</v>
      </c>
      <c r="AB434" s="1">
        <v>2113</v>
      </c>
      <c r="AC434">
        <v>699</v>
      </c>
      <c r="AD434">
        <v>272</v>
      </c>
      <c r="AE434">
        <v>97</v>
      </c>
      <c r="AF434">
        <v>923</v>
      </c>
      <c r="AG434">
        <v>155</v>
      </c>
    </row>
    <row r="435" spans="1:33" x14ac:dyDescent="0.3">
      <c r="A435" t="s">
        <v>154</v>
      </c>
      <c r="B435" t="s">
        <v>165</v>
      </c>
      <c r="C435" t="s">
        <v>35</v>
      </c>
      <c r="D435" s="1">
        <v>4945</v>
      </c>
      <c r="E435">
        <v>0</v>
      </c>
      <c r="F435" s="1">
        <v>1338</v>
      </c>
      <c r="G435">
        <v>0</v>
      </c>
      <c r="H435">
        <v>589</v>
      </c>
      <c r="I435">
        <v>0</v>
      </c>
      <c r="J435">
        <v>6</v>
      </c>
      <c r="K435">
        <v>5</v>
      </c>
      <c r="L435">
        <v>26</v>
      </c>
      <c r="M435">
        <v>2</v>
      </c>
      <c r="N435">
        <v>107</v>
      </c>
      <c r="O435">
        <v>11</v>
      </c>
      <c r="P435">
        <v>31</v>
      </c>
      <c r="Q435">
        <v>37</v>
      </c>
      <c r="R435">
        <v>0</v>
      </c>
      <c r="S435">
        <v>0</v>
      </c>
      <c r="T435">
        <v>11</v>
      </c>
      <c r="U435">
        <v>96</v>
      </c>
      <c r="V435">
        <v>0</v>
      </c>
      <c r="W435">
        <v>148</v>
      </c>
      <c r="X435">
        <v>0</v>
      </c>
      <c r="Y435">
        <v>101</v>
      </c>
      <c r="Z435">
        <v>240</v>
      </c>
      <c r="AA435">
        <v>60</v>
      </c>
      <c r="AB435" s="1">
        <v>1112</v>
      </c>
      <c r="AC435">
        <v>201</v>
      </c>
      <c r="AD435">
        <v>194</v>
      </c>
      <c r="AE435">
        <v>16</v>
      </c>
      <c r="AF435">
        <v>497</v>
      </c>
      <c r="AG435">
        <v>117</v>
      </c>
    </row>
    <row r="436" spans="1:33" x14ac:dyDescent="0.3">
      <c r="A436" t="s">
        <v>154</v>
      </c>
      <c r="B436" t="s">
        <v>165</v>
      </c>
      <c r="C436" t="s">
        <v>36</v>
      </c>
      <c r="D436" s="1">
        <v>7412</v>
      </c>
      <c r="E436">
        <v>0</v>
      </c>
      <c r="F436" s="1">
        <v>2889</v>
      </c>
      <c r="G436">
        <v>0</v>
      </c>
      <c r="H436" s="1">
        <v>1273</v>
      </c>
      <c r="I436">
        <v>0</v>
      </c>
      <c r="J436" s="1">
        <v>0</v>
      </c>
      <c r="K436">
        <v>0</v>
      </c>
      <c r="L436">
        <v>9</v>
      </c>
      <c r="M436">
        <v>2</v>
      </c>
      <c r="N436">
        <v>284</v>
      </c>
      <c r="O436">
        <v>6</v>
      </c>
      <c r="P436">
        <v>46</v>
      </c>
      <c r="Q436">
        <v>15</v>
      </c>
      <c r="R436">
        <v>0</v>
      </c>
      <c r="S436">
        <v>0</v>
      </c>
      <c r="T436">
        <v>26</v>
      </c>
      <c r="U436">
        <v>108</v>
      </c>
      <c r="V436">
        <v>0</v>
      </c>
      <c r="W436">
        <v>6</v>
      </c>
      <c r="X436">
        <v>0</v>
      </c>
      <c r="Y436">
        <v>141</v>
      </c>
      <c r="Z436">
        <v>379</v>
      </c>
      <c r="AA436">
        <v>106</v>
      </c>
      <c r="AB436" s="1">
        <v>1001</v>
      </c>
      <c r="AC436">
        <v>498</v>
      </c>
      <c r="AD436">
        <v>78</v>
      </c>
      <c r="AE436">
        <v>81</v>
      </c>
      <c r="AF436">
        <v>426</v>
      </c>
      <c r="AG436">
        <v>38</v>
      </c>
    </row>
    <row r="437" spans="1:33" x14ac:dyDescent="0.3">
      <c r="A437" t="s">
        <v>154</v>
      </c>
      <c r="B437" t="s">
        <v>166</v>
      </c>
      <c r="C437" t="s">
        <v>32</v>
      </c>
      <c r="D437" s="1">
        <v>11748</v>
      </c>
      <c r="E437">
        <v>1</v>
      </c>
      <c r="F437" s="1">
        <v>3738</v>
      </c>
      <c r="G437">
        <v>0</v>
      </c>
      <c r="H437" s="1">
        <v>1045</v>
      </c>
      <c r="I437">
        <v>33</v>
      </c>
      <c r="J437">
        <v>22</v>
      </c>
      <c r="K437">
        <v>95</v>
      </c>
      <c r="L437">
        <v>299</v>
      </c>
      <c r="M437">
        <v>17</v>
      </c>
      <c r="N437">
        <v>406</v>
      </c>
      <c r="O437">
        <v>38</v>
      </c>
      <c r="P437">
        <v>158</v>
      </c>
      <c r="Q437">
        <v>31</v>
      </c>
      <c r="R437">
        <v>0</v>
      </c>
      <c r="S437">
        <v>0</v>
      </c>
      <c r="T437">
        <v>123</v>
      </c>
      <c r="U437">
        <v>582</v>
      </c>
      <c r="V437">
        <v>0</v>
      </c>
      <c r="W437">
        <v>40</v>
      </c>
      <c r="X437">
        <v>0</v>
      </c>
      <c r="Y437">
        <v>246</v>
      </c>
      <c r="Z437">
        <v>700</v>
      </c>
      <c r="AA437">
        <v>543</v>
      </c>
      <c r="AB437" s="1">
        <v>1472</v>
      </c>
      <c r="AC437">
        <v>840</v>
      </c>
      <c r="AD437">
        <v>67</v>
      </c>
      <c r="AE437">
        <v>418</v>
      </c>
      <c r="AF437">
        <v>205</v>
      </c>
      <c r="AG437">
        <v>629</v>
      </c>
    </row>
    <row r="438" spans="1:33" x14ac:dyDescent="0.3">
      <c r="A438" t="s">
        <v>154</v>
      </c>
      <c r="B438" t="s">
        <v>166</v>
      </c>
      <c r="C438" t="s">
        <v>35</v>
      </c>
      <c r="D438" s="1">
        <v>4131</v>
      </c>
      <c r="E438">
        <v>1</v>
      </c>
      <c r="F438">
        <v>972</v>
      </c>
      <c r="G438">
        <v>0</v>
      </c>
      <c r="H438">
        <v>235</v>
      </c>
      <c r="I438">
        <v>24</v>
      </c>
      <c r="J438">
        <v>18</v>
      </c>
      <c r="K438">
        <v>72</v>
      </c>
      <c r="L438">
        <v>246</v>
      </c>
      <c r="M438">
        <v>10</v>
      </c>
      <c r="N438">
        <v>79</v>
      </c>
      <c r="O438">
        <v>28</v>
      </c>
      <c r="P438">
        <v>60</v>
      </c>
      <c r="Q438">
        <v>24</v>
      </c>
      <c r="R438">
        <v>0</v>
      </c>
      <c r="S438">
        <v>0</v>
      </c>
      <c r="T438">
        <v>58</v>
      </c>
      <c r="U438">
        <v>293</v>
      </c>
      <c r="V438">
        <v>0</v>
      </c>
      <c r="W438">
        <v>31</v>
      </c>
      <c r="X438">
        <v>0</v>
      </c>
      <c r="Y438">
        <v>115</v>
      </c>
      <c r="Z438">
        <v>273</v>
      </c>
      <c r="AA438">
        <v>179</v>
      </c>
      <c r="AB438">
        <v>724</v>
      </c>
      <c r="AC438">
        <v>257</v>
      </c>
      <c r="AD438">
        <v>31</v>
      </c>
      <c r="AE438">
        <v>72</v>
      </c>
      <c r="AF438">
        <v>109</v>
      </c>
      <c r="AG438">
        <v>220</v>
      </c>
    </row>
    <row r="439" spans="1:33" x14ac:dyDescent="0.3">
      <c r="A439" t="s">
        <v>154</v>
      </c>
      <c r="B439" t="s">
        <v>166</v>
      </c>
      <c r="C439" t="s">
        <v>36</v>
      </c>
      <c r="D439" s="1">
        <v>7617</v>
      </c>
      <c r="E439">
        <v>0</v>
      </c>
      <c r="F439" s="1">
        <v>2766</v>
      </c>
      <c r="G439">
        <v>0</v>
      </c>
      <c r="H439">
        <v>810</v>
      </c>
      <c r="I439">
        <v>9</v>
      </c>
      <c r="J439">
        <v>4</v>
      </c>
      <c r="K439">
        <v>23</v>
      </c>
      <c r="L439">
        <v>53</v>
      </c>
      <c r="M439">
        <v>7</v>
      </c>
      <c r="N439">
        <v>327</v>
      </c>
      <c r="O439">
        <v>10</v>
      </c>
      <c r="P439">
        <v>98</v>
      </c>
      <c r="Q439">
        <v>7</v>
      </c>
      <c r="R439">
        <v>0</v>
      </c>
      <c r="S439">
        <v>0</v>
      </c>
      <c r="T439">
        <v>65</v>
      </c>
      <c r="U439">
        <v>289</v>
      </c>
      <c r="V439">
        <v>0</v>
      </c>
      <c r="W439">
        <v>9</v>
      </c>
      <c r="X439">
        <v>0</v>
      </c>
      <c r="Y439">
        <v>131</v>
      </c>
      <c r="Z439">
        <v>427</v>
      </c>
      <c r="AA439">
        <v>364</v>
      </c>
      <c r="AB439">
        <v>748</v>
      </c>
      <c r="AC439">
        <v>583</v>
      </c>
      <c r="AD439">
        <v>36</v>
      </c>
      <c r="AE439">
        <v>346</v>
      </c>
      <c r="AF439">
        <v>96</v>
      </c>
      <c r="AG439">
        <v>409</v>
      </c>
    </row>
    <row r="440" spans="1:33" x14ac:dyDescent="0.3">
      <c r="A440" t="s">
        <v>154</v>
      </c>
      <c r="B440" t="s">
        <v>167</v>
      </c>
      <c r="C440" t="s">
        <v>32</v>
      </c>
      <c r="D440" s="1">
        <v>16685</v>
      </c>
      <c r="E440">
        <v>3</v>
      </c>
      <c r="F440" s="1">
        <v>7668</v>
      </c>
      <c r="G440">
        <v>0</v>
      </c>
      <c r="H440" s="1">
        <v>2485</v>
      </c>
      <c r="I440">
        <v>15</v>
      </c>
      <c r="J440">
        <v>24</v>
      </c>
      <c r="K440">
        <v>36</v>
      </c>
      <c r="L440">
        <v>117</v>
      </c>
      <c r="M440">
        <v>6</v>
      </c>
      <c r="N440">
        <v>623</v>
      </c>
      <c r="O440">
        <v>36</v>
      </c>
      <c r="P440">
        <v>153</v>
      </c>
      <c r="Q440">
        <v>101</v>
      </c>
      <c r="R440">
        <v>1</v>
      </c>
      <c r="S440">
        <v>1</v>
      </c>
      <c r="T440">
        <v>64</v>
      </c>
      <c r="U440">
        <v>564</v>
      </c>
      <c r="V440">
        <v>0</v>
      </c>
      <c r="W440">
        <v>26</v>
      </c>
      <c r="X440">
        <v>0</v>
      </c>
      <c r="Y440">
        <v>236</v>
      </c>
      <c r="Z440">
        <v>564</v>
      </c>
      <c r="AA440">
        <v>401</v>
      </c>
      <c r="AB440" s="1">
        <v>1930</v>
      </c>
      <c r="AC440">
        <v>733</v>
      </c>
      <c r="AD440">
        <v>110</v>
      </c>
      <c r="AE440">
        <v>455</v>
      </c>
      <c r="AF440">
        <v>170</v>
      </c>
      <c r="AG440">
        <v>163</v>
      </c>
    </row>
    <row r="441" spans="1:33" x14ac:dyDescent="0.3">
      <c r="A441" t="s">
        <v>154</v>
      </c>
      <c r="B441" t="s">
        <v>167</v>
      </c>
      <c r="C441" t="s">
        <v>35</v>
      </c>
      <c r="D441" s="1">
        <v>5016</v>
      </c>
      <c r="E441">
        <v>1</v>
      </c>
      <c r="F441" s="1">
        <v>1798</v>
      </c>
      <c r="G441">
        <v>0</v>
      </c>
      <c r="H441">
        <v>615</v>
      </c>
      <c r="I441">
        <v>12</v>
      </c>
      <c r="J441">
        <v>17</v>
      </c>
      <c r="K441">
        <v>29</v>
      </c>
      <c r="L441">
        <v>93</v>
      </c>
      <c r="M441">
        <v>6</v>
      </c>
      <c r="N441">
        <v>110</v>
      </c>
      <c r="O441">
        <v>26</v>
      </c>
      <c r="P441">
        <v>45</v>
      </c>
      <c r="Q441">
        <v>72</v>
      </c>
      <c r="R441">
        <v>1</v>
      </c>
      <c r="S441">
        <v>0</v>
      </c>
      <c r="T441">
        <v>32</v>
      </c>
      <c r="U441">
        <v>222</v>
      </c>
      <c r="V441">
        <v>0</v>
      </c>
      <c r="W441">
        <v>17</v>
      </c>
      <c r="X441">
        <v>0</v>
      </c>
      <c r="Y441">
        <v>92</v>
      </c>
      <c r="Z441">
        <v>209</v>
      </c>
      <c r="AA441">
        <v>156</v>
      </c>
      <c r="AB441">
        <v>940</v>
      </c>
      <c r="AC441">
        <v>220</v>
      </c>
      <c r="AD441">
        <v>56</v>
      </c>
      <c r="AE441">
        <v>76</v>
      </c>
      <c r="AF441">
        <v>77</v>
      </c>
      <c r="AG441">
        <v>94</v>
      </c>
    </row>
    <row r="442" spans="1:33" x14ac:dyDescent="0.3">
      <c r="A442" t="s">
        <v>154</v>
      </c>
      <c r="B442" t="s">
        <v>167</v>
      </c>
      <c r="C442" t="s">
        <v>36</v>
      </c>
      <c r="D442" s="1">
        <v>11669</v>
      </c>
      <c r="E442">
        <v>2</v>
      </c>
      <c r="F442" s="1">
        <v>5870</v>
      </c>
      <c r="G442">
        <v>0</v>
      </c>
      <c r="H442" s="1">
        <v>1870</v>
      </c>
      <c r="I442">
        <v>3</v>
      </c>
      <c r="J442">
        <v>7</v>
      </c>
      <c r="K442">
        <v>7</v>
      </c>
      <c r="L442">
        <v>24</v>
      </c>
      <c r="M442">
        <v>0</v>
      </c>
      <c r="N442">
        <v>513</v>
      </c>
      <c r="O442">
        <v>10</v>
      </c>
      <c r="P442">
        <v>108</v>
      </c>
      <c r="Q442">
        <v>29</v>
      </c>
      <c r="R442">
        <v>0</v>
      </c>
      <c r="S442">
        <v>1</v>
      </c>
      <c r="T442">
        <v>32</v>
      </c>
      <c r="U442">
        <v>342</v>
      </c>
      <c r="V442">
        <v>0</v>
      </c>
      <c r="W442">
        <v>9</v>
      </c>
      <c r="X442">
        <v>0</v>
      </c>
      <c r="Y442">
        <v>144</v>
      </c>
      <c r="Z442">
        <v>355</v>
      </c>
      <c r="AA442">
        <v>245</v>
      </c>
      <c r="AB442">
        <v>990</v>
      </c>
      <c r="AC442">
        <v>513</v>
      </c>
      <c r="AD442">
        <v>54</v>
      </c>
      <c r="AE442">
        <v>379</v>
      </c>
      <c r="AF442">
        <v>93</v>
      </c>
      <c r="AG442">
        <v>69</v>
      </c>
    </row>
    <row r="443" spans="1:33" x14ac:dyDescent="0.3">
      <c r="A443" t="s">
        <v>154</v>
      </c>
      <c r="B443" t="s">
        <v>168</v>
      </c>
      <c r="C443" t="s">
        <v>32</v>
      </c>
      <c r="D443" s="1">
        <v>4867</v>
      </c>
      <c r="E443">
        <v>1</v>
      </c>
      <c r="F443">
        <v>376</v>
      </c>
      <c r="G443">
        <v>0</v>
      </c>
      <c r="H443">
        <v>110</v>
      </c>
      <c r="I443">
        <v>1</v>
      </c>
      <c r="J443">
        <v>8</v>
      </c>
      <c r="K443">
        <v>18</v>
      </c>
      <c r="L443">
        <v>262</v>
      </c>
      <c r="M443">
        <v>8</v>
      </c>
      <c r="N443">
        <v>66</v>
      </c>
      <c r="O443">
        <v>14</v>
      </c>
      <c r="P443">
        <v>233</v>
      </c>
      <c r="Q443">
        <v>10</v>
      </c>
      <c r="R443">
        <v>0</v>
      </c>
      <c r="S443">
        <v>0</v>
      </c>
      <c r="T443">
        <v>73</v>
      </c>
      <c r="U443">
        <v>615</v>
      </c>
      <c r="V443">
        <v>0</v>
      </c>
      <c r="W443">
        <v>79</v>
      </c>
      <c r="X443">
        <v>0</v>
      </c>
      <c r="Y443">
        <v>193</v>
      </c>
      <c r="Z443">
        <v>375</v>
      </c>
      <c r="AA443">
        <v>668</v>
      </c>
      <c r="AB443">
        <v>663</v>
      </c>
      <c r="AC443">
        <v>644</v>
      </c>
      <c r="AD443">
        <v>76</v>
      </c>
      <c r="AE443">
        <v>74</v>
      </c>
      <c r="AF443">
        <v>127</v>
      </c>
      <c r="AG443">
        <v>173</v>
      </c>
    </row>
    <row r="444" spans="1:33" x14ac:dyDescent="0.3">
      <c r="A444" t="s">
        <v>154</v>
      </c>
      <c r="B444" t="s">
        <v>168</v>
      </c>
      <c r="C444" t="s">
        <v>35</v>
      </c>
      <c r="D444" s="1">
        <v>2324</v>
      </c>
      <c r="E444">
        <v>0</v>
      </c>
      <c r="F444">
        <v>133</v>
      </c>
      <c r="G444">
        <v>0</v>
      </c>
      <c r="H444">
        <v>44</v>
      </c>
      <c r="I444">
        <v>1</v>
      </c>
      <c r="J444">
        <v>3</v>
      </c>
      <c r="K444">
        <v>17</v>
      </c>
      <c r="L444">
        <v>209</v>
      </c>
      <c r="M444">
        <v>8</v>
      </c>
      <c r="N444">
        <v>25</v>
      </c>
      <c r="O444">
        <v>9</v>
      </c>
      <c r="P444">
        <v>60</v>
      </c>
      <c r="Q444">
        <v>9</v>
      </c>
      <c r="R444">
        <v>0</v>
      </c>
      <c r="S444">
        <v>0</v>
      </c>
      <c r="T444">
        <v>32</v>
      </c>
      <c r="U444">
        <v>429</v>
      </c>
      <c r="V444">
        <v>0</v>
      </c>
      <c r="W444">
        <v>71</v>
      </c>
      <c r="X444">
        <v>0</v>
      </c>
      <c r="Y444">
        <v>61</v>
      </c>
      <c r="Z444">
        <v>169</v>
      </c>
      <c r="AA444">
        <v>253</v>
      </c>
      <c r="AB444">
        <v>314</v>
      </c>
      <c r="AC444">
        <v>261</v>
      </c>
      <c r="AD444">
        <v>39</v>
      </c>
      <c r="AE444">
        <v>16</v>
      </c>
      <c r="AF444">
        <v>65</v>
      </c>
      <c r="AG444">
        <v>96</v>
      </c>
    </row>
    <row r="445" spans="1:33" x14ac:dyDescent="0.3">
      <c r="A445" t="s">
        <v>154</v>
      </c>
      <c r="B445" t="s">
        <v>168</v>
      </c>
      <c r="C445" t="s">
        <v>36</v>
      </c>
      <c r="D445" s="1">
        <v>2543</v>
      </c>
      <c r="E445">
        <v>1</v>
      </c>
      <c r="F445">
        <v>243</v>
      </c>
      <c r="G445">
        <v>0</v>
      </c>
      <c r="H445">
        <v>66</v>
      </c>
      <c r="I445">
        <v>0</v>
      </c>
      <c r="J445">
        <v>5</v>
      </c>
      <c r="K445">
        <v>1</v>
      </c>
      <c r="L445">
        <v>53</v>
      </c>
      <c r="M445">
        <v>0</v>
      </c>
      <c r="N445">
        <v>41</v>
      </c>
      <c r="O445">
        <v>5</v>
      </c>
      <c r="P445">
        <v>173</v>
      </c>
      <c r="Q445">
        <v>1</v>
      </c>
      <c r="R445">
        <v>0</v>
      </c>
      <c r="S445">
        <v>0</v>
      </c>
      <c r="T445">
        <v>41</v>
      </c>
      <c r="U445">
        <v>186</v>
      </c>
      <c r="V445">
        <v>0</v>
      </c>
      <c r="W445">
        <v>8</v>
      </c>
      <c r="X445">
        <v>0</v>
      </c>
      <c r="Y445">
        <v>132</v>
      </c>
      <c r="Z445">
        <v>206</v>
      </c>
      <c r="AA445">
        <v>415</v>
      </c>
      <c r="AB445">
        <v>349</v>
      </c>
      <c r="AC445">
        <v>383</v>
      </c>
      <c r="AD445">
        <v>37</v>
      </c>
      <c r="AE445">
        <v>58</v>
      </c>
      <c r="AF445">
        <v>62</v>
      </c>
      <c r="AG445">
        <v>77</v>
      </c>
    </row>
    <row r="446" spans="1:33" x14ac:dyDescent="0.3">
      <c r="A446" t="s">
        <v>154</v>
      </c>
      <c r="B446" t="s">
        <v>169</v>
      </c>
      <c r="C446" t="s">
        <v>32</v>
      </c>
      <c r="D446" s="1">
        <v>8108</v>
      </c>
      <c r="E446">
        <v>0</v>
      </c>
      <c r="F446" s="1">
        <v>3074</v>
      </c>
      <c r="G446">
        <v>1</v>
      </c>
      <c r="H446">
        <v>895</v>
      </c>
      <c r="I446">
        <v>0</v>
      </c>
      <c r="J446">
        <v>3</v>
      </c>
      <c r="K446">
        <v>7</v>
      </c>
      <c r="L446">
        <v>61</v>
      </c>
      <c r="M446">
        <v>12</v>
      </c>
      <c r="N446">
        <v>262</v>
      </c>
      <c r="O446">
        <v>20</v>
      </c>
      <c r="P446">
        <v>70</v>
      </c>
      <c r="Q446">
        <v>56</v>
      </c>
      <c r="R446">
        <v>0</v>
      </c>
      <c r="S446">
        <v>0</v>
      </c>
      <c r="T446">
        <v>109</v>
      </c>
      <c r="U446">
        <v>259</v>
      </c>
      <c r="V446">
        <v>0</v>
      </c>
      <c r="W446">
        <v>227</v>
      </c>
      <c r="X446">
        <v>1</v>
      </c>
      <c r="Y446">
        <v>200</v>
      </c>
      <c r="Z446">
        <v>428</v>
      </c>
      <c r="AA446">
        <v>217</v>
      </c>
      <c r="AB446">
        <v>957</v>
      </c>
      <c r="AC446">
        <v>638</v>
      </c>
      <c r="AD446">
        <v>81</v>
      </c>
      <c r="AE446">
        <v>75</v>
      </c>
      <c r="AF446">
        <v>367</v>
      </c>
      <c r="AG446">
        <v>88</v>
      </c>
    </row>
    <row r="447" spans="1:33" x14ac:dyDescent="0.3">
      <c r="A447" t="s">
        <v>154</v>
      </c>
      <c r="B447" t="s">
        <v>169</v>
      </c>
      <c r="C447" t="s">
        <v>35</v>
      </c>
      <c r="D447" s="1">
        <v>3399</v>
      </c>
      <c r="E447">
        <v>0</v>
      </c>
      <c r="F447" s="1">
        <v>1135</v>
      </c>
      <c r="G447">
        <v>1</v>
      </c>
      <c r="H447">
        <v>315</v>
      </c>
      <c r="I447">
        <v>0</v>
      </c>
      <c r="J447">
        <v>3</v>
      </c>
      <c r="K447">
        <v>5</v>
      </c>
      <c r="L447">
        <v>49</v>
      </c>
      <c r="M447">
        <v>6</v>
      </c>
      <c r="N447">
        <v>72</v>
      </c>
      <c r="O447">
        <v>17</v>
      </c>
      <c r="P447">
        <v>12</v>
      </c>
      <c r="Q447">
        <v>38</v>
      </c>
      <c r="R447">
        <v>0</v>
      </c>
      <c r="S447">
        <v>0</v>
      </c>
      <c r="T447">
        <v>58</v>
      </c>
      <c r="U447">
        <v>166</v>
      </c>
      <c r="V447">
        <v>0</v>
      </c>
      <c r="W447">
        <v>193</v>
      </c>
      <c r="X447">
        <v>1</v>
      </c>
      <c r="Y447">
        <v>94</v>
      </c>
      <c r="Z447">
        <v>170</v>
      </c>
      <c r="AA447">
        <v>84</v>
      </c>
      <c r="AB447">
        <v>481</v>
      </c>
      <c r="AC447">
        <v>190</v>
      </c>
      <c r="AD447">
        <v>64</v>
      </c>
      <c r="AE447">
        <v>15</v>
      </c>
      <c r="AF447">
        <v>179</v>
      </c>
      <c r="AG447">
        <v>51</v>
      </c>
    </row>
    <row r="448" spans="1:33" x14ac:dyDescent="0.3">
      <c r="A448" t="s">
        <v>154</v>
      </c>
      <c r="B448" t="s">
        <v>169</v>
      </c>
      <c r="C448" t="s">
        <v>36</v>
      </c>
      <c r="D448" s="1">
        <v>4709</v>
      </c>
      <c r="E448">
        <v>0</v>
      </c>
      <c r="F448" s="1">
        <v>1939</v>
      </c>
      <c r="G448">
        <v>0</v>
      </c>
      <c r="H448">
        <v>580</v>
      </c>
      <c r="I448">
        <v>0</v>
      </c>
      <c r="J448">
        <v>0</v>
      </c>
      <c r="K448">
        <v>2</v>
      </c>
      <c r="L448">
        <v>12</v>
      </c>
      <c r="M448">
        <v>6</v>
      </c>
      <c r="N448">
        <v>190</v>
      </c>
      <c r="O448">
        <v>3</v>
      </c>
      <c r="P448">
        <v>58</v>
      </c>
      <c r="Q448">
        <v>18</v>
      </c>
      <c r="R448">
        <v>0</v>
      </c>
      <c r="S448">
        <v>0</v>
      </c>
      <c r="T448">
        <v>51</v>
      </c>
      <c r="U448">
        <v>93</v>
      </c>
      <c r="V448">
        <v>0</v>
      </c>
      <c r="W448">
        <v>34</v>
      </c>
      <c r="X448">
        <v>0</v>
      </c>
      <c r="Y448">
        <v>106</v>
      </c>
      <c r="Z448">
        <v>258</v>
      </c>
      <c r="AA448">
        <v>133</v>
      </c>
      <c r="AB448">
        <v>476</v>
      </c>
      <c r="AC448">
        <v>448</v>
      </c>
      <c r="AD448">
        <v>17</v>
      </c>
      <c r="AE448">
        <v>60</v>
      </c>
      <c r="AF448">
        <v>188</v>
      </c>
      <c r="AG448">
        <v>37</v>
      </c>
    </row>
    <row r="449" spans="1:33" x14ac:dyDescent="0.3">
      <c r="A449" t="s">
        <v>154</v>
      </c>
      <c r="B449" t="s">
        <v>170</v>
      </c>
      <c r="C449" t="s">
        <v>32</v>
      </c>
      <c r="D449" s="1">
        <v>14937</v>
      </c>
      <c r="E449">
        <v>4</v>
      </c>
      <c r="F449" s="1">
        <v>7920</v>
      </c>
      <c r="G449">
        <v>0</v>
      </c>
      <c r="H449" s="1">
        <v>2092</v>
      </c>
      <c r="I449">
        <v>3</v>
      </c>
      <c r="J449">
        <v>64</v>
      </c>
      <c r="K449">
        <v>2</v>
      </c>
      <c r="L449">
        <v>65</v>
      </c>
      <c r="M449">
        <v>22</v>
      </c>
      <c r="N449">
        <v>524</v>
      </c>
      <c r="O449">
        <v>41</v>
      </c>
      <c r="P449">
        <v>101</v>
      </c>
      <c r="Q449">
        <v>73</v>
      </c>
      <c r="R449">
        <v>0</v>
      </c>
      <c r="S449">
        <v>0</v>
      </c>
      <c r="T449">
        <v>23</v>
      </c>
      <c r="U449">
        <v>191</v>
      </c>
      <c r="V449">
        <v>0</v>
      </c>
      <c r="W449">
        <v>203</v>
      </c>
      <c r="X449">
        <v>0</v>
      </c>
      <c r="Y449">
        <v>328</v>
      </c>
      <c r="Z449">
        <v>424</v>
      </c>
      <c r="AA449">
        <v>306</v>
      </c>
      <c r="AB449">
        <v>925</v>
      </c>
      <c r="AC449">
        <v>886</v>
      </c>
      <c r="AD449">
        <v>206</v>
      </c>
      <c r="AE449">
        <v>72</v>
      </c>
      <c r="AF449">
        <v>179</v>
      </c>
      <c r="AG449">
        <v>283</v>
      </c>
    </row>
    <row r="450" spans="1:33" x14ac:dyDescent="0.3">
      <c r="A450" t="s">
        <v>154</v>
      </c>
      <c r="B450" t="s">
        <v>170</v>
      </c>
      <c r="C450" t="s">
        <v>35</v>
      </c>
      <c r="D450" s="1">
        <v>5635</v>
      </c>
      <c r="E450">
        <v>2</v>
      </c>
      <c r="F450" s="1">
        <v>2788</v>
      </c>
      <c r="G450">
        <v>0</v>
      </c>
      <c r="H450">
        <v>768</v>
      </c>
      <c r="I450">
        <v>3</v>
      </c>
      <c r="J450">
        <v>34</v>
      </c>
      <c r="K450">
        <v>1</v>
      </c>
      <c r="L450">
        <v>45</v>
      </c>
      <c r="M450">
        <v>13</v>
      </c>
      <c r="N450">
        <v>160</v>
      </c>
      <c r="O450">
        <v>27</v>
      </c>
      <c r="P450">
        <v>35</v>
      </c>
      <c r="Q450">
        <v>56</v>
      </c>
      <c r="R450">
        <v>0</v>
      </c>
      <c r="S450">
        <v>0</v>
      </c>
      <c r="T450">
        <v>8</v>
      </c>
      <c r="U450">
        <v>85</v>
      </c>
      <c r="V450">
        <v>0</v>
      </c>
      <c r="W450">
        <v>176</v>
      </c>
      <c r="X450">
        <v>0</v>
      </c>
      <c r="Y450">
        <v>114</v>
      </c>
      <c r="Z450">
        <v>167</v>
      </c>
      <c r="AA450">
        <v>137</v>
      </c>
      <c r="AB450">
        <v>444</v>
      </c>
      <c r="AC450">
        <v>220</v>
      </c>
      <c r="AD450">
        <v>117</v>
      </c>
      <c r="AE450">
        <v>12</v>
      </c>
      <c r="AF450">
        <v>85</v>
      </c>
      <c r="AG450">
        <v>138</v>
      </c>
    </row>
    <row r="451" spans="1:33" x14ac:dyDescent="0.3">
      <c r="A451" t="s">
        <v>154</v>
      </c>
      <c r="B451" t="s">
        <v>170</v>
      </c>
      <c r="C451" t="s">
        <v>36</v>
      </c>
      <c r="D451" s="1">
        <v>9302</v>
      </c>
      <c r="E451">
        <v>2</v>
      </c>
      <c r="F451" s="1">
        <v>5132</v>
      </c>
      <c r="G451">
        <v>0</v>
      </c>
      <c r="H451" s="1">
        <v>1324</v>
      </c>
      <c r="I451">
        <v>0</v>
      </c>
      <c r="J451">
        <v>30</v>
      </c>
      <c r="K451">
        <v>1</v>
      </c>
      <c r="L451">
        <v>20</v>
      </c>
      <c r="M451">
        <v>9</v>
      </c>
      <c r="N451">
        <v>364</v>
      </c>
      <c r="O451">
        <v>14</v>
      </c>
      <c r="P451">
        <v>66</v>
      </c>
      <c r="Q451">
        <v>17</v>
      </c>
      <c r="R451">
        <v>0</v>
      </c>
      <c r="S451">
        <v>0</v>
      </c>
      <c r="T451">
        <v>15</v>
      </c>
      <c r="U451">
        <v>106</v>
      </c>
      <c r="V451">
        <v>0</v>
      </c>
      <c r="W451">
        <v>27</v>
      </c>
      <c r="X451">
        <v>0</v>
      </c>
      <c r="Y451">
        <v>214</v>
      </c>
      <c r="Z451">
        <v>257</v>
      </c>
      <c r="AA451">
        <v>169</v>
      </c>
      <c r="AB451">
        <v>481</v>
      </c>
      <c r="AC451">
        <v>666</v>
      </c>
      <c r="AD451">
        <v>89</v>
      </c>
      <c r="AE451">
        <v>60</v>
      </c>
      <c r="AF451">
        <v>94</v>
      </c>
      <c r="AG451">
        <v>145</v>
      </c>
    </row>
    <row r="452" spans="1:33" x14ac:dyDescent="0.3">
      <c r="A452" t="s">
        <v>154</v>
      </c>
      <c r="B452" t="s">
        <v>171</v>
      </c>
      <c r="C452" t="s">
        <v>32</v>
      </c>
      <c r="D452" s="1">
        <v>6409</v>
      </c>
      <c r="E452">
        <v>0</v>
      </c>
      <c r="F452">
        <v>343</v>
      </c>
      <c r="G452">
        <v>2</v>
      </c>
      <c r="H452">
        <v>166</v>
      </c>
      <c r="I452">
        <v>0</v>
      </c>
      <c r="J452">
        <v>116</v>
      </c>
      <c r="K452">
        <v>12</v>
      </c>
      <c r="L452">
        <v>143</v>
      </c>
      <c r="M452">
        <v>12</v>
      </c>
      <c r="N452">
        <v>69</v>
      </c>
      <c r="O452">
        <v>8</v>
      </c>
      <c r="P452">
        <v>318</v>
      </c>
      <c r="Q452">
        <v>7</v>
      </c>
      <c r="R452">
        <v>0</v>
      </c>
      <c r="S452">
        <v>0</v>
      </c>
      <c r="T452">
        <v>56</v>
      </c>
      <c r="U452">
        <v>473</v>
      </c>
      <c r="V452">
        <v>0</v>
      </c>
      <c r="W452">
        <v>135</v>
      </c>
      <c r="X452">
        <v>0</v>
      </c>
      <c r="Y452">
        <v>278</v>
      </c>
      <c r="Z452">
        <v>392</v>
      </c>
      <c r="AA452">
        <v>439</v>
      </c>
      <c r="AB452" s="1">
        <v>1526</v>
      </c>
      <c r="AC452" s="1">
        <v>1088</v>
      </c>
      <c r="AD452">
        <v>101</v>
      </c>
      <c r="AE452">
        <v>45</v>
      </c>
      <c r="AF452">
        <v>639</v>
      </c>
      <c r="AG452">
        <v>41</v>
      </c>
    </row>
    <row r="453" spans="1:33" x14ac:dyDescent="0.3">
      <c r="A453" t="s">
        <v>154</v>
      </c>
      <c r="B453" t="s">
        <v>171</v>
      </c>
      <c r="C453" t="s">
        <v>35</v>
      </c>
      <c r="D453" s="1">
        <v>2886</v>
      </c>
      <c r="E453">
        <v>0</v>
      </c>
      <c r="F453">
        <v>169</v>
      </c>
      <c r="G453">
        <v>1</v>
      </c>
      <c r="H453">
        <v>73</v>
      </c>
      <c r="I453">
        <v>0</v>
      </c>
      <c r="J453">
        <v>68</v>
      </c>
      <c r="K453">
        <v>11</v>
      </c>
      <c r="L453">
        <v>116</v>
      </c>
      <c r="M453">
        <v>10</v>
      </c>
      <c r="N453">
        <v>24</v>
      </c>
      <c r="O453">
        <v>7</v>
      </c>
      <c r="P453">
        <v>92</v>
      </c>
      <c r="Q453">
        <v>4</v>
      </c>
      <c r="R453">
        <v>0</v>
      </c>
      <c r="S453">
        <v>0</v>
      </c>
      <c r="T453">
        <v>22</v>
      </c>
      <c r="U453">
        <v>348</v>
      </c>
      <c r="V453">
        <v>0</v>
      </c>
      <c r="W453">
        <v>111</v>
      </c>
      <c r="X453">
        <v>0</v>
      </c>
      <c r="Y453">
        <v>113</v>
      </c>
      <c r="Z453">
        <v>138</v>
      </c>
      <c r="AA453">
        <v>134</v>
      </c>
      <c r="AB453">
        <v>700</v>
      </c>
      <c r="AC453">
        <v>291</v>
      </c>
      <c r="AD453">
        <v>59</v>
      </c>
      <c r="AE453">
        <v>11</v>
      </c>
      <c r="AF453">
        <v>358</v>
      </c>
      <c r="AG453">
        <v>26</v>
      </c>
    </row>
    <row r="454" spans="1:33" x14ac:dyDescent="0.3">
      <c r="A454" t="s">
        <v>154</v>
      </c>
      <c r="B454" t="s">
        <v>171</v>
      </c>
      <c r="C454" t="s">
        <v>36</v>
      </c>
      <c r="D454" s="1">
        <v>3523</v>
      </c>
      <c r="E454">
        <v>0</v>
      </c>
      <c r="F454">
        <v>174</v>
      </c>
      <c r="G454">
        <v>1</v>
      </c>
      <c r="H454">
        <v>93</v>
      </c>
      <c r="I454">
        <v>0</v>
      </c>
      <c r="J454">
        <v>48</v>
      </c>
      <c r="K454">
        <v>1</v>
      </c>
      <c r="L454">
        <v>27</v>
      </c>
      <c r="M454">
        <v>2</v>
      </c>
      <c r="N454">
        <v>45</v>
      </c>
      <c r="O454">
        <v>1</v>
      </c>
      <c r="P454">
        <v>226</v>
      </c>
      <c r="Q454">
        <v>3</v>
      </c>
      <c r="R454">
        <v>0</v>
      </c>
      <c r="S454">
        <v>0</v>
      </c>
      <c r="T454">
        <v>34</v>
      </c>
      <c r="U454">
        <v>125</v>
      </c>
      <c r="V454">
        <v>0</v>
      </c>
      <c r="W454">
        <v>24</v>
      </c>
      <c r="X454">
        <v>0</v>
      </c>
      <c r="Y454">
        <v>165</v>
      </c>
      <c r="Z454">
        <v>254</v>
      </c>
      <c r="AA454">
        <v>305</v>
      </c>
      <c r="AB454">
        <v>826</v>
      </c>
      <c r="AC454">
        <v>797</v>
      </c>
      <c r="AD454">
        <v>42</v>
      </c>
      <c r="AE454">
        <v>34</v>
      </c>
      <c r="AF454">
        <v>281</v>
      </c>
      <c r="AG454">
        <v>15</v>
      </c>
    </row>
    <row r="455" spans="1:33" x14ac:dyDescent="0.3">
      <c r="A455" t="s">
        <v>154</v>
      </c>
      <c r="B455" t="s">
        <v>172</v>
      </c>
      <c r="C455" t="s">
        <v>32</v>
      </c>
      <c r="D455" s="1">
        <v>3449</v>
      </c>
      <c r="E455">
        <v>0</v>
      </c>
      <c r="F455">
        <v>165</v>
      </c>
      <c r="G455">
        <v>4</v>
      </c>
      <c r="H455">
        <v>73</v>
      </c>
      <c r="I455">
        <v>0</v>
      </c>
      <c r="J455">
        <v>6</v>
      </c>
      <c r="K455">
        <v>1</v>
      </c>
      <c r="L455">
        <v>25</v>
      </c>
      <c r="M455">
        <v>0</v>
      </c>
      <c r="N455">
        <v>41</v>
      </c>
      <c r="O455">
        <v>3</v>
      </c>
      <c r="P455">
        <v>160</v>
      </c>
      <c r="Q455">
        <v>4</v>
      </c>
      <c r="R455">
        <v>0</v>
      </c>
      <c r="S455">
        <v>0</v>
      </c>
      <c r="T455">
        <v>13</v>
      </c>
      <c r="U455">
        <v>49</v>
      </c>
      <c r="V455">
        <v>0</v>
      </c>
      <c r="W455">
        <v>41</v>
      </c>
      <c r="X455">
        <v>0</v>
      </c>
      <c r="Y455">
        <v>230</v>
      </c>
      <c r="Z455">
        <v>229</v>
      </c>
      <c r="AA455">
        <v>67</v>
      </c>
      <c r="AB455" s="1">
        <v>1093</v>
      </c>
      <c r="AC455">
        <v>829</v>
      </c>
      <c r="AD455">
        <v>69</v>
      </c>
      <c r="AE455">
        <v>20</v>
      </c>
      <c r="AF455">
        <v>296</v>
      </c>
      <c r="AG455">
        <v>31</v>
      </c>
    </row>
    <row r="456" spans="1:33" x14ac:dyDescent="0.3">
      <c r="A456" t="s">
        <v>154</v>
      </c>
      <c r="B456" t="s">
        <v>172</v>
      </c>
      <c r="C456" t="s">
        <v>35</v>
      </c>
      <c r="D456" s="1">
        <v>1365</v>
      </c>
      <c r="E456">
        <v>0</v>
      </c>
      <c r="F456">
        <v>59</v>
      </c>
      <c r="G456">
        <v>2</v>
      </c>
      <c r="H456">
        <v>28</v>
      </c>
      <c r="I456">
        <v>0</v>
      </c>
      <c r="J456">
        <v>3</v>
      </c>
      <c r="K456">
        <v>1</v>
      </c>
      <c r="L456">
        <v>15</v>
      </c>
      <c r="M456">
        <v>0</v>
      </c>
      <c r="N456">
        <v>11</v>
      </c>
      <c r="O456">
        <v>3</v>
      </c>
      <c r="P456">
        <v>43</v>
      </c>
      <c r="Q456">
        <v>1</v>
      </c>
      <c r="R456">
        <v>0</v>
      </c>
      <c r="S456">
        <v>0</v>
      </c>
      <c r="T456">
        <v>2</v>
      </c>
      <c r="U456">
        <v>24</v>
      </c>
      <c r="V456">
        <v>0</v>
      </c>
      <c r="W456">
        <v>34</v>
      </c>
      <c r="X456">
        <v>0</v>
      </c>
      <c r="Y456">
        <v>99</v>
      </c>
      <c r="Z456">
        <v>79</v>
      </c>
      <c r="AA456">
        <v>30</v>
      </c>
      <c r="AB456">
        <v>511</v>
      </c>
      <c r="AC456">
        <v>199</v>
      </c>
      <c r="AD456">
        <v>37</v>
      </c>
      <c r="AE456">
        <v>3</v>
      </c>
      <c r="AF456">
        <v>159</v>
      </c>
      <c r="AG456">
        <v>22</v>
      </c>
    </row>
    <row r="457" spans="1:33" x14ac:dyDescent="0.3">
      <c r="A457" t="s">
        <v>154</v>
      </c>
      <c r="B457" t="s">
        <v>172</v>
      </c>
      <c r="C457" t="s">
        <v>36</v>
      </c>
      <c r="D457" s="1">
        <v>2084</v>
      </c>
      <c r="E457">
        <v>0</v>
      </c>
      <c r="F457">
        <v>106</v>
      </c>
      <c r="G457">
        <v>2</v>
      </c>
      <c r="H457">
        <v>45</v>
      </c>
      <c r="I457">
        <v>0</v>
      </c>
      <c r="J457">
        <v>3</v>
      </c>
      <c r="K457">
        <v>0</v>
      </c>
      <c r="L457">
        <v>10</v>
      </c>
      <c r="M457">
        <v>0</v>
      </c>
      <c r="N457">
        <v>30</v>
      </c>
      <c r="O457">
        <v>0</v>
      </c>
      <c r="P457">
        <v>117</v>
      </c>
      <c r="Q457">
        <v>3</v>
      </c>
      <c r="R457">
        <v>0</v>
      </c>
      <c r="S457">
        <v>0</v>
      </c>
      <c r="T457">
        <v>11</v>
      </c>
      <c r="U457">
        <v>25</v>
      </c>
      <c r="V457">
        <v>0</v>
      </c>
      <c r="W457">
        <v>7</v>
      </c>
      <c r="X457">
        <v>0</v>
      </c>
      <c r="Y457">
        <v>131</v>
      </c>
      <c r="Z457">
        <v>150</v>
      </c>
      <c r="AA457">
        <v>37</v>
      </c>
      <c r="AB457">
        <v>582</v>
      </c>
      <c r="AC457">
        <v>630</v>
      </c>
      <c r="AD457">
        <v>32</v>
      </c>
      <c r="AE457">
        <v>17</v>
      </c>
      <c r="AF457">
        <v>137</v>
      </c>
      <c r="AG457">
        <v>9</v>
      </c>
    </row>
    <row r="458" spans="1:33" x14ac:dyDescent="0.3">
      <c r="A458" t="s">
        <v>154</v>
      </c>
      <c r="B458" t="s">
        <v>173</v>
      </c>
      <c r="C458" t="s">
        <v>32</v>
      </c>
      <c r="D458" s="1">
        <v>23886</v>
      </c>
      <c r="E458">
        <v>1</v>
      </c>
      <c r="F458" s="1">
        <v>1071</v>
      </c>
      <c r="G458">
        <v>2</v>
      </c>
      <c r="H458">
        <v>276</v>
      </c>
      <c r="I458">
        <v>1</v>
      </c>
      <c r="J458">
        <v>12</v>
      </c>
      <c r="K458">
        <v>28</v>
      </c>
      <c r="L458">
        <v>125</v>
      </c>
      <c r="M458">
        <v>9</v>
      </c>
      <c r="N458">
        <v>244</v>
      </c>
      <c r="O458">
        <v>8</v>
      </c>
      <c r="P458">
        <v>75</v>
      </c>
      <c r="Q458">
        <v>2</v>
      </c>
      <c r="R458">
        <v>40</v>
      </c>
      <c r="S458">
        <v>0</v>
      </c>
      <c r="T458">
        <v>30</v>
      </c>
      <c r="U458">
        <v>435</v>
      </c>
      <c r="V458">
        <v>0</v>
      </c>
      <c r="W458">
        <v>257</v>
      </c>
      <c r="X458">
        <v>0</v>
      </c>
      <c r="Y458" s="1">
        <v>1207</v>
      </c>
      <c r="Z458" s="1">
        <v>2098</v>
      </c>
      <c r="AA458">
        <v>929</v>
      </c>
      <c r="AB458" s="1">
        <v>9660</v>
      </c>
      <c r="AC458" s="1">
        <v>1580</v>
      </c>
      <c r="AD458">
        <v>276</v>
      </c>
      <c r="AE458">
        <v>152</v>
      </c>
      <c r="AF458" s="1">
        <v>5127</v>
      </c>
      <c r="AG458">
        <v>241</v>
      </c>
    </row>
    <row r="459" spans="1:33" x14ac:dyDescent="0.3">
      <c r="A459" t="s">
        <v>154</v>
      </c>
      <c r="B459" t="s">
        <v>173</v>
      </c>
      <c r="C459" t="s">
        <v>35</v>
      </c>
      <c r="D459" s="1">
        <v>12399</v>
      </c>
      <c r="E459">
        <v>0</v>
      </c>
      <c r="F459">
        <v>306</v>
      </c>
      <c r="G459">
        <v>1</v>
      </c>
      <c r="H459">
        <v>88</v>
      </c>
      <c r="I459">
        <v>1</v>
      </c>
      <c r="J459">
        <v>8</v>
      </c>
      <c r="K459">
        <v>25</v>
      </c>
      <c r="L459">
        <v>92</v>
      </c>
      <c r="M459">
        <v>7</v>
      </c>
      <c r="N459">
        <v>73</v>
      </c>
      <c r="O459">
        <v>5</v>
      </c>
      <c r="P459">
        <v>22</v>
      </c>
      <c r="Q459">
        <v>2</v>
      </c>
      <c r="R459">
        <v>40</v>
      </c>
      <c r="S459">
        <v>0</v>
      </c>
      <c r="T459">
        <v>22</v>
      </c>
      <c r="U459">
        <v>266</v>
      </c>
      <c r="V459">
        <v>0</v>
      </c>
      <c r="W459">
        <v>245</v>
      </c>
      <c r="X459">
        <v>0</v>
      </c>
      <c r="Y459">
        <v>486</v>
      </c>
      <c r="Z459">
        <v>817</v>
      </c>
      <c r="AA459">
        <v>359</v>
      </c>
      <c r="AB459" s="1">
        <v>5727</v>
      </c>
      <c r="AC459">
        <v>577</v>
      </c>
      <c r="AD459">
        <v>195</v>
      </c>
      <c r="AE459">
        <v>38</v>
      </c>
      <c r="AF459" s="1">
        <v>2863</v>
      </c>
      <c r="AG459">
        <v>134</v>
      </c>
    </row>
    <row r="460" spans="1:33" x14ac:dyDescent="0.3">
      <c r="A460" t="s">
        <v>154</v>
      </c>
      <c r="B460" t="s">
        <v>173</v>
      </c>
      <c r="C460" t="s">
        <v>36</v>
      </c>
      <c r="D460" s="1">
        <v>11487</v>
      </c>
      <c r="E460">
        <v>1</v>
      </c>
      <c r="F460">
        <v>765</v>
      </c>
      <c r="G460">
        <v>1</v>
      </c>
      <c r="H460">
        <v>188</v>
      </c>
      <c r="I460">
        <v>0</v>
      </c>
      <c r="J460">
        <v>4</v>
      </c>
      <c r="K460">
        <v>3</v>
      </c>
      <c r="L460">
        <v>33</v>
      </c>
      <c r="M460">
        <v>2</v>
      </c>
      <c r="N460">
        <v>171</v>
      </c>
      <c r="O460">
        <v>3</v>
      </c>
      <c r="P460">
        <v>53</v>
      </c>
      <c r="Q460">
        <v>0</v>
      </c>
      <c r="R460">
        <v>0</v>
      </c>
      <c r="S460">
        <v>0</v>
      </c>
      <c r="T460">
        <v>8</v>
      </c>
      <c r="U460">
        <v>169</v>
      </c>
      <c r="V460">
        <v>0</v>
      </c>
      <c r="W460">
        <v>12</v>
      </c>
      <c r="X460">
        <v>0</v>
      </c>
      <c r="Y460">
        <v>721</v>
      </c>
      <c r="Z460" s="1">
        <v>1281</v>
      </c>
      <c r="AA460">
        <v>570</v>
      </c>
      <c r="AB460" s="1">
        <v>3933</v>
      </c>
      <c r="AC460" s="1">
        <v>1003</v>
      </c>
      <c r="AD460">
        <v>81</v>
      </c>
      <c r="AE460">
        <v>114</v>
      </c>
      <c r="AF460" s="1">
        <v>2264</v>
      </c>
      <c r="AG460">
        <v>107</v>
      </c>
    </row>
    <row r="461" spans="1:33" x14ac:dyDescent="0.3">
      <c r="A461" t="s">
        <v>154</v>
      </c>
      <c r="B461" t="s">
        <v>174</v>
      </c>
      <c r="C461" t="s">
        <v>32</v>
      </c>
      <c r="D461" s="1">
        <v>13090</v>
      </c>
      <c r="E461">
        <v>1</v>
      </c>
      <c r="F461">
        <v>906</v>
      </c>
      <c r="G461">
        <v>0</v>
      </c>
      <c r="H461">
        <v>319</v>
      </c>
      <c r="I461">
        <v>28</v>
      </c>
      <c r="J461">
        <v>47</v>
      </c>
      <c r="K461">
        <v>118</v>
      </c>
      <c r="L461">
        <v>665</v>
      </c>
      <c r="M461">
        <v>74</v>
      </c>
      <c r="N461">
        <v>128</v>
      </c>
      <c r="O461">
        <v>58</v>
      </c>
      <c r="P461">
        <v>265</v>
      </c>
      <c r="Q461">
        <v>10</v>
      </c>
      <c r="R461">
        <v>0</v>
      </c>
      <c r="S461">
        <v>4</v>
      </c>
      <c r="T461">
        <v>151</v>
      </c>
      <c r="U461">
        <v>846</v>
      </c>
      <c r="V461">
        <v>0</v>
      </c>
      <c r="W461">
        <v>56</v>
      </c>
      <c r="X461">
        <v>0</v>
      </c>
      <c r="Y461">
        <v>638</v>
      </c>
      <c r="Z461">
        <v>607</v>
      </c>
      <c r="AA461" s="1">
        <v>1696</v>
      </c>
      <c r="AB461">
        <v>987</v>
      </c>
      <c r="AC461">
        <v>805</v>
      </c>
      <c r="AD461">
        <v>860</v>
      </c>
      <c r="AE461">
        <v>109</v>
      </c>
      <c r="AF461">
        <v>155</v>
      </c>
      <c r="AG461" s="1">
        <v>3557</v>
      </c>
    </row>
    <row r="462" spans="1:33" x14ac:dyDescent="0.3">
      <c r="A462" t="s">
        <v>154</v>
      </c>
      <c r="B462" t="s">
        <v>174</v>
      </c>
      <c r="C462" t="s">
        <v>35</v>
      </c>
      <c r="D462" s="1">
        <v>6744</v>
      </c>
      <c r="E462">
        <v>1</v>
      </c>
      <c r="F462">
        <v>248</v>
      </c>
      <c r="G462">
        <v>0</v>
      </c>
      <c r="H462">
        <v>102</v>
      </c>
      <c r="I462">
        <v>21</v>
      </c>
      <c r="J462">
        <v>18</v>
      </c>
      <c r="K462">
        <v>96</v>
      </c>
      <c r="L462">
        <v>589</v>
      </c>
      <c r="M462">
        <v>69</v>
      </c>
      <c r="N462">
        <v>48</v>
      </c>
      <c r="O462">
        <v>45</v>
      </c>
      <c r="P462">
        <v>102</v>
      </c>
      <c r="Q462">
        <v>7</v>
      </c>
      <c r="R462">
        <v>0</v>
      </c>
      <c r="S462">
        <v>4</v>
      </c>
      <c r="T462">
        <v>57</v>
      </c>
      <c r="U462">
        <v>595</v>
      </c>
      <c r="V462">
        <v>0</v>
      </c>
      <c r="W462">
        <v>46</v>
      </c>
      <c r="X462">
        <v>0</v>
      </c>
      <c r="Y462">
        <v>187</v>
      </c>
      <c r="Z462">
        <v>301</v>
      </c>
      <c r="AA462">
        <v>602</v>
      </c>
      <c r="AB462">
        <v>496</v>
      </c>
      <c r="AC462">
        <v>376</v>
      </c>
      <c r="AD462">
        <v>667</v>
      </c>
      <c r="AE462">
        <v>38</v>
      </c>
      <c r="AF462">
        <v>80</v>
      </c>
      <c r="AG462" s="1">
        <v>1949</v>
      </c>
    </row>
    <row r="463" spans="1:33" x14ac:dyDescent="0.3">
      <c r="A463" t="s">
        <v>154</v>
      </c>
      <c r="B463" t="s">
        <v>174</v>
      </c>
      <c r="C463" t="s">
        <v>36</v>
      </c>
      <c r="D463" s="1">
        <v>6346</v>
      </c>
      <c r="E463">
        <v>0</v>
      </c>
      <c r="F463">
        <v>658</v>
      </c>
      <c r="G463">
        <v>0</v>
      </c>
      <c r="H463">
        <v>217</v>
      </c>
      <c r="I463">
        <v>7</v>
      </c>
      <c r="J463">
        <v>29</v>
      </c>
      <c r="K463">
        <v>22</v>
      </c>
      <c r="L463">
        <v>76</v>
      </c>
      <c r="M463">
        <v>5</v>
      </c>
      <c r="N463">
        <v>80</v>
      </c>
      <c r="O463">
        <v>13</v>
      </c>
      <c r="P463">
        <v>163</v>
      </c>
      <c r="Q463">
        <v>3</v>
      </c>
      <c r="R463">
        <v>0</v>
      </c>
      <c r="S463">
        <v>0</v>
      </c>
      <c r="T463">
        <v>94</v>
      </c>
      <c r="U463">
        <v>251</v>
      </c>
      <c r="V463">
        <v>0</v>
      </c>
      <c r="W463">
        <v>10</v>
      </c>
      <c r="X463">
        <v>0</v>
      </c>
      <c r="Y463">
        <v>451</v>
      </c>
      <c r="Z463">
        <v>306</v>
      </c>
      <c r="AA463" s="1">
        <v>1094</v>
      </c>
      <c r="AB463">
        <v>491</v>
      </c>
      <c r="AC463">
        <v>429</v>
      </c>
      <c r="AD463">
        <v>193</v>
      </c>
      <c r="AE463">
        <v>71</v>
      </c>
      <c r="AF463">
        <v>75</v>
      </c>
      <c r="AG463" s="1">
        <v>1608</v>
      </c>
    </row>
    <row r="464" spans="1:33" x14ac:dyDescent="0.3">
      <c r="A464" t="s">
        <v>154</v>
      </c>
      <c r="B464" t="s">
        <v>175</v>
      </c>
      <c r="C464" t="s">
        <v>32</v>
      </c>
      <c r="D464" s="1">
        <v>4449</v>
      </c>
      <c r="E464">
        <v>0</v>
      </c>
      <c r="F464">
        <v>420</v>
      </c>
      <c r="G464">
        <v>0</v>
      </c>
      <c r="H464">
        <v>292</v>
      </c>
      <c r="I464">
        <v>2</v>
      </c>
      <c r="J464">
        <v>6</v>
      </c>
      <c r="K464">
        <v>5</v>
      </c>
      <c r="L464">
        <v>36</v>
      </c>
      <c r="M464">
        <v>3</v>
      </c>
      <c r="N464">
        <v>75</v>
      </c>
      <c r="O464">
        <v>11</v>
      </c>
      <c r="P464">
        <v>73</v>
      </c>
      <c r="Q464">
        <v>4</v>
      </c>
      <c r="R464">
        <v>0</v>
      </c>
      <c r="S464">
        <v>0</v>
      </c>
      <c r="T464">
        <v>8</v>
      </c>
      <c r="U464">
        <v>187</v>
      </c>
      <c r="V464">
        <v>0</v>
      </c>
      <c r="W464">
        <v>44</v>
      </c>
      <c r="X464">
        <v>0</v>
      </c>
      <c r="Y464">
        <v>217</v>
      </c>
      <c r="Z464">
        <v>303</v>
      </c>
      <c r="AA464">
        <v>148</v>
      </c>
      <c r="AB464" s="1">
        <v>1217</v>
      </c>
      <c r="AC464" s="1">
        <v>1063</v>
      </c>
      <c r="AD464">
        <v>59</v>
      </c>
      <c r="AE464">
        <v>41</v>
      </c>
      <c r="AF464">
        <v>183</v>
      </c>
      <c r="AG464">
        <v>52</v>
      </c>
    </row>
    <row r="465" spans="1:33" x14ac:dyDescent="0.3">
      <c r="A465" t="s">
        <v>154</v>
      </c>
      <c r="B465" t="s">
        <v>175</v>
      </c>
      <c r="C465" t="s">
        <v>35</v>
      </c>
      <c r="D465" s="1">
        <v>1705</v>
      </c>
      <c r="E465">
        <v>0</v>
      </c>
      <c r="F465">
        <v>158</v>
      </c>
      <c r="G465">
        <v>0</v>
      </c>
      <c r="H465">
        <v>112</v>
      </c>
      <c r="I465">
        <v>1</v>
      </c>
      <c r="J465">
        <v>5</v>
      </c>
      <c r="K465">
        <v>5</v>
      </c>
      <c r="L465">
        <v>25</v>
      </c>
      <c r="M465">
        <v>1</v>
      </c>
      <c r="N465">
        <v>23</v>
      </c>
      <c r="O465">
        <v>9</v>
      </c>
      <c r="P465">
        <v>19</v>
      </c>
      <c r="Q465">
        <v>1</v>
      </c>
      <c r="R465">
        <v>0</v>
      </c>
      <c r="S465">
        <v>0</v>
      </c>
      <c r="T465">
        <v>2</v>
      </c>
      <c r="U465">
        <v>90</v>
      </c>
      <c r="V465">
        <v>0</v>
      </c>
      <c r="W465">
        <v>37</v>
      </c>
      <c r="X465">
        <v>0</v>
      </c>
      <c r="Y465">
        <v>83</v>
      </c>
      <c r="Z465">
        <v>124</v>
      </c>
      <c r="AA465">
        <v>64</v>
      </c>
      <c r="AB465">
        <v>553</v>
      </c>
      <c r="AC465">
        <v>265</v>
      </c>
      <c r="AD465">
        <v>18</v>
      </c>
      <c r="AE465">
        <v>5</v>
      </c>
      <c r="AF465">
        <v>79</v>
      </c>
      <c r="AG465">
        <v>26</v>
      </c>
    </row>
    <row r="466" spans="1:33" x14ac:dyDescent="0.3">
      <c r="A466" t="s">
        <v>154</v>
      </c>
      <c r="B466" t="s">
        <v>175</v>
      </c>
      <c r="C466" t="s">
        <v>36</v>
      </c>
      <c r="D466" s="1">
        <v>2744</v>
      </c>
      <c r="E466">
        <v>0</v>
      </c>
      <c r="F466">
        <v>262</v>
      </c>
      <c r="G466">
        <v>0</v>
      </c>
      <c r="H466">
        <v>180</v>
      </c>
      <c r="I466">
        <v>1</v>
      </c>
      <c r="J466">
        <v>1</v>
      </c>
      <c r="K466">
        <v>0</v>
      </c>
      <c r="L466">
        <v>11</v>
      </c>
      <c r="M466">
        <v>2</v>
      </c>
      <c r="N466">
        <v>52</v>
      </c>
      <c r="O466">
        <v>2</v>
      </c>
      <c r="P466">
        <v>54</v>
      </c>
      <c r="Q466">
        <v>3</v>
      </c>
      <c r="R466">
        <v>0</v>
      </c>
      <c r="S466">
        <v>0</v>
      </c>
      <c r="T466">
        <v>6</v>
      </c>
      <c r="U466">
        <v>97</v>
      </c>
      <c r="V466">
        <v>0</v>
      </c>
      <c r="W466">
        <v>7</v>
      </c>
      <c r="X466">
        <v>0</v>
      </c>
      <c r="Y466">
        <v>134</v>
      </c>
      <c r="Z466">
        <v>179</v>
      </c>
      <c r="AA466">
        <v>84</v>
      </c>
      <c r="AB466">
        <v>664</v>
      </c>
      <c r="AC466">
        <v>798</v>
      </c>
      <c r="AD466">
        <v>41</v>
      </c>
      <c r="AE466">
        <v>36</v>
      </c>
      <c r="AF466">
        <v>104</v>
      </c>
      <c r="AG466">
        <v>26</v>
      </c>
    </row>
    <row r="467" spans="1:33" x14ac:dyDescent="0.3">
      <c r="A467" t="s">
        <v>154</v>
      </c>
      <c r="B467" t="s">
        <v>176</v>
      </c>
      <c r="C467" t="s">
        <v>32</v>
      </c>
      <c r="D467" s="1">
        <v>11765</v>
      </c>
      <c r="E467">
        <v>2</v>
      </c>
      <c r="F467" s="1">
        <v>5011</v>
      </c>
      <c r="G467">
        <v>0</v>
      </c>
      <c r="H467" s="1">
        <v>1130</v>
      </c>
      <c r="I467">
        <v>18</v>
      </c>
      <c r="J467">
        <v>16</v>
      </c>
      <c r="K467">
        <v>43</v>
      </c>
      <c r="L467">
        <v>102</v>
      </c>
      <c r="M467">
        <v>22</v>
      </c>
      <c r="N467">
        <v>433</v>
      </c>
      <c r="O467">
        <v>19</v>
      </c>
      <c r="P467">
        <v>36</v>
      </c>
      <c r="Q467">
        <v>10</v>
      </c>
      <c r="R467">
        <v>0</v>
      </c>
      <c r="S467">
        <v>0</v>
      </c>
      <c r="T467">
        <v>27</v>
      </c>
      <c r="U467">
        <v>352</v>
      </c>
      <c r="V467">
        <v>3</v>
      </c>
      <c r="W467">
        <v>46</v>
      </c>
      <c r="X467">
        <v>1</v>
      </c>
      <c r="Y467">
        <v>168</v>
      </c>
      <c r="Z467">
        <v>464</v>
      </c>
      <c r="AA467">
        <v>313</v>
      </c>
      <c r="AB467">
        <v>699</v>
      </c>
      <c r="AC467">
        <v>480</v>
      </c>
      <c r="AD467">
        <v>126</v>
      </c>
      <c r="AE467">
        <v>85</v>
      </c>
      <c r="AF467">
        <v>305</v>
      </c>
      <c r="AG467" s="1">
        <v>1854</v>
      </c>
    </row>
    <row r="468" spans="1:33" x14ac:dyDescent="0.3">
      <c r="A468" t="s">
        <v>154</v>
      </c>
      <c r="B468" t="s">
        <v>176</v>
      </c>
      <c r="C468" t="s">
        <v>35</v>
      </c>
      <c r="D468" s="1">
        <v>4967</v>
      </c>
      <c r="E468">
        <v>2</v>
      </c>
      <c r="F468" s="1">
        <v>1660</v>
      </c>
      <c r="G468">
        <v>0</v>
      </c>
      <c r="H468">
        <v>587</v>
      </c>
      <c r="I468">
        <v>9</v>
      </c>
      <c r="J468">
        <v>7</v>
      </c>
      <c r="K468">
        <v>24</v>
      </c>
      <c r="L468">
        <v>79</v>
      </c>
      <c r="M468">
        <v>13</v>
      </c>
      <c r="N468">
        <v>140</v>
      </c>
      <c r="O468">
        <v>18</v>
      </c>
      <c r="P468">
        <v>19</v>
      </c>
      <c r="Q468">
        <v>6</v>
      </c>
      <c r="R468">
        <v>0</v>
      </c>
      <c r="S468">
        <v>0</v>
      </c>
      <c r="T468">
        <v>9</v>
      </c>
      <c r="U468">
        <v>256</v>
      </c>
      <c r="V468">
        <v>3</v>
      </c>
      <c r="W468">
        <v>29</v>
      </c>
      <c r="X468">
        <v>1</v>
      </c>
      <c r="Y468">
        <v>58</v>
      </c>
      <c r="Z468">
        <v>203</v>
      </c>
      <c r="AA468">
        <v>103</v>
      </c>
      <c r="AB468">
        <v>337</v>
      </c>
      <c r="AC468">
        <v>179</v>
      </c>
      <c r="AD468">
        <v>75</v>
      </c>
      <c r="AE468">
        <v>23</v>
      </c>
      <c r="AF468">
        <v>136</v>
      </c>
      <c r="AG468">
        <v>991</v>
      </c>
    </row>
    <row r="469" spans="1:33" x14ac:dyDescent="0.3">
      <c r="A469" t="s">
        <v>154</v>
      </c>
      <c r="B469" t="s">
        <v>176</v>
      </c>
      <c r="C469" t="s">
        <v>36</v>
      </c>
      <c r="D469" s="1">
        <v>6798</v>
      </c>
      <c r="E469">
        <v>0</v>
      </c>
      <c r="F469" s="1">
        <v>3351</v>
      </c>
      <c r="G469">
        <v>0</v>
      </c>
      <c r="H469">
        <v>543</v>
      </c>
      <c r="I469">
        <v>9</v>
      </c>
      <c r="J469">
        <v>9</v>
      </c>
      <c r="K469">
        <v>19</v>
      </c>
      <c r="L469">
        <v>23</v>
      </c>
      <c r="M469">
        <v>9</v>
      </c>
      <c r="N469">
        <v>293</v>
      </c>
      <c r="O469">
        <v>1</v>
      </c>
      <c r="P469">
        <v>17</v>
      </c>
      <c r="Q469">
        <v>4</v>
      </c>
      <c r="R469">
        <v>0</v>
      </c>
      <c r="S469">
        <v>0</v>
      </c>
      <c r="T469">
        <v>18</v>
      </c>
      <c r="U469">
        <v>96</v>
      </c>
      <c r="V469">
        <v>0</v>
      </c>
      <c r="W469">
        <v>17</v>
      </c>
      <c r="X469">
        <v>0</v>
      </c>
      <c r="Y469">
        <v>110</v>
      </c>
      <c r="Z469">
        <v>261</v>
      </c>
      <c r="AA469">
        <v>210</v>
      </c>
      <c r="AB469">
        <v>362</v>
      </c>
      <c r="AC469">
        <v>301</v>
      </c>
      <c r="AD469">
        <v>51</v>
      </c>
      <c r="AE469">
        <v>62</v>
      </c>
      <c r="AF469">
        <v>169</v>
      </c>
      <c r="AG469">
        <v>863</v>
      </c>
    </row>
    <row r="470" spans="1:33" x14ac:dyDescent="0.3">
      <c r="A470" t="s">
        <v>154</v>
      </c>
      <c r="B470" t="s">
        <v>138</v>
      </c>
      <c r="C470" t="s">
        <v>32</v>
      </c>
      <c r="D470" s="1">
        <v>10639</v>
      </c>
      <c r="E470">
        <v>1</v>
      </c>
      <c r="F470" s="1">
        <v>2252</v>
      </c>
      <c r="G470">
        <v>0</v>
      </c>
      <c r="H470" s="1">
        <v>1239</v>
      </c>
      <c r="I470">
        <v>17</v>
      </c>
      <c r="J470">
        <v>25</v>
      </c>
      <c r="K470">
        <v>81</v>
      </c>
      <c r="L470">
        <v>274</v>
      </c>
      <c r="M470">
        <v>37</v>
      </c>
      <c r="N470">
        <v>321</v>
      </c>
      <c r="O470">
        <v>21</v>
      </c>
      <c r="P470">
        <v>40</v>
      </c>
      <c r="Q470">
        <v>11</v>
      </c>
      <c r="R470">
        <v>0</v>
      </c>
      <c r="S470">
        <v>0</v>
      </c>
      <c r="T470">
        <v>40</v>
      </c>
      <c r="U470">
        <v>320</v>
      </c>
      <c r="V470">
        <v>0</v>
      </c>
      <c r="W470">
        <v>81</v>
      </c>
      <c r="X470">
        <v>0</v>
      </c>
      <c r="Y470">
        <v>255</v>
      </c>
      <c r="Z470">
        <v>947</v>
      </c>
      <c r="AA470">
        <v>399</v>
      </c>
      <c r="AB470" s="1">
        <v>1185</v>
      </c>
      <c r="AC470">
        <v>461</v>
      </c>
      <c r="AD470">
        <v>305</v>
      </c>
      <c r="AE470">
        <v>64</v>
      </c>
      <c r="AF470">
        <v>491</v>
      </c>
      <c r="AG470" s="1">
        <v>1772</v>
      </c>
    </row>
    <row r="471" spans="1:33" x14ac:dyDescent="0.3">
      <c r="A471" t="s">
        <v>154</v>
      </c>
      <c r="B471" t="s">
        <v>138</v>
      </c>
      <c r="C471" t="s">
        <v>35</v>
      </c>
      <c r="D471" s="1">
        <v>4954</v>
      </c>
      <c r="E471">
        <v>1</v>
      </c>
      <c r="F471">
        <v>746</v>
      </c>
      <c r="G471">
        <v>0</v>
      </c>
      <c r="H471">
        <v>631</v>
      </c>
      <c r="I471">
        <v>11</v>
      </c>
      <c r="J471">
        <v>9</v>
      </c>
      <c r="K471">
        <v>53</v>
      </c>
      <c r="L471">
        <v>213</v>
      </c>
      <c r="M471">
        <v>16</v>
      </c>
      <c r="N471">
        <v>96</v>
      </c>
      <c r="O471">
        <v>17</v>
      </c>
      <c r="P471">
        <v>14</v>
      </c>
      <c r="Q471">
        <v>9</v>
      </c>
      <c r="R471">
        <v>0</v>
      </c>
      <c r="S471">
        <v>0</v>
      </c>
      <c r="T471">
        <v>29</v>
      </c>
      <c r="U471">
        <v>219</v>
      </c>
      <c r="V471">
        <v>0</v>
      </c>
      <c r="W471">
        <v>55</v>
      </c>
      <c r="X471">
        <v>0</v>
      </c>
      <c r="Y471">
        <v>105</v>
      </c>
      <c r="Z471">
        <v>458</v>
      </c>
      <c r="AA471">
        <v>149</v>
      </c>
      <c r="AB471">
        <v>623</v>
      </c>
      <c r="AC471">
        <v>146</v>
      </c>
      <c r="AD471">
        <v>177</v>
      </c>
      <c r="AE471">
        <v>9</v>
      </c>
      <c r="AF471">
        <v>242</v>
      </c>
      <c r="AG471">
        <v>926</v>
      </c>
    </row>
    <row r="472" spans="1:33" x14ac:dyDescent="0.3">
      <c r="A472" t="s">
        <v>154</v>
      </c>
      <c r="B472" t="s">
        <v>138</v>
      </c>
      <c r="C472" t="s">
        <v>36</v>
      </c>
      <c r="D472" s="1">
        <v>5685</v>
      </c>
      <c r="E472">
        <v>0</v>
      </c>
      <c r="F472" s="1">
        <v>1506</v>
      </c>
      <c r="G472">
        <v>0</v>
      </c>
      <c r="H472">
        <v>608</v>
      </c>
      <c r="I472">
        <v>6</v>
      </c>
      <c r="J472">
        <v>16</v>
      </c>
      <c r="K472">
        <v>28</v>
      </c>
      <c r="L472">
        <v>61</v>
      </c>
      <c r="M472">
        <v>21</v>
      </c>
      <c r="N472">
        <v>225</v>
      </c>
      <c r="O472">
        <v>4</v>
      </c>
      <c r="P472">
        <v>26</v>
      </c>
      <c r="Q472">
        <v>2</v>
      </c>
      <c r="R472">
        <v>0</v>
      </c>
      <c r="S472">
        <v>0</v>
      </c>
      <c r="T472">
        <v>11</v>
      </c>
      <c r="U472">
        <v>101</v>
      </c>
      <c r="V472">
        <v>0</v>
      </c>
      <c r="W472">
        <v>26</v>
      </c>
      <c r="X472">
        <v>0</v>
      </c>
      <c r="Y472">
        <v>150</v>
      </c>
      <c r="Z472">
        <v>489</v>
      </c>
      <c r="AA472">
        <v>250</v>
      </c>
      <c r="AB472">
        <v>562</v>
      </c>
      <c r="AC472">
        <v>315</v>
      </c>
      <c r="AD472">
        <v>128</v>
      </c>
      <c r="AE472">
        <v>55</v>
      </c>
      <c r="AF472">
        <v>249</v>
      </c>
      <c r="AG472">
        <v>846</v>
      </c>
    </row>
    <row r="473" spans="1:33" x14ac:dyDescent="0.3">
      <c r="A473" t="s">
        <v>154</v>
      </c>
      <c r="B473" t="s">
        <v>177</v>
      </c>
      <c r="C473" t="s">
        <v>32</v>
      </c>
      <c r="D473" s="1">
        <v>6848</v>
      </c>
      <c r="E473">
        <v>0</v>
      </c>
      <c r="F473" s="1">
        <v>1835</v>
      </c>
      <c r="G473">
        <v>0</v>
      </c>
      <c r="H473">
        <v>607</v>
      </c>
      <c r="I473">
        <v>0</v>
      </c>
      <c r="J473">
        <v>6</v>
      </c>
      <c r="K473">
        <v>17</v>
      </c>
      <c r="L473">
        <v>28</v>
      </c>
      <c r="M473">
        <v>30</v>
      </c>
      <c r="N473">
        <v>228</v>
      </c>
      <c r="O473">
        <v>6</v>
      </c>
      <c r="P473">
        <v>38</v>
      </c>
      <c r="Q473">
        <v>10</v>
      </c>
      <c r="R473">
        <v>0</v>
      </c>
      <c r="S473">
        <v>0</v>
      </c>
      <c r="T473">
        <v>15</v>
      </c>
      <c r="U473">
        <v>108</v>
      </c>
      <c r="V473">
        <v>0</v>
      </c>
      <c r="W473">
        <v>94</v>
      </c>
      <c r="X473">
        <v>0</v>
      </c>
      <c r="Y473">
        <v>269</v>
      </c>
      <c r="Z473">
        <v>410</v>
      </c>
      <c r="AA473">
        <v>508</v>
      </c>
      <c r="AB473">
        <v>967</v>
      </c>
      <c r="AC473">
        <v>982</v>
      </c>
      <c r="AD473">
        <v>317</v>
      </c>
      <c r="AE473">
        <v>23</v>
      </c>
      <c r="AF473">
        <v>306</v>
      </c>
      <c r="AG473">
        <v>44</v>
      </c>
    </row>
    <row r="474" spans="1:33" x14ac:dyDescent="0.3">
      <c r="A474" t="s">
        <v>154</v>
      </c>
      <c r="B474" t="s">
        <v>177</v>
      </c>
      <c r="C474" t="s">
        <v>35</v>
      </c>
      <c r="D474" s="1">
        <v>2884</v>
      </c>
      <c r="E474">
        <v>0</v>
      </c>
      <c r="F474">
        <v>803</v>
      </c>
      <c r="G474">
        <v>0</v>
      </c>
      <c r="H474">
        <v>293</v>
      </c>
      <c r="I474">
        <v>0</v>
      </c>
      <c r="J474">
        <v>3</v>
      </c>
      <c r="K474">
        <v>14</v>
      </c>
      <c r="L474">
        <v>20</v>
      </c>
      <c r="M474">
        <v>9</v>
      </c>
      <c r="N474">
        <v>81</v>
      </c>
      <c r="O474">
        <v>5</v>
      </c>
      <c r="P474">
        <v>9</v>
      </c>
      <c r="Q474">
        <v>3</v>
      </c>
      <c r="R474">
        <v>0</v>
      </c>
      <c r="S474">
        <v>0</v>
      </c>
      <c r="T474">
        <v>8</v>
      </c>
      <c r="U474">
        <v>55</v>
      </c>
      <c r="V474">
        <v>0</v>
      </c>
      <c r="W474">
        <v>66</v>
      </c>
      <c r="X474">
        <v>0</v>
      </c>
      <c r="Y474">
        <v>115</v>
      </c>
      <c r="Z474">
        <v>171</v>
      </c>
      <c r="AA474">
        <v>277</v>
      </c>
      <c r="AB474">
        <v>423</v>
      </c>
      <c r="AC474">
        <v>164</v>
      </c>
      <c r="AD474">
        <v>177</v>
      </c>
      <c r="AE474">
        <v>1</v>
      </c>
      <c r="AF474">
        <v>160</v>
      </c>
      <c r="AG474">
        <v>27</v>
      </c>
    </row>
    <row r="475" spans="1:33" x14ac:dyDescent="0.3">
      <c r="A475" t="s">
        <v>154</v>
      </c>
      <c r="B475" t="s">
        <v>177</v>
      </c>
      <c r="C475" t="s">
        <v>36</v>
      </c>
      <c r="D475" s="1">
        <v>3964</v>
      </c>
      <c r="E475">
        <v>0</v>
      </c>
      <c r="F475" s="1">
        <v>1032</v>
      </c>
      <c r="G475">
        <v>0</v>
      </c>
      <c r="H475">
        <v>314</v>
      </c>
      <c r="I475">
        <v>0</v>
      </c>
      <c r="J475">
        <v>3</v>
      </c>
      <c r="K475">
        <v>3</v>
      </c>
      <c r="L475">
        <v>8</v>
      </c>
      <c r="M475">
        <v>21</v>
      </c>
      <c r="N475">
        <v>147</v>
      </c>
      <c r="O475">
        <v>1</v>
      </c>
      <c r="P475">
        <v>29</v>
      </c>
      <c r="Q475">
        <v>7</v>
      </c>
      <c r="R475">
        <v>0</v>
      </c>
      <c r="S475">
        <v>0</v>
      </c>
      <c r="T475">
        <v>7</v>
      </c>
      <c r="U475">
        <v>53</v>
      </c>
      <c r="V475">
        <v>0</v>
      </c>
      <c r="W475">
        <v>28</v>
      </c>
      <c r="X475">
        <v>0</v>
      </c>
      <c r="Y475">
        <v>154</v>
      </c>
      <c r="Z475">
        <v>239</v>
      </c>
      <c r="AA475">
        <v>231</v>
      </c>
      <c r="AB475">
        <v>544</v>
      </c>
      <c r="AC475">
        <v>818</v>
      </c>
      <c r="AD475">
        <v>140</v>
      </c>
      <c r="AE475">
        <v>22</v>
      </c>
      <c r="AF475">
        <v>146</v>
      </c>
      <c r="AG475">
        <v>17</v>
      </c>
    </row>
    <row r="476" spans="1:33" x14ac:dyDescent="0.3">
      <c r="A476" t="s">
        <v>178</v>
      </c>
      <c r="B476" t="s">
        <v>32</v>
      </c>
      <c r="C476" t="s">
        <v>32</v>
      </c>
      <c r="D476" s="1">
        <v>6571</v>
      </c>
      <c r="E476">
        <v>0</v>
      </c>
      <c r="F476" s="1">
        <v>1106</v>
      </c>
      <c r="G476">
        <v>1</v>
      </c>
      <c r="H476">
        <v>407</v>
      </c>
      <c r="I476">
        <v>0</v>
      </c>
      <c r="J476">
        <v>3</v>
      </c>
      <c r="K476">
        <v>1</v>
      </c>
      <c r="L476">
        <v>11</v>
      </c>
      <c r="M476">
        <v>7</v>
      </c>
      <c r="N476">
        <v>55</v>
      </c>
      <c r="O476">
        <v>11</v>
      </c>
      <c r="P476">
        <v>164</v>
      </c>
      <c r="Q476">
        <v>8</v>
      </c>
      <c r="R476">
        <v>1</v>
      </c>
      <c r="S476">
        <v>0</v>
      </c>
      <c r="T476">
        <v>4</v>
      </c>
      <c r="U476">
        <v>310</v>
      </c>
      <c r="V476">
        <v>28</v>
      </c>
      <c r="W476" s="1">
        <v>1913</v>
      </c>
      <c r="X476">
        <v>0</v>
      </c>
      <c r="Y476">
        <v>304</v>
      </c>
      <c r="Z476">
        <v>146</v>
      </c>
      <c r="AA476">
        <v>198</v>
      </c>
      <c r="AB476">
        <v>567</v>
      </c>
      <c r="AC476">
        <v>782</v>
      </c>
      <c r="AD476">
        <v>286</v>
      </c>
      <c r="AE476">
        <v>3</v>
      </c>
      <c r="AF476">
        <v>214</v>
      </c>
      <c r="AG476">
        <v>41</v>
      </c>
    </row>
    <row r="477" spans="1:33" x14ac:dyDescent="0.3">
      <c r="A477" t="s">
        <v>178</v>
      </c>
      <c r="B477" t="s">
        <v>32</v>
      </c>
      <c r="C477" t="s">
        <v>35</v>
      </c>
      <c r="D477" s="1">
        <v>4159</v>
      </c>
      <c r="E477">
        <v>0</v>
      </c>
      <c r="F477">
        <v>612</v>
      </c>
      <c r="G477">
        <v>1</v>
      </c>
      <c r="H477">
        <v>300</v>
      </c>
      <c r="I477">
        <v>0</v>
      </c>
      <c r="J477">
        <v>3</v>
      </c>
      <c r="K477">
        <v>1</v>
      </c>
      <c r="L477">
        <v>10</v>
      </c>
      <c r="M477">
        <v>7</v>
      </c>
      <c r="N477">
        <v>21</v>
      </c>
      <c r="O477">
        <v>6</v>
      </c>
      <c r="P477">
        <v>55</v>
      </c>
      <c r="Q477">
        <v>7</v>
      </c>
      <c r="R477">
        <v>1</v>
      </c>
      <c r="S477">
        <v>0</v>
      </c>
      <c r="T477">
        <v>3</v>
      </c>
      <c r="U477">
        <v>293</v>
      </c>
      <c r="V477">
        <v>17</v>
      </c>
      <c r="W477" s="1">
        <v>1792</v>
      </c>
      <c r="X477">
        <v>0</v>
      </c>
      <c r="Y477">
        <v>116</v>
      </c>
      <c r="Z477">
        <v>60</v>
      </c>
      <c r="AA477">
        <v>67</v>
      </c>
      <c r="AB477">
        <v>254</v>
      </c>
      <c r="AC477">
        <v>156</v>
      </c>
      <c r="AD477">
        <v>223</v>
      </c>
      <c r="AE477">
        <v>0</v>
      </c>
      <c r="AF477">
        <v>120</v>
      </c>
      <c r="AG477">
        <v>34</v>
      </c>
    </row>
    <row r="478" spans="1:33" x14ac:dyDescent="0.3">
      <c r="A478" t="s">
        <v>178</v>
      </c>
      <c r="B478" t="s">
        <v>32</v>
      </c>
      <c r="C478" t="s">
        <v>36</v>
      </c>
      <c r="D478" s="1">
        <v>2412</v>
      </c>
      <c r="E478">
        <v>0</v>
      </c>
      <c r="F478">
        <v>494</v>
      </c>
      <c r="G478">
        <v>0</v>
      </c>
      <c r="H478">
        <v>107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34</v>
      </c>
      <c r="O478">
        <v>5</v>
      </c>
      <c r="P478">
        <v>109</v>
      </c>
      <c r="Q478">
        <v>1</v>
      </c>
      <c r="R478">
        <v>0</v>
      </c>
      <c r="S478">
        <v>0</v>
      </c>
      <c r="T478">
        <v>1</v>
      </c>
      <c r="U478">
        <v>17</v>
      </c>
      <c r="V478">
        <v>11</v>
      </c>
      <c r="W478">
        <v>121</v>
      </c>
      <c r="X478">
        <v>0</v>
      </c>
      <c r="Y478">
        <v>188</v>
      </c>
      <c r="Z478">
        <v>86</v>
      </c>
      <c r="AA478">
        <v>131</v>
      </c>
      <c r="AB478">
        <v>313</v>
      </c>
      <c r="AC478">
        <v>626</v>
      </c>
      <c r="AD478">
        <v>63</v>
      </c>
      <c r="AE478">
        <v>3</v>
      </c>
      <c r="AF478">
        <v>94</v>
      </c>
      <c r="AG478">
        <v>7</v>
      </c>
    </row>
    <row r="479" spans="1:33" x14ac:dyDescent="0.3">
      <c r="A479" t="s">
        <v>179</v>
      </c>
      <c r="B479" t="s">
        <v>32</v>
      </c>
      <c r="C479" t="s">
        <v>32</v>
      </c>
      <c r="D479" s="1">
        <v>30175</v>
      </c>
      <c r="E479">
        <v>0</v>
      </c>
      <c r="F479" s="1">
        <v>1266</v>
      </c>
      <c r="G479">
        <v>40</v>
      </c>
      <c r="H479">
        <v>565</v>
      </c>
      <c r="I479">
        <v>0</v>
      </c>
      <c r="J479">
        <v>23</v>
      </c>
      <c r="K479">
        <v>32</v>
      </c>
      <c r="L479">
        <v>62</v>
      </c>
      <c r="M479">
        <v>315</v>
      </c>
      <c r="N479">
        <v>384</v>
      </c>
      <c r="O479">
        <v>19</v>
      </c>
      <c r="P479">
        <v>222</v>
      </c>
      <c r="Q479">
        <v>142</v>
      </c>
      <c r="R479">
        <v>0</v>
      </c>
      <c r="S479">
        <v>0</v>
      </c>
      <c r="T479">
        <v>50</v>
      </c>
      <c r="U479" s="1">
        <v>5409</v>
      </c>
      <c r="V479">
        <v>0</v>
      </c>
      <c r="W479" s="1">
        <v>8148</v>
      </c>
      <c r="X479">
        <v>410</v>
      </c>
      <c r="Y479" s="1">
        <v>1413</v>
      </c>
      <c r="Z479" s="1">
        <v>1047</v>
      </c>
      <c r="AA479" s="1">
        <v>1623</v>
      </c>
      <c r="AB479" s="1">
        <v>3368</v>
      </c>
      <c r="AC479" s="1">
        <v>3059</v>
      </c>
      <c r="AD479" s="1">
        <v>1449</v>
      </c>
      <c r="AE479">
        <v>17</v>
      </c>
      <c r="AF479">
        <v>955</v>
      </c>
      <c r="AG479">
        <v>157</v>
      </c>
    </row>
    <row r="480" spans="1:33" x14ac:dyDescent="0.3">
      <c r="A480" t="s">
        <v>179</v>
      </c>
      <c r="B480" t="s">
        <v>32</v>
      </c>
      <c r="C480" t="s">
        <v>35</v>
      </c>
      <c r="D480" s="1">
        <f>D483+D486+D489+D492+D495</f>
        <v>21164</v>
      </c>
      <c r="E480" s="1">
        <f t="shared" ref="E480:AG480" si="18">E483+E486+E489+E492+E495</f>
        <v>0</v>
      </c>
      <c r="F480" s="1">
        <f t="shared" si="18"/>
        <v>774</v>
      </c>
      <c r="G480" s="1">
        <f t="shared" si="18"/>
        <v>40</v>
      </c>
      <c r="H480" s="1">
        <f t="shared" si="18"/>
        <v>336</v>
      </c>
      <c r="I480" s="1">
        <f t="shared" si="18"/>
        <v>0</v>
      </c>
      <c r="J480" s="1">
        <f t="shared" si="18"/>
        <v>15</v>
      </c>
      <c r="K480" s="1">
        <f t="shared" si="18"/>
        <v>31</v>
      </c>
      <c r="L480" s="1">
        <f t="shared" si="18"/>
        <v>50</v>
      </c>
      <c r="M480" s="1">
        <f t="shared" si="18"/>
        <v>298</v>
      </c>
      <c r="N480" s="1">
        <f t="shared" si="18"/>
        <v>294</v>
      </c>
      <c r="O480" s="1">
        <f t="shared" si="18"/>
        <v>17</v>
      </c>
      <c r="P480" s="1">
        <f t="shared" si="18"/>
        <v>74</v>
      </c>
      <c r="Q480" s="1">
        <f t="shared" si="18"/>
        <v>110</v>
      </c>
      <c r="R480" s="1">
        <f t="shared" si="18"/>
        <v>0</v>
      </c>
      <c r="S480" s="1">
        <f t="shared" si="18"/>
        <v>0</v>
      </c>
      <c r="T480" s="1">
        <f t="shared" si="18"/>
        <v>17</v>
      </c>
      <c r="U480" s="1">
        <f t="shared" si="18"/>
        <v>5350</v>
      </c>
      <c r="V480" s="1">
        <f t="shared" si="18"/>
        <v>0</v>
      </c>
      <c r="W480" s="1">
        <f t="shared" si="18"/>
        <v>7807</v>
      </c>
      <c r="X480" s="1">
        <f t="shared" si="18"/>
        <v>410</v>
      </c>
      <c r="Y480" s="1">
        <f t="shared" si="18"/>
        <v>521</v>
      </c>
      <c r="Z480" s="1">
        <f t="shared" si="18"/>
        <v>403</v>
      </c>
      <c r="AA480" s="1">
        <f t="shared" si="18"/>
        <v>397</v>
      </c>
      <c r="AB480" s="1">
        <f t="shared" si="18"/>
        <v>1827</v>
      </c>
      <c r="AC480" s="1">
        <f t="shared" si="18"/>
        <v>520</v>
      </c>
      <c r="AD480" s="1">
        <f t="shared" si="18"/>
        <v>1188</v>
      </c>
      <c r="AE480" s="1">
        <f t="shared" si="18"/>
        <v>2</v>
      </c>
      <c r="AF480" s="1">
        <f t="shared" si="18"/>
        <v>553</v>
      </c>
      <c r="AG480" s="1">
        <f t="shared" si="18"/>
        <v>130</v>
      </c>
    </row>
    <row r="481" spans="1:33" x14ac:dyDescent="0.3">
      <c r="A481" t="s">
        <v>179</v>
      </c>
      <c r="B481" t="s">
        <v>32</v>
      </c>
      <c r="C481" t="s">
        <v>36</v>
      </c>
      <c r="D481" s="1">
        <f>D484+D487+D490+D493+D496</f>
        <v>9011</v>
      </c>
      <c r="E481" s="1">
        <f t="shared" ref="E481:AG481" si="19">E484+E487+E490+E493+E496</f>
        <v>0</v>
      </c>
      <c r="F481" s="1">
        <f t="shared" si="19"/>
        <v>492</v>
      </c>
      <c r="G481" s="1">
        <f t="shared" si="19"/>
        <v>0</v>
      </c>
      <c r="H481" s="1">
        <f t="shared" si="19"/>
        <v>229</v>
      </c>
      <c r="I481" s="1">
        <f t="shared" si="19"/>
        <v>0</v>
      </c>
      <c r="J481" s="1">
        <f t="shared" si="19"/>
        <v>8</v>
      </c>
      <c r="K481" s="1">
        <f t="shared" si="19"/>
        <v>1</v>
      </c>
      <c r="L481" s="1">
        <f t="shared" si="19"/>
        <v>12</v>
      </c>
      <c r="M481" s="1">
        <f t="shared" si="19"/>
        <v>17</v>
      </c>
      <c r="N481" s="1">
        <f t="shared" si="19"/>
        <v>90</v>
      </c>
      <c r="O481" s="1">
        <f t="shared" si="19"/>
        <v>2</v>
      </c>
      <c r="P481" s="1">
        <f t="shared" si="19"/>
        <v>148</v>
      </c>
      <c r="Q481" s="1">
        <f t="shared" si="19"/>
        <v>32</v>
      </c>
      <c r="R481" s="1">
        <f t="shared" si="19"/>
        <v>0</v>
      </c>
      <c r="S481" s="1">
        <f t="shared" si="19"/>
        <v>0</v>
      </c>
      <c r="T481" s="1">
        <f t="shared" si="19"/>
        <v>33</v>
      </c>
      <c r="U481" s="1">
        <f t="shared" si="19"/>
        <v>59</v>
      </c>
      <c r="V481" s="1">
        <f t="shared" si="19"/>
        <v>0</v>
      </c>
      <c r="W481" s="1">
        <f t="shared" si="19"/>
        <v>341</v>
      </c>
      <c r="X481" s="1">
        <f t="shared" si="19"/>
        <v>0</v>
      </c>
      <c r="Y481" s="1">
        <f t="shared" si="19"/>
        <v>892</v>
      </c>
      <c r="Z481" s="1">
        <f t="shared" si="19"/>
        <v>644</v>
      </c>
      <c r="AA481" s="1">
        <f t="shared" si="19"/>
        <v>1226</v>
      </c>
      <c r="AB481" s="1">
        <f t="shared" si="19"/>
        <v>1541</v>
      </c>
      <c r="AC481" s="1">
        <f t="shared" si="19"/>
        <v>2539</v>
      </c>
      <c r="AD481" s="1">
        <f t="shared" si="19"/>
        <v>261</v>
      </c>
      <c r="AE481" s="1">
        <f t="shared" si="19"/>
        <v>15</v>
      </c>
      <c r="AF481" s="1">
        <f t="shared" si="19"/>
        <v>402</v>
      </c>
      <c r="AG481" s="1">
        <f t="shared" si="19"/>
        <v>27</v>
      </c>
    </row>
    <row r="482" spans="1:33" x14ac:dyDescent="0.3">
      <c r="A482" t="s">
        <v>179</v>
      </c>
      <c r="B482" t="s">
        <v>129</v>
      </c>
      <c r="C482" t="s">
        <v>32</v>
      </c>
      <c r="D482" s="1">
        <v>4880</v>
      </c>
      <c r="E482">
        <v>0</v>
      </c>
      <c r="F482">
        <v>763</v>
      </c>
      <c r="G482">
        <v>2</v>
      </c>
      <c r="H482">
        <v>404</v>
      </c>
      <c r="I482">
        <v>0</v>
      </c>
      <c r="J482">
        <v>6</v>
      </c>
      <c r="K482">
        <v>2</v>
      </c>
      <c r="L482">
        <v>31</v>
      </c>
      <c r="M482">
        <v>33</v>
      </c>
      <c r="N482">
        <v>102</v>
      </c>
      <c r="O482">
        <v>6</v>
      </c>
      <c r="P482">
        <v>134</v>
      </c>
      <c r="Q482">
        <v>53</v>
      </c>
      <c r="R482">
        <v>0</v>
      </c>
      <c r="S482">
        <v>0</v>
      </c>
      <c r="T482">
        <v>21</v>
      </c>
      <c r="U482">
        <v>165</v>
      </c>
      <c r="V482">
        <v>0</v>
      </c>
      <c r="W482">
        <v>371</v>
      </c>
      <c r="X482">
        <v>54</v>
      </c>
      <c r="Y482">
        <v>258</v>
      </c>
      <c r="Z482">
        <v>216</v>
      </c>
      <c r="AA482">
        <v>198</v>
      </c>
      <c r="AB482">
        <v>829</v>
      </c>
      <c r="AC482">
        <v>705</v>
      </c>
      <c r="AD482">
        <v>240</v>
      </c>
      <c r="AE482">
        <v>3</v>
      </c>
      <c r="AF482">
        <v>267</v>
      </c>
      <c r="AG482">
        <v>17</v>
      </c>
    </row>
    <row r="483" spans="1:33" x14ac:dyDescent="0.3">
      <c r="A483" t="s">
        <v>179</v>
      </c>
      <c r="B483" t="s">
        <v>129</v>
      </c>
      <c r="C483" t="s">
        <v>35</v>
      </c>
      <c r="D483" s="1">
        <v>2584</v>
      </c>
      <c r="E483">
        <v>0</v>
      </c>
      <c r="F483">
        <v>475</v>
      </c>
      <c r="G483">
        <v>2</v>
      </c>
      <c r="H483">
        <v>236</v>
      </c>
      <c r="I483">
        <v>0</v>
      </c>
      <c r="J483">
        <v>2</v>
      </c>
      <c r="K483">
        <v>2</v>
      </c>
      <c r="L483">
        <v>25</v>
      </c>
      <c r="M483">
        <v>33</v>
      </c>
      <c r="N483">
        <v>53</v>
      </c>
      <c r="O483">
        <v>5</v>
      </c>
      <c r="P483">
        <v>49</v>
      </c>
      <c r="Q483">
        <v>41</v>
      </c>
      <c r="R483">
        <v>0</v>
      </c>
      <c r="S483">
        <v>0</v>
      </c>
      <c r="T483">
        <v>2</v>
      </c>
      <c r="U483">
        <v>155</v>
      </c>
      <c r="V483">
        <v>0</v>
      </c>
      <c r="W483">
        <v>366</v>
      </c>
      <c r="X483">
        <v>54</v>
      </c>
      <c r="Y483">
        <v>95</v>
      </c>
      <c r="Z483">
        <v>91</v>
      </c>
      <c r="AA483">
        <v>61</v>
      </c>
      <c r="AB483">
        <v>413</v>
      </c>
      <c r="AC483">
        <v>100</v>
      </c>
      <c r="AD483">
        <v>158</v>
      </c>
      <c r="AE483">
        <v>0</v>
      </c>
      <c r="AF483">
        <v>155</v>
      </c>
      <c r="AG483">
        <v>11</v>
      </c>
    </row>
    <row r="484" spans="1:33" x14ac:dyDescent="0.3">
      <c r="A484" t="s">
        <v>179</v>
      </c>
      <c r="B484" t="s">
        <v>129</v>
      </c>
      <c r="C484" t="s">
        <v>36</v>
      </c>
      <c r="D484" s="1">
        <v>2296</v>
      </c>
      <c r="E484">
        <v>0</v>
      </c>
      <c r="F484">
        <v>288</v>
      </c>
      <c r="G484">
        <v>0</v>
      </c>
      <c r="H484">
        <v>168</v>
      </c>
      <c r="I484">
        <v>0</v>
      </c>
      <c r="J484">
        <v>4</v>
      </c>
      <c r="K484">
        <v>0</v>
      </c>
      <c r="L484">
        <v>6</v>
      </c>
      <c r="M484">
        <v>0</v>
      </c>
      <c r="N484">
        <v>49</v>
      </c>
      <c r="O484">
        <v>1</v>
      </c>
      <c r="P484">
        <v>85</v>
      </c>
      <c r="Q484">
        <v>12</v>
      </c>
      <c r="R484">
        <v>0</v>
      </c>
      <c r="S484">
        <v>0</v>
      </c>
      <c r="T484">
        <v>19</v>
      </c>
      <c r="U484">
        <v>10</v>
      </c>
      <c r="V484">
        <v>0</v>
      </c>
      <c r="W484">
        <v>5</v>
      </c>
      <c r="X484">
        <v>0</v>
      </c>
      <c r="Y484">
        <v>163</v>
      </c>
      <c r="Z484">
        <v>125</v>
      </c>
      <c r="AA484">
        <v>137</v>
      </c>
      <c r="AB484">
        <v>416</v>
      </c>
      <c r="AC484">
        <v>605</v>
      </c>
      <c r="AD484">
        <v>82</v>
      </c>
      <c r="AE484">
        <v>3</v>
      </c>
      <c r="AF484">
        <v>112</v>
      </c>
      <c r="AG484">
        <v>6</v>
      </c>
    </row>
    <row r="485" spans="1:33" x14ac:dyDescent="0.3">
      <c r="A485" t="s">
        <v>179</v>
      </c>
      <c r="B485" t="s">
        <v>130</v>
      </c>
      <c r="C485" t="s">
        <v>32</v>
      </c>
      <c r="D485" s="1">
        <v>11114</v>
      </c>
      <c r="E485">
        <v>0</v>
      </c>
      <c r="F485">
        <v>96</v>
      </c>
      <c r="G485">
        <v>19</v>
      </c>
      <c r="H485">
        <v>69</v>
      </c>
      <c r="I485">
        <v>0</v>
      </c>
      <c r="J485">
        <v>4</v>
      </c>
      <c r="K485">
        <v>30</v>
      </c>
      <c r="L485">
        <v>17</v>
      </c>
      <c r="M485">
        <v>274</v>
      </c>
      <c r="N485">
        <v>169</v>
      </c>
      <c r="O485">
        <v>0</v>
      </c>
      <c r="P485">
        <v>25</v>
      </c>
      <c r="Q485">
        <v>1</v>
      </c>
      <c r="R485">
        <v>0</v>
      </c>
      <c r="S485">
        <v>0</v>
      </c>
      <c r="T485">
        <v>18</v>
      </c>
      <c r="U485" s="1">
        <v>3984</v>
      </c>
      <c r="V485">
        <v>0</v>
      </c>
      <c r="W485" s="1">
        <v>2876</v>
      </c>
      <c r="X485">
        <v>245</v>
      </c>
      <c r="Y485">
        <v>312</v>
      </c>
      <c r="Z485">
        <v>306</v>
      </c>
      <c r="AA485">
        <v>851</v>
      </c>
      <c r="AB485">
        <v>519</v>
      </c>
      <c r="AC485">
        <v>529</v>
      </c>
      <c r="AD485">
        <v>617</v>
      </c>
      <c r="AE485">
        <v>2</v>
      </c>
      <c r="AF485">
        <v>111</v>
      </c>
      <c r="AG485">
        <v>40</v>
      </c>
    </row>
    <row r="486" spans="1:33" x14ac:dyDescent="0.3">
      <c r="A486" t="s">
        <v>179</v>
      </c>
      <c r="B486" t="s">
        <v>130</v>
      </c>
      <c r="C486" t="s">
        <v>35</v>
      </c>
      <c r="D486" s="1">
        <v>9060</v>
      </c>
      <c r="E486">
        <v>0</v>
      </c>
      <c r="F486">
        <v>58</v>
      </c>
      <c r="G486">
        <v>19</v>
      </c>
      <c r="H486">
        <v>49</v>
      </c>
      <c r="I486">
        <v>0</v>
      </c>
      <c r="J486">
        <v>4</v>
      </c>
      <c r="K486">
        <v>29</v>
      </c>
      <c r="L486">
        <v>15</v>
      </c>
      <c r="M486">
        <v>257</v>
      </c>
      <c r="N486">
        <v>154</v>
      </c>
      <c r="O486">
        <v>0</v>
      </c>
      <c r="P486">
        <v>4</v>
      </c>
      <c r="Q486">
        <v>1</v>
      </c>
      <c r="R486">
        <v>0</v>
      </c>
      <c r="S486">
        <v>0</v>
      </c>
      <c r="T486">
        <v>10</v>
      </c>
      <c r="U486" s="1">
        <v>3955</v>
      </c>
      <c r="V486">
        <v>0</v>
      </c>
      <c r="W486" s="1">
        <v>2805</v>
      </c>
      <c r="X486">
        <v>245</v>
      </c>
      <c r="Y486">
        <v>109</v>
      </c>
      <c r="Z486">
        <v>134</v>
      </c>
      <c r="AA486">
        <v>188</v>
      </c>
      <c r="AB486">
        <v>299</v>
      </c>
      <c r="AC486">
        <v>97</v>
      </c>
      <c r="AD486">
        <v>534</v>
      </c>
      <c r="AE486">
        <v>0</v>
      </c>
      <c r="AF486">
        <v>59</v>
      </c>
      <c r="AG486">
        <v>35</v>
      </c>
    </row>
    <row r="487" spans="1:33" x14ac:dyDescent="0.3">
      <c r="A487" t="s">
        <v>179</v>
      </c>
      <c r="B487" t="s">
        <v>130</v>
      </c>
      <c r="C487" t="s">
        <v>36</v>
      </c>
      <c r="D487" s="1">
        <v>2054</v>
      </c>
      <c r="E487">
        <v>0</v>
      </c>
      <c r="F487">
        <v>38</v>
      </c>
      <c r="G487">
        <v>0</v>
      </c>
      <c r="H487">
        <v>20</v>
      </c>
      <c r="I487">
        <v>0</v>
      </c>
      <c r="J487">
        <v>0</v>
      </c>
      <c r="K487">
        <v>1</v>
      </c>
      <c r="L487">
        <v>2</v>
      </c>
      <c r="M487">
        <v>17</v>
      </c>
      <c r="N487">
        <v>15</v>
      </c>
      <c r="O487">
        <v>0</v>
      </c>
      <c r="P487">
        <v>21</v>
      </c>
      <c r="Q487">
        <v>0</v>
      </c>
      <c r="R487">
        <v>0</v>
      </c>
      <c r="S487">
        <v>0</v>
      </c>
      <c r="T487">
        <v>8</v>
      </c>
      <c r="U487">
        <v>29</v>
      </c>
      <c r="V487">
        <v>0</v>
      </c>
      <c r="W487">
        <v>71</v>
      </c>
      <c r="X487">
        <v>0</v>
      </c>
      <c r="Y487">
        <v>203</v>
      </c>
      <c r="Z487">
        <v>172</v>
      </c>
      <c r="AA487">
        <v>663</v>
      </c>
      <c r="AB487">
        <v>220</v>
      </c>
      <c r="AC487">
        <v>432</v>
      </c>
      <c r="AD487">
        <v>83</v>
      </c>
      <c r="AE487">
        <v>2</v>
      </c>
      <c r="AF487">
        <v>52</v>
      </c>
      <c r="AG487">
        <v>5</v>
      </c>
    </row>
    <row r="488" spans="1:33" x14ac:dyDescent="0.3">
      <c r="A488" t="s">
        <v>179</v>
      </c>
      <c r="B488" t="s">
        <v>131</v>
      </c>
      <c r="C488" t="s">
        <v>32</v>
      </c>
      <c r="D488" s="1">
        <v>2987</v>
      </c>
      <c r="E488">
        <v>0</v>
      </c>
      <c r="F488">
        <v>12</v>
      </c>
      <c r="G488">
        <v>0</v>
      </c>
      <c r="H488">
        <v>2</v>
      </c>
      <c r="I488">
        <v>0</v>
      </c>
      <c r="J488">
        <v>4</v>
      </c>
      <c r="K488">
        <v>0</v>
      </c>
      <c r="L488">
        <v>3</v>
      </c>
      <c r="M488">
        <v>1</v>
      </c>
      <c r="N488">
        <v>9</v>
      </c>
      <c r="O488">
        <v>0</v>
      </c>
      <c r="P488">
        <v>28</v>
      </c>
      <c r="Q488">
        <v>0</v>
      </c>
      <c r="R488">
        <v>0</v>
      </c>
      <c r="S488">
        <v>0</v>
      </c>
      <c r="T488">
        <v>0</v>
      </c>
      <c r="U488">
        <v>190</v>
      </c>
      <c r="V488">
        <v>0</v>
      </c>
      <c r="W488" s="1">
        <v>1115</v>
      </c>
      <c r="X488">
        <v>105</v>
      </c>
      <c r="Y488">
        <v>231</v>
      </c>
      <c r="Z488">
        <v>74</v>
      </c>
      <c r="AA488">
        <v>106</v>
      </c>
      <c r="AB488">
        <v>355</v>
      </c>
      <c r="AC488">
        <v>594</v>
      </c>
      <c r="AD488">
        <v>82</v>
      </c>
      <c r="AE488">
        <v>5</v>
      </c>
      <c r="AF488">
        <v>56</v>
      </c>
      <c r="AG488">
        <v>15</v>
      </c>
    </row>
    <row r="489" spans="1:33" x14ac:dyDescent="0.3">
      <c r="A489" t="s">
        <v>179</v>
      </c>
      <c r="B489" t="s">
        <v>131</v>
      </c>
      <c r="C489" t="s">
        <v>35</v>
      </c>
      <c r="D489" s="1">
        <v>1873</v>
      </c>
      <c r="E489">
        <v>0</v>
      </c>
      <c r="F489">
        <v>6</v>
      </c>
      <c r="G489">
        <v>0</v>
      </c>
      <c r="H489">
        <v>0</v>
      </c>
      <c r="I489">
        <v>0</v>
      </c>
      <c r="J489">
        <v>2</v>
      </c>
      <c r="K489">
        <v>0</v>
      </c>
      <c r="L489">
        <v>2</v>
      </c>
      <c r="M489">
        <v>1</v>
      </c>
      <c r="N489">
        <v>6</v>
      </c>
      <c r="O489">
        <v>0</v>
      </c>
      <c r="P489">
        <v>7</v>
      </c>
      <c r="Q489">
        <v>0</v>
      </c>
      <c r="R489">
        <v>0</v>
      </c>
      <c r="S489">
        <v>0</v>
      </c>
      <c r="T489">
        <v>0</v>
      </c>
      <c r="U489">
        <v>184</v>
      </c>
      <c r="V489">
        <v>0</v>
      </c>
      <c r="W489" s="1">
        <v>1046</v>
      </c>
      <c r="X489">
        <v>105</v>
      </c>
      <c r="Y489">
        <v>91</v>
      </c>
      <c r="Z489">
        <v>26</v>
      </c>
      <c r="AA489">
        <v>17</v>
      </c>
      <c r="AB489">
        <v>172</v>
      </c>
      <c r="AC489">
        <v>99</v>
      </c>
      <c r="AD489">
        <v>66</v>
      </c>
      <c r="AE489">
        <v>0</v>
      </c>
      <c r="AF489">
        <v>30</v>
      </c>
      <c r="AG489">
        <v>13</v>
      </c>
    </row>
    <row r="490" spans="1:33" x14ac:dyDescent="0.3">
      <c r="A490" t="s">
        <v>179</v>
      </c>
      <c r="B490" t="s">
        <v>131</v>
      </c>
      <c r="C490" t="s">
        <v>36</v>
      </c>
      <c r="D490" s="1">
        <v>1114</v>
      </c>
      <c r="E490">
        <v>0</v>
      </c>
      <c r="F490">
        <v>6</v>
      </c>
      <c r="G490">
        <v>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0</v>
      </c>
      <c r="N490">
        <v>3</v>
      </c>
      <c r="O490">
        <v>0</v>
      </c>
      <c r="P490">
        <v>21</v>
      </c>
      <c r="Q490">
        <v>0</v>
      </c>
      <c r="R490">
        <v>0</v>
      </c>
      <c r="S490">
        <v>0</v>
      </c>
      <c r="T490">
        <v>0</v>
      </c>
      <c r="U490">
        <v>6</v>
      </c>
      <c r="V490">
        <v>0</v>
      </c>
      <c r="W490">
        <v>69</v>
      </c>
      <c r="X490">
        <v>0</v>
      </c>
      <c r="Y490">
        <v>140</v>
      </c>
      <c r="Z490">
        <v>48</v>
      </c>
      <c r="AA490">
        <v>89</v>
      </c>
      <c r="AB490">
        <v>183</v>
      </c>
      <c r="AC490">
        <v>495</v>
      </c>
      <c r="AD490">
        <v>16</v>
      </c>
      <c r="AE490">
        <v>5</v>
      </c>
      <c r="AF490">
        <v>26</v>
      </c>
      <c r="AG490">
        <v>2</v>
      </c>
    </row>
    <row r="491" spans="1:33" x14ac:dyDescent="0.3">
      <c r="A491" t="s">
        <v>179</v>
      </c>
      <c r="B491" t="s">
        <v>180</v>
      </c>
      <c r="C491" t="s">
        <v>32</v>
      </c>
      <c r="D491" s="1">
        <v>9329</v>
      </c>
      <c r="E491">
        <v>0</v>
      </c>
      <c r="F491">
        <v>363</v>
      </c>
      <c r="G491">
        <v>19</v>
      </c>
      <c r="H491">
        <v>75</v>
      </c>
      <c r="I491">
        <v>0</v>
      </c>
      <c r="J491">
        <v>8</v>
      </c>
      <c r="K491">
        <v>0</v>
      </c>
      <c r="L491">
        <v>6</v>
      </c>
      <c r="M491">
        <v>6</v>
      </c>
      <c r="N491">
        <v>89</v>
      </c>
      <c r="O491">
        <v>12</v>
      </c>
      <c r="P491">
        <v>13</v>
      </c>
      <c r="Q491">
        <v>87</v>
      </c>
      <c r="R491">
        <v>0</v>
      </c>
      <c r="S491">
        <v>0</v>
      </c>
      <c r="T491">
        <v>5</v>
      </c>
      <c r="U491" s="1">
        <v>1035</v>
      </c>
      <c r="V491">
        <v>0</v>
      </c>
      <c r="W491" s="1">
        <v>3579</v>
      </c>
      <c r="X491">
        <v>3</v>
      </c>
      <c r="Y491">
        <v>400</v>
      </c>
      <c r="Z491">
        <v>362</v>
      </c>
      <c r="AA491">
        <v>405</v>
      </c>
      <c r="AB491" s="1">
        <v>1208</v>
      </c>
      <c r="AC491">
        <v>752</v>
      </c>
      <c r="AD491">
        <v>426</v>
      </c>
      <c r="AE491">
        <v>6</v>
      </c>
      <c r="AF491">
        <v>405</v>
      </c>
      <c r="AG491">
        <v>65</v>
      </c>
    </row>
    <row r="492" spans="1:33" x14ac:dyDescent="0.3">
      <c r="A492" t="s">
        <v>179</v>
      </c>
      <c r="B492" t="s">
        <v>180</v>
      </c>
      <c r="C492" t="s">
        <v>35</v>
      </c>
      <c r="D492" s="1">
        <v>6814</v>
      </c>
      <c r="E492">
        <v>0</v>
      </c>
      <c r="F492">
        <v>219</v>
      </c>
      <c r="G492">
        <v>19</v>
      </c>
      <c r="H492">
        <v>41</v>
      </c>
      <c r="I492">
        <v>0</v>
      </c>
      <c r="J492">
        <v>6</v>
      </c>
      <c r="K492">
        <v>0</v>
      </c>
      <c r="L492">
        <v>4</v>
      </c>
      <c r="M492">
        <v>6</v>
      </c>
      <c r="N492">
        <v>70</v>
      </c>
      <c r="O492">
        <v>11</v>
      </c>
      <c r="P492">
        <v>4</v>
      </c>
      <c r="Q492">
        <v>68</v>
      </c>
      <c r="R492">
        <v>0</v>
      </c>
      <c r="S492">
        <v>0</v>
      </c>
      <c r="T492">
        <v>4</v>
      </c>
      <c r="U492" s="1">
        <v>1023</v>
      </c>
      <c r="V492">
        <v>0</v>
      </c>
      <c r="W492" s="1">
        <v>3428</v>
      </c>
      <c r="X492">
        <v>3</v>
      </c>
      <c r="Y492">
        <v>146</v>
      </c>
      <c r="Z492">
        <v>128</v>
      </c>
      <c r="AA492">
        <v>113</v>
      </c>
      <c r="AB492">
        <v>709</v>
      </c>
      <c r="AC492">
        <v>148</v>
      </c>
      <c r="AD492">
        <v>363</v>
      </c>
      <c r="AE492">
        <v>1</v>
      </c>
      <c r="AF492">
        <v>243</v>
      </c>
      <c r="AG492">
        <v>57</v>
      </c>
    </row>
    <row r="493" spans="1:33" x14ac:dyDescent="0.3">
      <c r="A493" t="s">
        <v>179</v>
      </c>
      <c r="B493" t="s">
        <v>180</v>
      </c>
      <c r="C493" t="s">
        <v>36</v>
      </c>
      <c r="D493" s="1">
        <v>2515</v>
      </c>
      <c r="E493">
        <v>0</v>
      </c>
      <c r="F493">
        <v>144</v>
      </c>
      <c r="G493">
        <v>0</v>
      </c>
      <c r="H493">
        <v>34</v>
      </c>
      <c r="I493">
        <v>0</v>
      </c>
      <c r="J493">
        <v>2</v>
      </c>
      <c r="K493">
        <v>0</v>
      </c>
      <c r="L493">
        <v>2</v>
      </c>
      <c r="M493">
        <v>0</v>
      </c>
      <c r="N493">
        <v>19</v>
      </c>
      <c r="O493">
        <v>1</v>
      </c>
      <c r="P493">
        <v>9</v>
      </c>
      <c r="Q493">
        <v>19</v>
      </c>
      <c r="R493">
        <v>0</v>
      </c>
      <c r="S493">
        <v>0</v>
      </c>
      <c r="T493">
        <v>1</v>
      </c>
      <c r="U493">
        <v>12</v>
      </c>
      <c r="V493">
        <v>0</v>
      </c>
      <c r="W493">
        <v>151</v>
      </c>
      <c r="X493">
        <v>0</v>
      </c>
      <c r="Y493">
        <v>254</v>
      </c>
      <c r="Z493">
        <v>234</v>
      </c>
      <c r="AA493">
        <v>292</v>
      </c>
      <c r="AB493">
        <v>499</v>
      </c>
      <c r="AC493">
        <v>604</v>
      </c>
      <c r="AD493">
        <v>63</v>
      </c>
      <c r="AE493">
        <v>5</v>
      </c>
      <c r="AF493">
        <v>162</v>
      </c>
      <c r="AG493">
        <v>8</v>
      </c>
    </row>
    <row r="494" spans="1:33" x14ac:dyDescent="0.3">
      <c r="A494" t="s">
        <v>179</v>
      </c>
      <c r="B494" t="s">
        <v>138</v>
      </c>
      <c r="C494" t="s">
        <v>32</v>
      </c>
      <c r="D494" s="1">
        <v>1865</v>
      </c>
      <c r="E494">
        <v>0</v>
      </c>
      <c r="F494">
        <v>32</v>
      </c>
      <c r="G494">
        <v>0</v>
      </c>
      <c r="H494">
        <v>15</v>
      </c>
      <c r="I494">
        <v>0</v>
      </c>
      <c r="J494">
        <v>1</v>
      </c>
      <c r="K494">
        <v>0</v>
      </c>
      <c r="L494">
        <v>5</v>
      </c>
      <c r="M494">
        <v>1</v>
      </c>
      <c r="N494">
        <v>15</v>
      </c>
      <c r="O494">
        <v>1</v>
      </c>
      <c r="P494">
        <v>22</v>
      </c>
      <c r="Q494">
        <v>1</v>
      </c>
      <c r="R494">
        <v>0</v>
      </c>
      <c r="S494">
        <v>0</v>
      </c>
      <c r="T494">
        <v>6</v>
      </c>
      <c r="U494">
        <v>35</v>
      </c>
      <c r="V494">
        <v>0</v>
      </c>
      <c r="W494">
        <v>207</v>
      </c>
      <c r="X494">
        <v>3</v>
      </c>
      <c r="Y494">
        <v>212</v>
      </c>
      <c r="Z494">
        <v>89</v>
      </c>
      <c r="AA494">
        <v>63</v>
      </c>
      <c r="AB494">
        <v>457</v>
      </c>
      <c r="AC494">
        <v>479</v>
      </c>
      <c r="AD494">
        <v>84</v>
      </c>
      <c r="AE494">
        <v>1</v>
      </c>
      <c r="AF494">
        <v>116</v>
      </c>
      <c r="AG494">
        <v>20</v>
      </c>
    </row>
    <row r="495" spans="1:33" x14ac:dyDescent="0.3">
      <c r="A495" t="s">
        <v>179</v>
      </c>
      <c r="B495" t="s">
        <v>138</v>
      </c>
      <c r="C495" t="s">
        <v>35</v>
      </c>
      <c r="D495">
        <v>833</v>
      </c>
      <c r="E495">
        <v>0</v>
      </c>
      <c r="F495">
        <v>16</v>
      </c>
      <c r="G495">
        <v>0</v>
      </c>
      <c r="H495">
        <v>10</v>
      </c>
      <c r="I495">
        <v>0</v>
      </c>
      <c r="J495">
        <v>1</v>
      </c>
      <c r="K495">
        <v>0</v>
      </c>
      <c r="L495">
        <v>4</v>
      </c>
      <c r="M495">
        <v>1</v>
      </c>
      <c r="N495">
        <v>11</v>
      </c>
      <c r="O495">
        <v>1</v>
      </c>
      <c r="P495">
        <v>10</v>
      </c>
      <c r="Q495">
        <v>0</v>
      </c>
      <c r="R495">
        <v>0</v>
      </c>
      <c r="S495">
        <v>0</v>
      </c>
      <c r="T495">
        <v>1</v>
      </c>
      <c r="U495">
        <v>33</v>
      </c>
      <c r="V495">
        <v>0</v>
      </c>
      <c r="W495">
        <v>162</v>
      </c>
      <c r="X495">
        <v>3</v>
      </c>
      <c r="Y495">
        <v>80</v>
      </c>
      <c r="Z495">
        <v>24</v>
      </c>
      <c r="AA495">
        <v>18</v>
      </c>
      <c r="AB495">
        <v>234</v>
      </c>
      <c r="AC495">
        <v>76</v>
      </c>
      <c r="AD495">
        <v>67</v>
      </c>
      <c r="AE495">
        <v>1</v>
      </c>
      <c r="AF495">
        <v>66</v>
      </c>
      <c r="AG495">
        <v>14</v>
      </c>
    </row>
    <row r="496" spans="1:33" x14ac:dyDescent="0.3">
      <c r="A496" t="s">
        <v>179</v>
      </c>
      <c r="B496" t="s">
        <v>138</v>
      </c>
      <c r="C496" t="s">
        <v>36</v>
      </c>
      <c r="D496" s="1">
        <v>1032</v>
      </c>
      <c r="E496">
        <v>0</v>
      </c>
      <c r="F496">
        <v>16</v>
      </c>
      <c r="G496">
        <v>0</v>
      </c>
      <c r="H496">
        <v>5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4</v>
      </c>
      <c r="O496">
        <v>0</v>
      </c>
      <c r="P496">
        <v>12</v>
      </c>
      <c r="Q496">
        <v>1</v>
      </c>
      <c r="R496">
        <v>0</v>
      </c>
      <c r="S496">
        <v>0</v>
      </c>
      <c r="T496">
        <v>5</v>
      </c>
      <c r="U496">
        <v>2</v>
      </c>
      <c r="V496">
        <v>0</v>
      </c>
      <c r="W496">
        <v>45</v>
      </c>
      <c r="X496">
        <v>0</v>
      </c>
      <c r="Y496">
        <v>132</v>
      </c>
      <c r="Z496">
        <v>65</v>
      </c>
      <c r="AA496">
        <v>45</v>
      </c>
      <c r="AB496">
        <v>223</v>
      </c>
      <c r="AC496">
        <v>403</v>
      </c>
      <c r="AD496">
        <v>17</v>
      </c>
      <c r="AE496">
        <v>0</v>
      </c>
      <c r="AF496">
        <v>50</v>
      </c>
      <c r="AG496">
        <v>6</v>
      </c>
    </row>
    <row r="497" spans="1:33" x14ac:dyDescent="0.3">
      <c r="A497" t="s">
        <v>181</v>
      </c>
      <c r="B497" t="s">
        <v>32</v>
      </c>
      <c r="C497" t="s">
        <v>32</v>
      </c>
      <c r="D497" s="1">
        <v>95046</v>
      </c>
      <c r="E497">
        <v>3</v>
      </c>
      <c r="F497" s="1">
        <v>6690</v>
      </c>
      <c r="G497">
        <v>34</v>
      </c>
      <c r="H497" s="1">
        <v>2513</v>
      </c>
      <c r="I497">
        <v>0</v>
      </c>
      <c r="J497">
        <v>64</v>
      </c>
      <c r="K497">
        <v>66</v>
      </c>
      <c r="L497" s="1">
        <v>1438</v>
      </c>
      <c r="M497">
        <v>230</v>
      </c>
      <c r="N497">
        <v>803</v>
      </c>
      <c r="O497">
        <v>124</v>
      </c>
      <c r="P497">
        <v>558</v>
      </c>
      <c r="Q497">
        <v>103</v>
      </c>
      <c r="R497">
        <v>128</v>
      </c>
      <c r="S497">
        <v>11</v>
      </c>
      <c r="T497">
        <v>118</v>
      </c>
      <c r="U497" s="1">
        <v>3185</v>
      </c>
      <c r="V497">
        <v>6</v>
      </c>
      <c r="W497" s="1">
        <v>14511</v>
      </c>
      <c r="X497">
        <v>300</v>
      </c>
      <c r="Y497" s="1">
        <v>5761</v>
      </c>
      <c r="Z497" s="1">
        <v>6385</v>
      </c>
      <c r="AA497" s="1">
        <v>6567</v>
      </c>
      <c r="AB497" s="1">
        <v>22032</v>
      </c>
      <c r="AC497" s="1">
        <v>11758</v>
      </c>
      <c r="AD497" s="1">
        <v>5094</v>
      </c>
      <c r="AE497">
        <v>89</v>
      </c>
      <c r="AF497" s="1">
        <v>5244</v>
      </c>
      <c r="AG497" s="1">
        <v>1231</v>
      </c>
    </row>
    <row r="498" spans="1:33" x14ac:dyDescent="0.3">
      <c r="A498" t="s">
        <v>181</v>
      </c>
      <c r="B498" t="s">
        <v>32</v>
      </c>
      <c r="C498" t="s">
        <v>35</v>
      </c>
      <c r="D498" s="1">
        <f>D501+D504+D507+D510+D513+D516+D519+D522+D525+D528</f>
        <v>53549</v>
      </c>
      <c r="E498" s="1">
        <f t="shared" ref="E498:AG498" si="20">E501+E504+E507+E510+E513+E516+E519+E522+E525+E528</f>
        <v>1</v>
      </c>
      <c r="F498" s="1">
        <f t="shared" si="20"/>
        <v>2982</v>
      </c>
      <c r="G498" s="1">
        <f t="shared" si="20"/>
        <v>22</v>
      </c>
      <c r="H498" s="1">
        <f t="shared" si="20"/>
        <v>1300</v>
      </c>
      <c r="I498" s="1">
        <f t="shared" si="20"/>
        <v>0</v>
      </c>
      <c r="J498" s="1">
        <f t="shared" si="20"/>
        <v>46</v>
      </c>
      <c r="K498" s="1">
        <f t="shared" si="20"/>
        <v>59</v>
      </c>
      <c r="L498" s="1">
        <f t="shared" si="20"/>
        <v>1300</v>
      </c>
      <c r="M498" s="1">
        <f t="shared" si="20"/>
        <v>184</v>
      </c>
      <c r="N498" s="1">
        <f t="shared" si="20"/>
        <v>345</v>
      </c>
      <c r="O498" s="1">
        <f t="shared" si="20"/>
        <v>90</v>
      </c>
      <c r="P498" s="1">
        <f t="shared" si="20"/>
        <v>163</v>
      </c>
      <c r="Q498" s="1">
        <f t="shared" si="20"/>
        <v>76</v>
      </c>
      <c r="R498" s="1">
        <f t="shared" si="20"/>
        <v>126</v>
      </c>
      <c r="S498" s="1">
        <f t="shared" si="20"/>
        <v>11</v>
      </c>
      <c r="T498" s="1">
        <f t="shared" si="20"/>
        <v>54</v>
      </c>
      <c r="U498" s="1">
        <f t="shared" si="20"/>
        <v>2808</v>
      </c>
      <c r="V498" s="1">
        <f t="shared" si="20"/>
        <v>4</v>
      </c>
      <c r="W498" s="1">
        <f t="shared" si="20"/>
        <v>13889</v>
      </c>
      <c r="X498" s="1">
        <f t="shared" si="20"/>
        <v>300</v>
      </c>
      <c r="Y498" s="1">
        <f t="shared" si="20"/>
        <v>2406</v>
      </c>
      <c r="Z498" s="1">
        <f t="shared" si="20"/>
        <v>2881</v>
      </c>
      <c r="AA498" s="1">
        <f t="shared" si="20"/>
        <v>2556</v>
      </c>
      <c r="AB498" s="1">
        <f t="shared" si="20"/>
        <v>11748</v>
      </c>
      <c r="AC498" s="1">
        <f t="shared" si="20"/>
        <v>2920</v>
      </c>
      <c r="AD498" s="1">
        <f t="shared" si="20"/>
        <v>3661</v>
      </c>
      <c r="AE498" s="1">
        <f t="shared" si="20"/>
        <v>20</v>
      </c>
      <c r="AF498" s="1">
        <f t="shared" si="20"/>
        <v>2828</v>
      </c>
      <c r="AG498" s="1">
        <f t="shared" si="20"/>
        <v>769</v>
      </c>
    </row>
    <row r="499" spans="1:33" x14ac:dyDescent="0.3">
      <c r="A499" t="s">
        <v>181</v>
      </c>
      <c r="B499" t="s">
        <v>32</v>
      </c>
      <c r="C499" t="s">
        <v>36</v>
      </c>
      <c r="D499" s="1">
        <f>D502+D505+D508+D511+D514+D517+D520+D523+D526+D529</f>
        <v>41497</v>
      </c>
      <c r="E499" s="1">
        <f t="shared" ref="E499:AG499" si="21">E502+E505+E508+E511+E514+E517+E520+E523+E526+E529</f>
        <v>2</v>
      </c>
      <c r="F499" s="1">
        <f t="shared" si="21"/>
        <v>3708</v>
      </c>
      <c r="G499" s="1">
        <f t="shared" si="21"/>
        <v>12</v>
      </c>
      <c r="H499" s="1">
        <f t="shared" si="21"/>
        <v>1213</v>
      </c>
      <c r="I499" s="1">
        <f t="shared" si="21"/>
        <v>0</v>
      </c>
      <c r="J499" s="1">
        <f t="shared" si="21"/>
        <v>18</v>
      </c>
      <c r="K499" s="1">
        <f t="shared" si="21"/>
        <v>7</v>
      </c>
      <c r="L499" s="1">
        <f t="shared" si="21"/>
        <v>138</v>
      </c>
      <c r="M499" s="1">
        <f t="shared" si="21"/>
        <v>46</v>
      </c>
      <c r="N499" s="1">
        <f t="shared" si="21"/>
        <v>458</v>
      </c>
      <c r="O499" s="1">
        <f t="shared" si="21"/>
        <v>34</v>
      </c>
      <c r="P499" s="1">
        <f t="shared" si="21"/>
        <v>395</v>
      </c>
      <c r="Q499" s="1">
        <f t="shared" si="21"/>
        <v>27</v>
      </c>
      <c r="R499" s="1">
        <f t="shared" si="21"/>
        <v>2</v>
      </c>
      <c r="S499" s="1">
        <f t="shared" si="21"/>
        <v>0</v>
      </c>
      <c r="T499" s="1">
        <f t="shared" si="21"/>
        <v>64</v>
      </c>
      <c r="U499" s="1">
        <f t="shared" si="21"/>
        <v>377</v>
      </c>
      <c r="V499" s="1">
        <f t="shared" si="21"/>
        <v>2</v>
      </c>
      <c r="W499" s="1">
        <f t="shared" si="21"/>
        <v>622</v>
      </c>
      <c r="X499" s="1">
        <f t="shared" si="21"/>
        <v>0</v>
      </c>
      <c r="Y499" s="1">
        <f t="shared" si="21"/>
        <v>3355</v>
      </c>
      <c r="Z499" s="1">
        <f t="shared" si="21"/>
        <v>3504</v>
      </c>
      <c r="AA499" s="1">
        <f t="shared" si="21"/>
        <v>4011</v>
      </c>
      <c r="AB499" s="1">
        <f t="shared" si="21"/>
        <v>10284</v>
      </c>
      <c r="AC499" s="1">
        <f t="shared" si="21"/>
        <v>8838</v>
      </c>
      <c r="AD499" s="1">
        <f t="shared" si="21"/>
        <v>1433</v>
      </c>
      <c r="AE499" s="1">
        <f t="shared" si="21"/>
        <v>69</v>
      </c>
      <c r="AF499" s="1">
        <f t="shared" si="21"/>
        <v>2416</v>
      </c>
      <c r="AG499" s="1">
        <f t="shared" si="21"/>
        <v>462</v>
      </c>
    </row>
    <row r="500" spans="1:33" x14ac:dyDescent="0.3">
      <c r="A500" t="s">
        <v>181</v>
      </c>
      <c r="B500" t="s">
        <v>182</v>
      </c>
      <c r="C500" t="s">
        <v>32</v>
      </c>
      <c r="D500" s="1">
        <v>1275</v>
      </c>
      <c r="E500">
        <v>0</v>
      </c>
      <c r="F500">
        <v>25</v>
      </c>
      <c r="G500">
        <v>0</v>
      </c>
      <c r="H500">
        <v>3</v>
      </c>
      <c r="I500">
        <v>0</v>
      </c>
      <c r="J500">
        <v>5</v>
      </c>
      <c r="K500">
        <v>0</v>
      </c>
      <c r="L500">
        <v>2</v>
      </c>
      <c r="M500">
        <v>0</v>
      </c>
      <c r="N500">
        <v>1</v>
      </c>
      <c r="O500">
        <v>0</v>
      </c>
      <c r="P500">
        <v>19</v>
      </c>
      <c r="Q500">
        <v>0</v>
      </c>
      <c r="R500">
        <v>0</v>
      </c>
      <c r="S500">
        <v>0</v>
      </c>
      <c r="T500">
        <v>0</v>
      </c>
      <c r="U500">
        <v>94</v>
      </c>
      <c r="V500">
        <v>0</v>
      </c>
      <c r="W500">
        <v>692</v>
      </c>
      <c r="X500">
        <v>1</v>
      </c>
      <c r="Y500">
        <v>48</v>
      </c>
      <c r="Z500">
        <v>26</v>
      </c>
      <c r="AA500">
        <v>48</v>
      </c>
      <c r="AB500">
        <v>70</v>
      </c>
      <c r="AC500">
        <v>168</v>
      </c>
      <c r="AD500">
        <v>44</v>
      </c>
      <c r="AE500">
        <v>1</v>
      </c>
      <c r="AF500">
        <v>21</v>
      </c>
      <c r="AG500">
        <v>7</v>
      </c>
    </row>
    <row r="501" spans="1:33" x14ac:dyDescent="0.3">
      <c r="A501" t="s">
        <v>181</v>
      </c>
      <c r="B501" t="s">
        <v>182</v>
      </c>
      <c r="C501" t="s">
        <v>35</v>
      </c>
      <c r="D501">
        <v>899</v>
      </c>
      <c r="E501">
        <v>0</v>
      </c>
      <c r="F501">
        <v>20</v>
      </c>
      <c r="G501">
        <v>0</v>
      </c>
      <c r="H501">
        <v>1</v>
      </c>
      <c r="I501">
        <v>0</v>
      </c>
      <c r="J501">
        <v>3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5</v>
      </c>
      <c r="Q501">
        <v>0</v>
      </c>
      <c r="R501">
        <v>0</v>
      </c>
      <c r="S501">
        <v>0</v>
      </c>
      <c r="T501">
        <v>0</v>
      </c>
      <c r="U501">
        <v>92</v>
      </c>
      <c r="V501">
        <v>0</v>
      </c>
      <c r="W501">
        <v>626</v>
      </c>
      <c r="X501">
        <v>1</v>
      </c>
      <c r="Y501">
        <v>24</v>
      </c>
      <c r="Z501">
        <v>14</v>
      </c>
      <c r="AA501">
        <v>14</v>
      </c>
      <c r="AB501">
        <v>23</v>
      </c>
      <c r="AC501">
        <v>17</v>
      </c>
      <c r="AD501">
        <v>41</v>
      </c>
      <c r="AE501">
        <v>0</v>
      </c>
      <c r="AF501">
        <v>10</v>
      </c>
      <c r="AG501">
        <v>6</v>
      </c>
    </row>
    <row r="502" spans="1:33" x14ac:dyDescent="0.3">
      <c r="A502" t="s">
        <v>181</v>
      </c>
      <c r="B502" t="s">
        <v>182</v>
      </c>
      <c r="C502" t="s">
        <v>36</v>
      </c>
      <c r="D502">
        <v>376</v>
      </c>
      <c r="E502">
        <v>0</v>
      </c>
      <c r="F502">
        <v>5</v>
      </c>
      <c r="G502">
        <v>0</v>
      </c>
      <c r="H502">
        <v>2</v>
      </c>
      <c r="I502">
        <v>0</v>
      </c>
      <c r="J502">
        <v>2</v>
      </c>
      <c r="K502">
        <v>0</v>
      </c>
      <c r="L502" s="1">
        <v>0</v>
      </c>
      <c r="M502">
        <v>0</v>
      </c>
      <c r="N502">
        <v>1</v>
      </c>
      <c r="O502">
        <v>0</v>
      </c>
      <c r="P502">
        <v>14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0</v>
      </c>
      <c r="W502">
        <v>66</v>
      </c>
      <c r="X502">
        <v>0</v>
      </c>
      <c r="Y502">
        <v>24</v>
      </c>
      <c r="Z502">
        <v>12</v>
      </c>
      <c r="AA502">
        <v>34</v>
      </c>
      <c r="AB502">
        <v>47</v>
      </c>
      <c r="AC502">
        <v>151</v>
      </c>
      <c r="AD502">
        <v>3</v>
      </c>
      <c r="AE502">
        <v>1</v>
      </c>
      <c r="AF502">
        <v>11</v>
      </c>
      <c r="AG502">
        <v>1</v>
      </c>
    </row>
    <row r="503" spans="1:33" x14ac:dyDescent="0.3">
      <c r="A503" t="s">
        <v>181</v>
      </c>
      <c r="B503" t="s">
        <v>183</v>
      </c>
      <c r="C503" t="s">
        <v>32</v>
      </c>
      <c r="D503" s="1">
        <v>3928</v>
      </c>
      <c r="E503">
        <v>0</v>
      </c>
      <c r="F503">
        <v>374</v>
      </c>
      <c r="G503">
        <v>1</v>
      </c>
      <c r="H503">
        <v>194</v>
      </c>
      <c r="I503">
        <v>0</v>
      </c>
      <c r="J503">
        <v>4</v>
      </c>
      <c r="K503">
        <v>4</v>
      </c>
      <c r="L503">
        <v>12</v>
      </c>
      <c r="M503">
        <v>15</v>
      </c>
      <c r="N503">
        <v>48</v>
      </c>
      <c r="O503">
        <v>1</v>
      </c>
      <c r="P503">
        <v>22</v>
      </c>
      <c r="Q503">
        <v>0</v>
      </c>
      <c r="R503">
        <v>0</v>
      </c>
      <c r="S503">
        <v>0</v>
      </c>
      <c r="T503">
        <v>1</v>
      </c>
      <c r="U503">
        <v>134</v>
      </c>
      <c r="V503">
        <v>0</v>
      </c>
      <c r="W503">
        <v>510</v>
      </c>
      <c r="X503">
        <v>0</v>
      </c>
      <c r="Y503">
        <v>256</v>
      </c>
      <c r="Z503">
        <v>172</v>
      </c>
      <c r="AA503">
        <v>182</v>
      </c>
      <c r="AB503">
        <v>861</v>
      </c>
      <c r="AC503">
        <v>786</v>
      </c>
      <c r="AD503">
        <v>135</v>
      </c>
      <c r="AE503">
        <v>5</v>
      </c>
      <c r="AF503">
        <v>194</v>
      </c>
      <c r="AG503">
        <v>17</v>
      </c>
    </row>
    <row r="504" spans="1:33" x14ac:dyDescent="0.3">
      <c r="A504" t="s">
        <v>181</v>
      </c>
      <c r="B504" t="s">
        <v>183</v>
      </c>
      <c r="C504" t="s">
        <v>35</v>
      </c>
      <c r="D504" s="1">
        <v>1747</v>
      </c>
      <c r="E504">
        <v>0</v>
      </c>
      <c r="F504">
        <v>68</v>
      </c>
      <c r="G504">
        <v>0</v>
      </c>
      <c r="H504">
        <v>71</v>
      </c>
      <c r="I504">
        <v>0</v>
      </c>
      <c r="J504">
        <v>2</v>
      </c>
      <c r="K504">
        <v>4</v>
      </c>
      <c r="L504">
        <v>8</v>
      </c>
      <c r="M504">
        <v>11</v>
      </c>
      <c r="N504">
        <v>19</v>
      </c>
      <c r="O504">
        <v>1</v>
      </c>
      <c r="P504">
        <v>4</v>
      </c>
      <c r="Q504">
        <v>0</v>
      </c>
      <c r="R504">
        <v>0</v>
      </c>
      <c r="S504">
        <v>0</v>
      </c>
      <c r="T504">
        <v>0</v>
      </c>
      <c r="U504">
        <v>120</v>
      </c>
      <c r="V504">
        <v>0</v>
      </c>
      <c r="W504">
        <v>476</v>
      </c>
      <c r="X504">
        <v>0</v>
      </c>
      <c r="Y504">
        <v>88</v>
      </c>
      <c r="Z504">
        <v>72</v>
      </c>
      <c r="AA504">
        <v>79</v>
      </c>
      <c r="AB504">
        <v>395</v>
      </c>
      <c r="AC504">
        <v>136</v>
      </c>
      <c r="AD504">
        <v>72</v>
      </c>
      <c r="AE504">
        <v>1</v>
      </c>
      <c r="AF504">
        <v>106</v>
      </c>
      <c r="AG504">
        <v>14</v>
      </c>
    </row>
    <row r="505" spans="1:33" x14ac:dyDescent="0.3">
      <c r="A505" t="s">
        <v>181</v>
      </c>
      <c r="B505" t="s">
        <v>183</v>
      </c>
      <c r="C505" t="s">
        <v>36</v>
      </c>
      <c r="D505" s="1">
        <v>2181</v>
      </c>
      <c r="E505">
        <v>0</v>
      </c>
      <c r="F505">
        <v>306</v>
      </c>
      <c r="G505">
        <v>1</v>
      </c>
      <c r="H505">
        <v>123</v>
      </c>
      <c r="I505">
        <v>0</v>
      </c>
      <c r="J505">
        <v>2</v>
      </c>
      <c r="K505">
        <v>0</v>
      </c>
      <c r="L505">
        <v>4</v>
      </c>
      <c r="M505">
        <v>4</v>
      </c>
      <c r="N505">
        <v>29</v>
      </c>
      <c r="O505">
        <v>0</v>
      </c>
      <c r="P505">
        <v>18</v>
      </c>
      <c r="Q505">
        <v>0</v>
      </c>
      <c r="R505">
        <v>0</v>
      </c>
      <c r="S505">
        <v>0</v>
      </c>
      <c r="T505">
        <v>1</v>
      </c>
      <c r="U505">
        <v>14</v>
      </c>
      <c r="V505">
        <v>0</v>
      </c>
      <c r="W505">
        <v>34</v>
      </c>
      <c r="X505">
        <v>0</v>
      </c>
      <c r="Y505">
        <v>168</v>
      </c>
      <c r="Z505">
        <v>100</v>
      </c>
      <c r="AA505">
        <v>103</v>
      </c>
      <c r="AB505">
        <v>466</v>
      </c>
      <c r="AC505">
        <v>650</v>
      </c>
      <c r="AD505">
        <v>63</v>
      </c>
      <c r="AE505">
        <v>4</v>
      </c>
      <c r="AF505">
        <v>88</v>
      </c>
      <c r="AG505">
        <v>3</v>
      </c>
    </row>
    <row r="506" spans="1:33" x14ac:dyDescent="0.3">
      <c r="A506" t="s">
        <v>181</v>
      </c>
      <c r="B506" t="s">
        <v>184</v>
      </c>
      <c r="C506" t="s">
        <v>32</v>
      </c>
      <c r="D506" s="1">
        <v>13897</v>
      </c>
      <c r="E506">
        <v>1</v>
      </c>
      <c r="F506">
        <v>387</v>
      </c>
      <c r="G506">
        <v>8</v>
      </c>
      <c r="H506">
        <v>186</v>
      </c>
      <c r="I506">
        <v>0</v>
      </c>
      <c r="J506">
        <v>16</v>
      </c>
      <c r="K506">
        <v>1</v>
      </c>
      <c r="L506">
        <v>38</v>
      </c>
      <c r="M506">
        <v>13</v>
      </c>
      <c r="N506">
        <v>100</v>
      </c>
      <c r="O506">
        <v>1</v>
      </c>
      <c r="P506">
        <v>58</v>
      </c>
      <c r="Q506">
        <v>1</v>
      </c>
      <c r="R506">
        <v>2</v>
      </c>
      <c r="S506">
        <v>0</v>
      </c>
      <c r="T506">
        <v>6</v>
      </c>
      <c r="U506">
        <v>797</v>
      </c>
      <c r="V506">
        <v>0</v>
      </c>
      <c r="W506" s="1">
        <v>4426</v>
      </c>
      <c r="X506">
        <v>39</v>
      </c>
      <c r="Y506">
        <v>670</v>
      </c>
      <c r="Z506">
        <v>800</v>
      </c>
      <c r="AA506">
        <v>635</v>
      </c>
      <c r="AB506" s="1">
        <v>2997</v>
      </c>
      <c r="AC506" s="1">
        <v>1784</v>
      </c>
      <c r="AD506">
        <v>251</v>
      </c>
      <c r="AE506">
        <v>10</v>
      </c>
      <c r="AF506">
        <v>590</v>
      </c>
      <c r="AG506">
        <v>80</v>
      </c>
    </row>
    <row r="507" spans="1:33" x14ac:dyDescent="0.3">
      <c r="A507" t="s">
        <v>181</v>
      </c>
      <c r="B507" t="s">
        <v>184</v>
      </c>
      <c r="C507" t="s">
        <v>35</v>
      </c>
      <c r="D507" s="1">
        <v>8832</v>
      </c>
      <c r="E507">
        <v>0</v>
      </c>
      <c r="F507">
        <v>137</v>
      </c>
      <c r="G507">
        <v>7</v>
      </c>
      <c r="H507">
        <v>97</v>
      </c>
      <c r="I507">
        <v>0</v>
      </c>
      <c r="J507">
        <v>11</v>
      </c>
      <c r="K507">
        <v>1</v>
      </c>
      <c r="L507">
        <v>30</v>
      </c>
      <c r="M507">
        <v>6</v>
      </c>
      <c r="N507">
        <v>35</v>
      </c>
      <c r="O507">
        <v>1</v>
      </c>
      <c r="P507">
        <v>13</v>
      </c>
      <c r="Q507">
        <v>1</v>
      </c>
      <c r="R507">
        <v>2</v>
      </c>
      <c r="S507">
        <v>0</v>
      </c>
      <c r="T507">
        <v>3</v>
      </c>
      <c r="U507">
        <v>763</v>
      </c>
      <c r="V507">
        <v>0</v>
      </c>
      <c r="W507" s="1">
        <v>4263</v>
      </c>
      <c r="X507">
        <v>39</v>
      </c>
      <c r="Y507">
        <v>261</v>
      </c>
      <c r="Z507">
        <v>357</v>
      </c>
      <c r="AA507">
        <v>221</v>
      </c>
      <c r="AB507" s="1">
        <v>1601</v>
      </c>
      <c r="AC507">
        <v>424</v>
      </c>
      <c r="AD507">
        <v>173</v>
      </c>
      <c r="AE507">
        <v>2</v>
      </c>
      <c r="AF507">
        <v>323</v>
      </c>
      <c r="AG507">
        <v>61</v>
      </c>
    </row>
    <row r="508" spans="1:33" x14ac:dyDescent="0.3">
      <c r="A508" t="s">
        <v>181</v>
      </c>
      <c r="B508" t="s">
        <v>184</v>
      </c>
      <c r="C508" t="s">
        <v>36</v>
      </c>
      <c r="D508" s="1">
        <v>5065</v>
      </c>
      <c r="E508">
        <v>1</v>
      </c>
      <c r="F508">
        <v>250</v>
      </c>
      <c r="G508">
        <v>1</v>
      </c>
      <c r="H508">
        <v>89</v>
      </c>
      <c r="I508">
        <v>0</v>
      </c>
      <c r="J508">
        <v>5</v>
      </c>
      <c r="K508">
        <v>0</v>
      </c>
      <c r="L508">
        <v>8</v>
      </c>
      <c r="M508">
        <v>7</v>
      </c>
      <c r="N508">
        <v>65</v>
      </c>
      <c r="O508">
        <v>0</v>
      </c>
      <c r="P508">
        <v>45</v>
      </c>
      <c r="Q508">
        <v>0</v>
      </c>
      <c r="R508">
        <v>0</v>
      </c>
      <c r="S508">
        <v>0</v>
      </c>
      <c r="T508">
        <v>3</v>
      </c>
      <c r="U508">
        <v>34</v>
      </c>
      <c r="V508">
        <v>0</v>
      </c>
      <c r="W508">
        <v>163</v>
      </c>
      <c r="X508">
        <v>0</v>
      </c>
      <c r="Y508">
        <v>409</v>
      </c>
      <c r="Z508">
        <v>443</v>
      </c>
      <c r="AA508">
        <v>414</v>
      </c>
      <c r="AB508" s="1">
        <v>1396</v>
      </c>
      <c r="AC508" s="1">
        <v>1360</v>
      </c>
      <c r="AD508">
        <v>78</v>
      </c>
      <c r="AE508">
        <v>8</v>
      </c>
      <c r="AF508">
        <v>267</v>
      </c>
      <c r="AG508">
        <v>19</v>
      </c>
    </row>
    <row r="509" spans="1:33" x14ac:dyDescent="0.3">
      <c r="A509" t="s">
        <v>181</v>
      </c>
      <c r="B509" t="s">
        <v>130</v>
      </c>
      <c r="C509" t="s">
        <v>32</v>
      </c>
      <c r="D509" s="1">
        <v>1045</v>
      </c>
      <c r="E509">
        <v>0</v>
      </c>
      <c r="F509">
        <v>12</v>
      </c>
      <c r="G509">
        <v>1</v>
      </c>
      <c r="H509">
        <v>4</v>
      </c>
      <c r="I509">
        <v>0</v>
      </c>
      <c r="J509">
        <v>11</v>
      </c>
      <c r="K509">
        <v>0</v>
      </c>
      <c r="L509">
        <v>6</v>
      </c>
      <c r="M509">
        <v>2</v>
      </c>
      <c r="N509">
        <v>1</v>
      </c>
      <c r="O509">
        <v>0</v>
      </c>
      <c r="P509">
        <v>5</v>
      </c>
      <c r="Q509">
        <v>0</v>
      </c>
      <c r="R509">
        <v>0</v>
      </c>
      <c r="S509">
        <v>0</v>
      </c>
      <c r="T509">
        <v>0</v>
      </c>
      <c r="U509">
        <v>43</v>
      </c>
      <c r="V509">
        <v>0</v>
      </c>
      <c r="W509">
        <v>221</v>
      </c>
      <c r="X509">
        <v>5</v>
      </c>
      <c r="Y509">
        <v>77</v>
      </c>
      <c r="Z509">
        <v>73</v>
      </c>
      <c r="AA509">
        <v>47</v>
      </c>
      <c r="AB509">
        <v>294</v>
      </c>
      <c r="AC509">
        <v>175</v>
      </c>
      <c r="AD509">
        <v>16</v>
      </c>
      <c r="AE509">
        <v>0</v>
      </c>
      <c r="AF509">
        <v>46</v>
      </c>
      <c r="AG509">
        <v>6</v>
      </c>
    </row>
    <row r="510" spans="1:33" x14ac:dyDescent="0.3">
      <c r="A510" t="s">
        <v>181</v>
      </c>
      <c r="B510" t="s">
        <v>130</v>
      </c>
      <c r="C510" t="s">
        <v>35</v>
      </c>
      <c r="D510">
        <v>585</v>
      </c>
      <c r="E510">
        <v>0</v>
      </c>
      <c r="F510">
        <v>4</v>
      </c>
      <c r="G510">
        <v>1</v>
      </c>
      <c r="H510">
        <v>3</v>
      </c>
      <c r="I510">
        <v>0</v>
      </c>
      <c r="J510">
        <v>11</v>
      </c>
      <c r="K510">
        <v>0</v>
      </c>
      <c r="L510">
        <v>5</v>
      </c>
      <c r="M510">
        <v>1</v>
      </c>
      <c r="N510">
        <v>1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43</v>
      </c>
      <c r="V510">
        <v>0</v>
      </c>
      <c r="W510">
        <v>217</v>
      </c>
      <c r="X510">
        <v>5</v>
      </c>
      <c r="Y510">
        <v>25</v>
      </c>
      <c r="Z510">
        <v>24</v>
      </c>
      <c r="AA510">
        <v>15</v>
      </c>
      <c r="AB510">
        <v>148</v>
      </c>
      <c r="AC510">
        <v>35</v>
      </c>
      <c r="AD510">
        <v>14</v>
      </c>
      <c r="AE510">
        <v>0</v>
      </c>
      <c r="AF510">
        <v>28</v>
      </c>
      <c r="AG510">
        <v>4</v>
      </c>
    </row>
    <row r="511" spans="1:33" x14ac:dyDescent="0.3">
      <c r="A511" t="s">
        <v>181</v>
      </c>
      <c r="B511" t="s">
        <v>130</v>
      </c>
      <c r="C511" t="s">
        <v>36</v>
      </c>
      <c r="D511">
        <v>460</v>
      </c>
      <c r="E511">
        <v>0</v>
      </c>
      <c r="F511">
        <v>8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</v>
      </c>
      <c r="X511">
        <v>0</v>
      </c>
      <c r="Y511">
        <v>52</v>
      </c>
      <c r="Z511">
        <v>49</v>
      </c>
      <c r="AA511">
        <v>32</v>
      </c>
      <c r="AB511">
        <v>146</v>
      </c>
      <c r="AC511">
        <v>140</v>
      </c>
      <c r="AD511">
        <v>2</v>
      </c>
      <c r="AE511">
        <v>0</v>
      </c>
      <c r="AF511">
        <v>18</v>
      </c>
      <c r="AG511">
        <v>2</v>
      </c>
    </row>
    <row r="512" spans="1:33" x14ac:dyDescent="0.3">
      <c r="A512" t="s">
        <v>181</v>
      </c>
      <c r="B512" t="s">
        <v>185</v>
      </c>
      <c r="C512" t="s">
        <v>32</v>
      </c>
      <c r="D512" s="1">
        <v>14794</v>
      </c>
      <c r="E512">
        <v>2</v>
      </c>
      <c r="F512" s="1">
        <v>3033</v>
      </c>
      <c r="G512">
        <v>8</v>
      </c>
      <c r="H512">
        <v>804</v>
      </c>
      <c r="I512">
        <v>0</v>
      </c>
      <c r="J512">
        <v>4</v>
      </c>
      <c r="K512">
        <v>2</v>
      </c>
      <c r="L512">
        <v>139</v>
      </c>
      <c r="M512">
        <v>28</v>
      </c>
      <c r="N512">
        <v>275</v>
      </c>
      <c r="O512">
        <v>4</v>
      </c>
      <c r="P512">
        <v>28</v>
      </c>
      <c r="Q512">
        <v>46</v>
      </c>
      <c r="R512">
        <v>0</v>
      </c>
      <c r="S512">
        <v>0</v>
      </c>
      <c r="T512">
        <v>5</v>
      </c>
      <c r="U512">
        <v>211</v>
      </c>
      <c r="V512">
        <v>3</v>
      </c>
      <c r="W512">
        <v>774</v>
      </c>
      <c r="X512">
        <v>142</v>
      </c>
      <c r="Y512">
        <v>904</v>
      </c>
      <c r="Z512" s="1">
        <v>1006</v>
      </c>
      <c r="AA512">
        <v>817</v>
      </c>
      <c r="AB512" s="1">
        <v>3614</v>
      </c>
      <c r="AC512" s="1">
        <v>1769</v>
      </c>
      <c r="AD512">
        <v>495</v>
      </c>
      <c r="AE512">
        <v>15</v>
      </c>
      <c r="AF512">
        <v>605</v>
      </c>
      <c r="AG512">
        <v>61</v>
      </c>
    </row>
    <row r="513" spans="1:33" x14ac:dyDescent="0.3">
      <c r="A513" t="s">
        <v>181</v>
      </c>
      <c r="B513" t="s">
        <v>185</v>
      </c>
      <c r="C513" t="s">
        <v>35</v>
      </c>
      <c r="D513" s="1">
        <v>7534</v>
      </c>
      <c r="E513">
        <v>1</v>
      </c>
      <c r="F513" s="1">
        <v>1596</v>
      </c>
      <c r="G513">
        <v>2</v>
      </c>
      <c r="H513">
        <v>367</v>
      </c>
      <c r="I513">
        <v>0</v>
      </c>
      <c r="J513">
        <v>2</v>
      </c>
      <c r="K513">
        <v>1</v>
      </c>
      <c r="L513">
        <v>118</v>
      </c>
      <c r="M513">
        <v>20</v>
      </c>
      <c r="N513">
        <v>123</v>
      </c>
      <c r="O513">
        <v>4</v>
      </c>
      <c r="P513">
        <v>9</v>
      </c>
      <c r="Q513">
        <v>34</v>
      </c>
      <c r="R513">
        <v>0</v>
      </c>
      <c r="S513">
        <v>0</v>
      </c>
      <c r="T513">
        <v>2</v>
      </c>
      <c r="U513">
        <v>182</v>
      </c>
      <c r="V513">
        <v>3</v>
      </c>
      <c r="W513">
        <v>713</v>
      </c>
      <c r="X513">
        <v>142</v>
      </c>
      <c r="Y513">
        <v>381</v>
      </c>
      <c r="Z513">
        <v>450</v>
      </c>
      <c r="AA513">
        <v>323</v>
      </c>
      <c r="AB513" s="1">
        <v>1967</v>
      </c>
      <c r="AC513">
        <v>408</v>
      </c>
      <c r="AD513">
        <v>317</v>
      </c>
      <c r="AE513">
        <v>5</v>
      </c>
      <c r="AF513">
        <v>321</v>
      </c>
      <c r="AG513">
        <v>43</v>
      </c>
    </row>
    <row r="514" spans="1:33" x14ac:dyDescent="0.3">
      <c r="A514" t="s">
        <v>181</v>
      </c>
      <c r="B514" t="s">
        <v>185</v>
      </c>
      <c r="C514" t="s">
        <v>36</v>
      </c>
      <c r="D514" s="1">
        <v>7260</v>
      </c>
      <c r="E514">
        <v>1</v>
      </c>
      <c r="F514" s="1">
        <v>1437</v>
      </c>
      <c r="G514">
        <v>6</v>
      </c>
      <c r="H514">
        <v>437</v>
      </c>
      <c r="I514">
        <v>0</v>
      </c>
      <c r="J514">
        <v>2</v>
      </c>
      <c r="K514">
        <v>1</v>
      </c>
      <c r="L514">
        <v>21</v>
      </c>
      <c r="M514">
        <v>8</v>
      </c>
      <c r="N514">
        <v>152</v>
      </c>
      <c r="O514">
        <v>0</v>
      </c>
      <c r="P514">
        <v>19</v>
      </c>
      <c r="Q514">
        <v>12</v>
      </c>
      <c r="R514">
        <v>0</v>
      </c>
      <c r="S514">
        <v>0</v>
      </c>
      <c r="T514">
        <v>3</v>
      </c>
      <c r="U514">
        <v>29</v>
      </c>
      <c r="V514">
        <v>0</v>
      </c>
      <c r="W514">
        <v>61</v>
      </c>
      <c r="X514">
        <v>0</v>
      </c>
      <c r="Y514">
        <v>523</v>
      </c>
      <c r="Z514">
        <v>556</v>
      </c>
      <c r="AA514">
        <v>494</v>
      </c>
      <c r="AB514" s="1">
        <v>1647</v>
      </c>
      <c r="AC514" s="1">
        <v>1361</v>
      </c>
      <c r="AD514">
        <v>178</v>
      </c>
      <c r="AE514">
        <v>10</v>
      </c>
      <c r="AF514">
        <v>284</v>
      </c>
      <c r="AG514">
        <v>18</v>
      </c>
    </row>
    <row r="515" spans="1:33" x14ac:dyDescent="0.3">
      <c r="A515" t="s">
        <v>181</v>
      </c>
      <c r="B515" t="s">
        <v>186</v>
      </c>
      <c r="C515" t="s">
        <v>32</v>
      </c>
      <c r="D515" s="1">
        <v>18083</v>
      </c>
      <c r="E515">
        <v>0</v>
      </c>
      <c r="F515">
        <v>606</v>
      </c>
      <c r="G515">
        <v>3</v>
      </c>
      <c r="H515">
        <v>259</v>
      </c>
      <c r="I515">
        <v>0</v>
      </c>
      <c r="J515">
        <v>7</v>
      </c>
      <c r="K515">
        <v>3</v>
      </c>
      <c r="L515">
        <v>41</v>
      </c>
      <c r="M515">
        <v>15</v>
      </c>
      <c r="N515">
        <v>112</v>
      </c>
      <c r="O515">
        <v>3</v>
      </c>
      <c r="P515">
        <v>53</v>
      </c>
      <c r="Q515">
        <v>2</v>
      </c>
      <c r="R515">
        <v>0</v>
      </c>
      <c r="S515">
        <v>0</v>
      </c>
      <c r="T515">
        <v>14</v>
      </c>
      <c r="U515">
        <v>157</v>
      </c>
      <c r="V515">
        <v>2</v>
      </c>
      <c r="W515">
        <v>562</v>
      </c>
      <c r="X515">
        <v>3</v>
      </c>
      <c r="Y515" s="1">
        <v>1028</v>
      </c>
      <c r="Z515" s="1">
        <v>1811</v>
      </c>
      <c r="AA515">
        <v>633</v>
      </c>
      <c r="AB515" s="1">
        <v>8231</v>
      </c>
      <c r="AC515" s="1">
        <v>2318</v>
      </c>
      <c r="AD515">
        <v>649</v>
      </c>
      <c r="AE515">
        <v>15</v>
      </c>
      <c r="AF515" s="1">
        <v>1472</v>
      </c>
      <c r="AG515">
        <v>84</v>
      </c>
    </row>
    <row r="516" spans="1:33" x14ac:dyDescent="0.3">
      <c r="A516" t="s">
        <v>181</v>
      </c>
      <c r="B516" t="s">
        <v>186</v>
      </c>
      <c r="C516" t="s">
        <v>35</v>
      </c>
      <c r="D516" s="1">
        <v>9247</v>
      </c>
      <c r="E516">
        <v>0</v>
      </c>
      <c r="F516">
        <v>218</v>
      </c>
      <c r="G516">
        <v>1</v>
      </c>
      <c r="H516">
        <v>129</v>
      </c>
      <c r="I516">
        <v>0</v>
      </c>
      <c r="J516">
        <v>6</v>
      </c>
      <c r="K516">
        <v>2</v>
      </c>
      <c r="L516">
        <v>30</v>
      </c>
      <c r="M516">
        <v>9</v>
      </c>
      <c r="N516">
        <v>42</v>
      </c>
      <c r="O516">
        <v>3</v>
      </c>
      <c r="P516">
        <v>16</v>
      </c>
      <c r="Q516">
        <v>2</v>
      </c>
      <c r="R516">
        <v>0</v>
      </c>
      <c r="S516">
        <v>0</v>
      </c>
      <c r="T516">
        <v>6</v>
      </c>
      <c r="U516">
        <v>124</v>
      </c>
      <c r="V516">
        <v>0</v>
      </c>
      <c r="W516">
        <v>504</v>
      </c>
      <c r="X516">
        <v>3</v>
      </c>
      <c r="Y516">
        <v>458</v>
      </c>
      <c r="Z516">
        <v>778</v>
      </c>
      <c r="AA516">
        <v>238</v>
      </c>
      <c r="AB516" s="1">
        <v>4588</v>
      </c>
      <c r="AC516">
        <v>779</v>
      </c>
      <c r="AD516">
        <v>443</v>
      </c>
      <c r="AE516">
        <v>5</v>
      </c>
      <c r="AF516">
        <v>805</v>
      </c>
      <c r="AG516">
        <v>58</v>
      </c>
    </row>
    <row r="517" spans="1:33" x14ac:dyDescent="0.3">
      <c r="A517" t="s">
        <v>181</v>
      </c>
      <c r="B517" t="s">
        <v>186</v>
      </c>
      <c r="C517" t="s">
        <v>36</v>
      </c>
      <c r="D517" s="1">
        <v>8836</v>
      </c>
      <c r="E517">
        <v>0</v>
      </c>
      <c r="F517">
        <v>388</v>
      </c>
      <c r="G517">
        <v>2</v>
      </c>
      <c r="H517">
        <v>130</v>
      </c>
      <c r="I517">
        <v>0</v>
      </c>
      <c r="J517">
        <v>1</v>
      </c>
      <c r="K517">
        <v>1</v>
      </c>
      <c r="L517">
        <v>11</v>
      </c>
      <c r="M517">
        <v>6</v>
      </c>
      <c r="N517">
        <v>70</v>
      </c>
      <c r="O517">
        <v>0</v>
      </c>
      <c r="P517">
        <v>37</v>
      </c>
      <c r="Q517">
        <v>0</v>
      </c>
      <c r="R517">
        <v>0</v>
      </c>
      <c r="S517">
        <v>0</v>
      </c>
      <c r="T517">
        <v>8</v>
      </c>
      <c r="U517">
        <v>33</v>
      </c>
      <c r="V517">
        <v>2</v>
      </c>
      <c r="W517">
        <v>58</v>
      </c>
      <c r="X517">
        <v>0</v>
      </c>
      <c r="Y517">
        <v>570</v>
      </c>
      <c r="Z517" s="1">
        <v>1033</v>
      </c>
      <c r="AA517">
        <v>395</v>
      </c>
      <c r="AB517" s="1">
        <v>3643</v>
      </c>
      <c r="AC517" s="1">
        <v>1539</v>
      </c>
      <c r="AD517">
        <v>206</v>
      </c>
      <c r="AE517">
        <v>10</v>
      </c>
      <c r="AF517">
        <v>667</v>
      </c>
      <c r="AG517">
        <v>26</v>
      </c>
    </row>
    <row r="518" spans="1:33" x14ac:dyDescent="0.3">
      <c r="A518" t="s">
        <v>181</v>
      </c>
      <c r="B518" t="s">
        <v>132</v>
      </c>
      <c r="C518" t="s">
        <v>32</v>
      </c>
      <c r="D518" s="1">
        <v>16642</v>
      </c>
      <c r="E518">
        <v>0</v>
      </c>
      <c r="F518">
        <v>305</v>
      </c>
      <c r="G518">
        <v>13</v>
      </c>
      <c r="H518">
        <v>106</v>
      </c>
      <c r="I518">
        <v>0</v>
      </c>
      <c r="J518">
        <v>7</v>
      </c>
      <c r="K518">
        <v>2</v>
      </c>
      <c r="L518">
        <v>152</v>
      </c>
      <c r="M518">
        <v>37</v>
      </c>
      <c r="N518">
        <v>98</v>
      </c>
      <c r="O518">
        <v>3</v>
      </c>
      <c r="P518">
        <v>114</v>
      </c>
      <c r="Q518">
        <v>4</v>
      </c>
      <c r="R518">
        <v>0</v>
      </c>
      <c r="S518">
        <v>7</v>
      </c>
      <c r="T518">
        <v>33</v>
      </c>
      <c r="U518">
        <v>970</v>
      </c>
      <c r="V518">
        <v>0</v>
      </c>
      <c r="W518" s="1">
        <v>5743</v>
      </c>
      <c r="X518">
        <v>0</v>
      </c>
      <c r="Y518">
        <v>789</v>
      </c>
      <c r="Z518">
        <v>806</v>
      </c>
      <c r="AA518">
        <v>884</v>
      </c>
      <c r="AB518" s="1">
        <v>2462</v>
      </c>
      <c r="AC518" s="1">
        <v>2501</v>
      </c>
      <c r="AD518">
        <v>884</v>
      </c>
      <c r="AE518">
        <v>22</v>
      </c>
      <c r="AF518">
        <v>548</v>
      </c>
      <c r="AG518">
        <v>152</v>
      </c>
    </row>
    <row r="519" spans="1:33" x14ac:dyDescent="0.3">
      <c r="A519" t="s">
        <v>181</v>
      </c>
      <c r="B519" t="s">
        <v>132</v>
      </c>
      <c r="C519" t="s">
        <v>35</v>
      </c>
      <c r="D519" s="1">
        <v>10832</v>
      </c>
      <c r="E519">
        <v>0</v>
      </c>
      <c r="F519">
        <v>125</v>
      </c>
      <c r="G519">
        <v>11</v>
      </c>
      <c r="H519">
        <v>50</v>
      </c>
      <c r="I519">
        <v>0</v>
      </c>
      <c r="J519">
        <v>5</v>
      </c>
      <c r="K519">
        <v>2</v>
      </c>
      <c r="L519">
        <v>124</v>
      </c>
      <c r="M519">
        <v>31</v>
      </c>
      <c r="N519">
        <v>44</v>
      </c>
      <c r="O519">
        <v>3</v>
      </c>
      <c r="P519">
        <v>40</v>
      </c>
      <c r="Q519">
        <v>3</v>
      </c>
      <c r="R519">
        <v>0</v>
      </c>
      <c r="S519">
        <v>7</v>
      </c>
      <c r="T519">
        <v>20</v>
      </c>
      <c r="U519">
        <v>905</v>
      </c>
      <c r="V519">
        <v>0</v>
      </c>
      <c r="W519" s="1">
        <v>5565</v>
      </c>
      <c r="X519">
        <v>0</v>
      </c>
      <c r="Y519">
        <v>293</v>
      </c>
      <c r="Z519">
        <v>364</v>
      </c>
      <c r="AA519">
        <v>300</v>
      </c>
      <c r="AB519" s="1">
        <v>1234</v>
      </c>
      <c r="AC519">
        <v>565</v>
      </c>
      <c r="AD519">
        <v>703</v>
      </c>
      <c r="AE519">
        <v>2</v>
      </c>
      <c r="AF519">
        <v>307</v>
      </c>
      <c r="AG519">
        <v>129</v>
      </c>
    </row>
    <row r="520" spans="1:33" x14ac:dyDescent="0.3">
      <c r="A520" t="s">
        <v>181</v>
      </c>
      <c r="B520" t="s">
        <v>132</v>
      </c>
      <c r="C520" t="s">
        <v>36</v>
      </c>
      <c r="D520" s="1">
        <v>5810</v>
      </c>
      <c r="E520">
        <v>0</v>
      </c>
      <c r="F520">
        <v>180</v>
      </c>
      <c r="G520">
        <v>2</v>
      </c>
      <c r="H520">
        <v>56</v>
      </c>
      <c r="I520">
        <v>0</v>
      </c>
      <c r="J520">
        <v>2</v>
      </c>
      <c r="K520">
        <v>0</v>
      </c>
      <c r="L520">
        <v>28</v>
      </c>
      <c r="M520">
        <v>6</v>
      </c>
      <c r="N520">
        <v>54</v>
      </c>
      <c r="O520">
        <v>0</v>
      </c>
      <c r="P520">
        <v>74</v>
      </c>
      <c r="Q520">
        <v>1</v>
      </c>
      <c r="R520">
        <v>0</v>
      </c>
      <c r="S520">
        <v>0</v>
      </c>
      <c r="T520">
        <v>13</v>
      </c>
      <c r="U520">
        <v>65</v>
      </c>
      <c r="V520">
        <v>0</v>
      </c>
      <c r="W520">
        <v>178</v>
      </c>
      <c r="X520">
        <v>0</v>
      </c>
      <c r="Y520">
        <v>496</v>
      </c>
      <c r="Z520">
        <v>442</v>
      </c>
      <c r="AA520">
        <v>584</v>
      </c>
      <c r="AB520" s="1">
        <v>1228</v>
      </c>
      <c r="AC520" s="1">
        <v>1936</v>
      </c>
      <c r="AD520">
        <v>181</v>
      </c>
      <c r="AE520">
        <v>20</v>
      </c>
      <c r="AF520">
        <v>241</v>
      </c>
      <c r="AG520">
        <v>23</v>
      </c>
    </row>
    <row r="521" spans="1:33" x14ac:dyDescent="0.3">
      <c r="A521" t="s">
        <v>181</v>
      </c>
      <c r="B521" t="s">
        <v>187</v>
      </c>
      <c r="C521" t="s">
        <v>32</v>
      </c>
      <c r="D521" s="1">
        <v>18979</v>
      </c>
      <c r="E521">
        <v>0</v>
      </c>
      <c r="F521" s="1">
        <v>1803</v>
      </c>
      <c r="G521">
        <v>0</v>
      </c>
      <c r="H521">
        <v>814</v>
      </c>
      <c r="I521">
        <v>0</v>
      </c>
      <c r="J521">
        <v>4</v>
      </c>
      <c r="K521">
        <v>10</v>
      </c>
      <c r="L521">
        <v>939</v>
      </c>
      <c r="M521">
        <v>103</v>
      </c>
      <c r="N521">
        <v>127</v>
      </c>
      <c r="O521">
        <v>109</v>
      </c>
      <c r="P521">
        <v>208</v>
      </c>
      <c r="Q521">
        <v>48</v>
      </c>
      <c r="R521">
        <v>1</v>
      </c>
      <c r="S521">
        <v>2</v>
      </c>
      <c r="T521">
        <v>12</v>
      </c>
      <c r="U521">
        <v>524</v>
      </c>
      <c r="V521">
        <v>1</v>
      </c>
      <c r="W521">
        <v>630</v>
      </c>
      <c r="X521">
        <v>27</v>
      </c>
      <c r="Y521" s="1">
        <v>1680</v>
      </c>
      <c r="Z521" s="1">
        <v>1048</v>
      </c>
      <c r="AA521" s="1">
        <v>3039</v>
      </c>
      <c r="AB521" s="1">
        <v>1886</v>
      </c>
      <c r="AC521" s="1">
        <v>1264</v>
      </c>
      <c r="AD521" s="1">
        <v>2414</v>
      </c>
      <c r="AE521">
        <v>9</v>
      </c>
      <c r="AF521" s="1">
        <v>1486</v>
      </c>
      <c r="AG521">
        <v>791</v>
      </c>
    </row>
    <row r="522" spans="1:33" x14ac:dyDescent="0.3">
      <c r="A522" t="s">
        <v>181</v>
      </c>
      <c r="B522" t="s">
        <v>187</v>
      </c>
      <c r="C522" t="s">
        <v>35</v>
      </c>
      <c r="D522" s="1">
        <v>10381</v>
      </c>
      <c r="E522">
        <v>0</v>
      </c>
      <c r="F522">
        <v>744</v>
      </c>
      <c r="G522">
        <v>0</v>
      </c>
      <c r="H522">
        <v>566</v>
      </c>
      <c r="I522">
        <v>0</v>
      </c>
      <c r="J522">
        <v>2</v>
      </c>
      <c r="K522">
        <v>8</v>
      </c>
      <c r="L522">
        <v>886</v>
      </c>
      <c r="M522">
        <v>96</v>
      </c>
      <c r="N522">
        <v>59</v>
      </c>
      <c r="O522">
        <v>76</v>
      </c>
      <c r="P522">
        <v>61</v>
      </c>
      <c r="Q522">
        <v>34</v>
      </c>
      <c r="R522">
        <v>1</v>
      </c>
      <c r="S522">
        <v>2</v>
      </c>
      <c r="T522">
        <v>9</v>
      </c>
      <c r="U522">
        <v>390</v>
      </c>
      <c r="V522">
        <v>1</v>
      </c>
      <c r="W522">
        <v>581</v>
      </c>
      <c r="X522">
        <v>27</v>
      </c>
      <c r="Y522">
        <v>747</v>
      </c>
      <c r="Z522">
        <v>507</v>
      </c>
      <c r="AA522" s="1">
        <v>1263</v>
      </c>
      <c r="AB522">
        <v>972</v>
      </c>
      <c r="AC522">
        <v>364</v>
      </c>
      <c r="AD522" s="1">
        <v>1775</v>
      </c>
      <c r="AE522">
        <v>4</v>
      </c>
      <c r="AF522">
        <v>780</v>
      </c>
      <c r="AG522">
        <v>426</v>
      </c>
    </row>
    <row r="523" spans="1:33" x14ac:dyDescent="0.3">
      <c r="A523" t="s">
        <v>181</v>
      </c>
      <c r="B523" t="s">
        <v>187</v>
      </c>
      <c r="C523" t="s">
        <v>36</v>
      </c>
      <c r="D523" s="1">
        <v>8598</v>
      </c>
      <c r="E523">
        <v>0</v>
      </c>
      <c r="F523" s="1">
        <v>1059</v>
      </c>
      <c r="G523">
        <v>0</v>
      </c>
      <c r="H523">
        <v>248</v>
      </c>
      <c r="I523">
        <v>0</v>
      </c>
      <c r="J523">
        <v>2</v>
      </c>
      <c r="K523">
        <v>2</v>
      </c>
      <c r="L523">
        <v>53</v>
      </c>
      <c r="M523">
        <v>7</v>
      </c>
      <c r="N523">
        <v>68</v>
      </c>
      <c r="O523">
        <v>33</v>
      </c>
      <c r="P523">
        <v>147</v>
      </c>
      <c r="Q523">
        <v>14</v>
      </c>
      <c r="R523">
        <v>0</v>
      </c>
      <c r="S523">
        <v>0</v>
      </c>
      <c r="T523">
        <v>3</v>
      </c>
      <c r="U523">
        <v>134</v>
      </c>
      <c r="V523">
        <v>0</v>
      </c>
      <c r="W523">
        <v>49</v>
      </c>
      <c r="X523">
        <v>0</v>
      </c>
      <c r="Y523">
        <v>933</v>
      </c>
      <c r="Z523">
        <v>541</v>
      </c>
      <c r="AA523" s="1">
        <v>1776</v>
      </c>
      <c r="AB523">
        <v>914</v>
      </c>
      <c r="AC523">
        <v>900</v>
      </c>
      <c r="AD523">
        <v>639</v>
      </c>
      <c r="AE523">
        <v>5</v>
      </c>
      <c r="AF523">
        <v>706</v>
      </c>
      <c r="AG523">
        <v>365</v>
      </c>
    </row>
    <row r="524" spans="1:33" x14ac:dyDescent="0.3">
      <c r="A524" t="s">
        <v>181</v>
      </c>
      <c r="B524" t="s">
        <v>188</v>
      </c>
      <c r="C524" t="s">
        <v>32</v>
      </c>
      <c r="D524">
        <v>670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</v>
      </c>
      <c r="Q524">
        <v>0</v>
      </c>
      <c r="R524">
        <v>0</v>
      </c>
      <c r="S524">
        <v>0</v>
      </c>
      <c r="T524">
        <v>0</v>
      </c>
      <c r="U524">
        <v>6</v>
      </c>
      <c r="V524">
        <v>0</v>
      </c>
      <c r="W524">
        <v>578</v>
      </c>
      <c r="X524">
        <v>0</v>
      </c>
      <c r="Y524">
        <v>12</v>
      </c>
      <c r="Z524">
        <v>1</v>
      </c>
      <c r="AA524">
        <v>2</v>
      </c>
      <c r="AB524">
        <v>11</v>
      </c>
      <c r="AC524">
        <v>34</v>
      </c>
      <c r="AD524">
        <v>3</v>
      </c>
      <c r="AE524">
        <v>0</v>
      </c>
      <c r="AF524">
        <v>8</v>
      </c>
      <c r="AG524">
        <v>10</v>
      </c>
    </row>
    <row r="525" spans="1:33" x14ac:dyDescent="0.3">
      <c r="A525" t="s">
        <v>181</v>
      </c>
      <c r="B525" t="s">
        <v>188</v>
      </c>
      <c r="C525" t="s">
        <v>35</v>
      </c>
      <c r="D525">
        <v>619</v>
      </c>
      <c r="E525">
        <v>0</v>
      </c>
      <c r="F525" s="1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6</v>
      </c>
      <c r="V525">
        <v>0</v>
      </c>
      <c r="W525">
        <v>578</v>
      </c>
      <c r="X525">
        <v>0</v>
      </c>
      <c r="Y525">
        <v>5</v>
      </c>
      <c r="Z525">
        <v>0</v>
      </c>
      <c r="AA525" s="1">
        <v>0</v>
      </c>
      <c r="AB525">
        <v>8</v>
      </c>
      <c r="AC525">
        <v>2</v>
      </c>
      <c r="AD525">
        <v>3</v>
      </c>
      <c r="AE525">
        <v>0</v>
      </c>
      <c r="AF525">
        <v>5</v>
      </c>
      <c r="AG525">
        <v>10</v>
      </c>
    </row>
    <row r="526" spans="1:33" x14ac:dyDescent="0.3">
      <c r="A526" t="s">
        <v>181</v>
      </c>
      <c r="B526" t="s">
        <v>188</v>
      </c>
      <c r="C526" t="s">
        <v>36</v>
      </c>
      <c r="D526">
        <v>51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7</v>
      </c>
      <c r="Z526">
        <v>1</v>
      </c>
      <c r="AA526">
        <v>2</v>
      </c>
      <c r="AB526">
        <v>3</v>
      </c>
      <c r="AC526">
        <v>32</v>
      </c>
      <c r="AD526">
        <v>0</v>
      </c>
      <c r="AE526">
        <v>0</v>
      </c>
      <c r="AF526">
        <v>3</v>
      </c>
      <c r="AG526">
        <v>0</v>
      </c>
    </row>
    <row r="527" spans="1:33" x14ac:dyDescent="0.3">
      <c r="A527" t="s">
        <v>181</v>
      </c>
      <c r="B527" t="s">
        <v>138</v>
      </c>
      <c r="C527" t="s">
        <v>32</v>
      </c>
      <c r="D527" s="1">
        <v>5733</v>
      </c>
      <c r="E527">
        <v>0</v>
      </c>
      <c r="F527">
        <v>145</v>
      </c>
      <c r="G527">
        <v>0</v>
      </c>
      <c r="H527">
        <v>143</v>
      </c>
      <c r="I527">
        <v>0</v>
      </c>
      <c r="J527">
        <v>6</v>
      </c>
      <c r="K527">
        <v>44</v>
      </c>
      <c r="L527">
        <v>109</v>
      </c>
      <c r="M527">
        <v>17</v>
      </c>
      <c r="N527">
        <v>41</v>
      </c>
      <c r="O527">
        <v>3</v>
      </c>
      <c r="P527">
        <v>46</v>
      </c>
      <c r="Q527">
        <v>2</v>
      </c>
      <c r="R527">
        <v>125</v>
      </c>
      <c r="S527">
        <v>2</v>
      </c>
      <c r="T527">
        <v>47</v>
      </c>
      <c r="U527">
        <v>249</v>
      </c>
      <c r="V527">
        <v>0</v>
      </c>
      <c r="W527">
        <v>375</v>
      </c>
      <c r="X527">
        <v>83</v>
      </c>
      <c r="Y527">
        <v>297</v>
      </c>
      <c r="Z527">
        <v>642</v>
      </c>
      <c r="AA527">
        <v>280</v>
      </c>
      <c r="AB527" s="1">
        <v>1606</v>
      </c>
      <c r="AC527">
        <v>959</v>
      </c>
      <c r="AD527">
        <v>203</v>
      </c>
      <c r="AE527">
        <v>12</v>
      </c>
      <c r="AF527">
        <v>274</v>
      </c>
      <c r="AG527">
        <v>23</v>
      </c>
    </row>
    <row r="528" spans="1:33" x14ac:dyDescent="0.3">
      <c r="A528" t="s">
        <v>181</v>
      </c>
      <c r="B528" t="s">
        <v>138</v>
      </c>
      <c r="C528" t="s">
        <v>35</v>
      </c>
      <c r="D528" s="1">
        <v>2873</v>
      </c>
      <c r="E528">
        <v>0</v>
      </c>
      <c r="F528">
        <v>70</v>
      </c>
      <c r="G528">
        <v>0</v>
      </c>
      <c r="H528">
        <v>16</v>
      </c>
      <c r="I528">
        <v>0</v>
      </c>
      <c r="J528">
        <v>4</v>
      </c>
      <c r="K528">
        <v>41</v>
      </c>
      <c r="L528">
        <v>97</v>
      </c>
      <c r="M528">
        <v>10</v>
      </c>
      <c r="N528">
        <v>22</v>
      </c>
      <c r="O528">
        <v>2</v>
      </c>
      <c r="P528">
        <v>12</v>
      </c>
      <c r="Q528">
        <v>2</v>
      </c>
      <c r="R528">
        <v>123</v>
      </c>
      <c r="S528">
        <v>2</v>
      </c>
      <c r="T528">
        <v>14</v>
      </c>
      <c r="U528">
        <v>183</v>
      </c>
      <c r="V528">
        <v>0</v>
      </c>
      <c r="W528">
        <v>366</v>
      </c>
      <c r="X528">
        <v>83</v>
      </c>
      <c r="Y528">
        <v>124</v>
      </c>
      <c r="Z528">
        <v>315</v>
      </c>
      <c r="AA528">
        <v>103</v>
      </c>
      <c r="AB528">
        <v>812</v>
      </c>
      <c r="AC528">
        <v>190</v>
      </c>
      <c r="AD528">
        <v>120</v>
      </c>
      <c r="AE528">
        <v>1</v>
      </c>
      <c r="AF528">
        <v>143</v>
      </c>
      <c r="AG528">
        <v>18</v>
      </c>
    </row>
    <row r="529" spans="1:33" x14ac:dyDescent="0.3">
      <c r="A529" t="s">
        <v>181</v>
      </c>
      <c r="B529" t="s">
        <v>138</v>
      </c>
      <c r="C529" t="s">
        <v>36</v>
      </c>
      <c r="D529" s="1">
        <v>2860</v>
      </c>
      <c r="E529">
        <v>0</v>
      </c>
      <c r="F529">
        <v>75</v>
      </c>
      <c r="G529">
        <v>0</v>
      </c>
      <c r="H529">
        <v>127</v>
      </c>
      <c r="I529">
        <v>0</v>
      </c>
      <c r="J529">
        <v>2</v>
      </c>
      <c r="K529">
        <v>3</v>
      </c>
      <c r="L529">
        <v>12</v>
      </c>
      <c r="M529">
        <v>7</v>
      </c>
      <c r="N529">
        <v>19</v>
      </c>
      <c r="O529">
        <v>1</v>
      </c>
      <c r="P529">
        <v>34</v>
      </c>
      <c r="Q529">
        <v>0</v>
      </c>
      <c r="R529">
        <v>2</v>
      </c>
      <c r="S529">
        <v>0</v>
      </c>
      <c r="T529">
        <v>33</v>
      </c>
      <c r="U529">
        <v>66</v>
      </c>
      <c r="V529">
        <v>0</v>
      </c>
      <c r="W529">
        <v>9</v>
      </c>
      <c r="X529">
        <v>0</v>
      </c>
      <c r="Y529">
        <v>173</v>
      </c>
      <c r="Z529">
        <v>327</v>
      </c>
      <c r="AA529">
        <v>177</v>
      </c>
      <c r="AB529">
        <v>794</v>
      </c>
      <c r="AC529">
        <v>769</v>
      </c>
      <c r="AD529">
        <v>83</v>
      </c>
      <c r="AE529">
        <v>11</v>
      </c>
      <c r="AF529">
        <v>131</v>
      </c>
      <c r="AG529">
        <v>5</v>
      </c>
    </row>
    <row r="530" spans="1:33" x14ac:dyDescent="0.3">
      <c r="A530" t="s">
        <v>189</v>
      </c>
      <c r="B530" t="s">
        <v>32</v>
      </c>
      <c r="C530" t="s">
        <v>32</v>
      </c>
      <c r="D530" s="1">
        <v>65698</v>
      </c>
      <c r="E530">
        <v>0</v>
      </c>
      <c r="F530" s="1">
        <v>4232</v>
      </c>
      <c r="G530">
        <v>4</v>
      </c>
      <c r="H530" s="1">
        <v>1925</v>
      </c>
      <c r="I530">
        <v>0</v>
      </c>
      <c r="J530">
        <v>65</v>
      </c>
      <c r="K530">
        <v>22</v>
      </c>
      <c r="L530">
        <v>265</v>
      </c>
      <c r="M530">
        <v>131</v>
      </c>
      <c r="N530">
        <v>447</v>
      </c>
      <c r="O530">
        <v>18</v>
      </c>
      <c r="P530">
        <v>413</v>
      </c>
      <c r="Q530">
        <v>87</v>
      </c>
      <c r="R530">
        <v>0</v>
      </c>
      <c r="S530">
        <v>0</v>
      </c>
      <c r="T530">
        <v>29</v>
      </c>
      <c r="U530" s="1">
        <v>3953</v>
      </c>
      <c r="V530" s="1">
        <v>9992</v>
      </c>
      <c r="W530" s="1">
        <v>23984</v>
      </c>
      <c r="X530" s="1">
        <v>3948</v>
      </c>
      <c r="Y530" s="1">
        <v>2901</v>
      </c>
      <c r="Z530">
        <v>755</v>
      </c>
      <c r="AA530" s="1">
        <v>1808</v>
      </c>
      <c r="AB530" s="1">
        <v>2143</v>
      </c>
      <c r="AC530" s="1">
        <v>5977</v>
      </c>
      <c r="AD530" s="1">
        <v>1760</v>
      </c>
      <c r="AE530">
        <v>12</v>
      </c>
      <c r="AF530">
        <v>495</v>
      </c>
      <c r="AG530">
        <v>332</v>
      </c>
    </row>
    <row r="531" spans="1:33" x14ac:dyDescent="0.3">
      <c r="A531" t="s">
        <v>189</v>
      </c>
      <c r="B531" t="s">
        <v>32</v>
      </c>
      <c r="C531" t="s">
        <v>35</v>
      </c>
      <c r="D531" s="1">
        <f>D534+D537+D540+D543+D546+D549+D552+D555+D558+D561+D564+D567+D570+D573+D576+D579+D582+D585+D588+D591+D594+D597</f>
        <v>46776</v>
      </c>
      <c r="E531" s="1">
        <f t="shared" ref="E531:AG531" si="22">E534+E537+E540+E543+E546+E549+E552+E555+E558+E561+E564+E567+E570+E573+E576+E579+E582+E585+E588+E591+E594+E597</f>
        <v>0</v>
      </c>
      <c r="F531" s="1">
        <f t="shared" si="22"/>
        <v>2390</v>
      </c>
      <c r="G531" s="1">
        <f t="shared" si="22"/>
        <v>3</v>
      </c>
      <c r="H531" s="1">
        <f t="shared" si="22"/>
        <v>1299</v>
      </c>
      <c r="I531" s="1">
        <f t="shared" si="22"/>
        <v>0</v>
      </c>
      <c r="J531" s="1">
        <f t="shared" si="22"/>
        <v>54</v>
      </c>
      <c r="K531" s="1">
        <f t="shared" si="22"/>
        <v>22</v>
      </c>
      <c r="L531" s="1">
        <f t="shared" si="22"/>
        <v>239</v>
      </c>
      <c r="M531" s="1">
        <f t="shared" si="22"/>
        <v>124</v>
      </c>
      <c r="N531" s="1">
        <f t="shared" si="22"/>
        <v>290</v>
      </c>
      <c r="O531" s="1">
        <f t="shared" si="22"/>
        <v>11</v>
      </c>
      <c r="P531" s="1">
        <f t="shared" si="22"/>
        <v>99</v>
      </c>
      <c r="Q531" s="1">
        <f t="shared" si="22"/>
        <v>68</v>
      </c>
      <c r="R531" s="1">
        <f t="shared" si="22"/>
        <v>0</v>
      </c>
      <c r="S531" s="1">
        <f t="shared" si="22"/>
        <v>0</v>
      </c>
      <c r="T531" s="1">
        <f t="shared" si="22"/>
        <v>13</v>
      </c>
      <c r="U531" s="1">
        <f t="shared" si="22"/>
        <v>3863</v>
      </c>
      <c r="V531" s="1">
        <f t="shared" si="22"/>
        <v>6680</v>
      </c>
      <c r="W531" s="1">
        <f t="shared" si="22"/>
        <v>22337</v>
      </c>
      <c r="X531" s="1">
        <f t="shared" si="22"/>
        <v>3948</v>
      </c>
      <c r="Y531" s="1">
        <f t="shared" si="22"/>
        <v>1092</v>
      </c>
      <c r="Z531" s="1">
        <f t="shared" si="22"/>
        <v>413</v>
      </c>
      <c r="AA531" s="1">
        <f t="shared" si="22"/>
        <v>472</v>
      </c>
      <c r="AB531" s="1">
        <f t="shared" si="22"/>
        <v>719</v>
      </c>
      <c r="AC531" s="1">
        <f t="shared" si="22"/>
        <v>633</v>
      </c>
      <c r="AD531" s="1">
        <f t="shared" si="22"/>
        <v>1431</v>
      </c>
      <c r="AE531" s="1">
        <f t="shared" si="22"/>
        <v>4</v>
      </c>
      <c r="AF531" s="1">
        <f t="shared" si="22"/>
        <v>291</v>
      </c>
      <c r="AG531" s="1">
        <f t="shared" si="22"/>
        <v>281</v>
      </c>
    </row>
    <row r="532" spans="1:33" x14ac:dyDescent="0.3">
      <c r="A532" t="s">
        <v>189</v>
      </c>
      <c r="B532" t="s">
        <v>32</v>
      </c>
      <c r="C532" t="s">
        <v>36</v>
      </c>
      <c r="D532" s="1">
        <f>D535+D538+D541+D544+D547+D550+D553+D556+D559+D562+D565+D568+D571+D574+D577+D580+D583+D586+D589+D592+D595+D598</f>
        <v>18922</v>
      </c>
      <c r="E532" s="1">
        <f t="shared" ref="E532:AG532" si="23">E535+E538+E541+E544+E547+E550+E553+E556+E559+E562+E565+E568+E571+E574+E577+E580+E583+E586+E589+E592+E595+E598</f>
        <v>0</v>
      </c>
      <c r="F532" s="1">
        <f t="shared" si="23"/>
        <v>1842</v>
      </c>
      <c r="G532" s="1">
        <f t="shared" si="23"/>
        <v>1</v>
      </c>
      <c r="H532" s="1">
        <f t="shared" si="23"/>
        <v>626</v>
      </c>
      <c r="I532" s="1">
        <f t="shared" si="23"/>
        <v>0</v>
      </c>
      <c r="J532" s="1">
        <f t="shared" si="23"/>
        <v>11</v>
      </c>
      <c r="K532" s="1">
        <f t="shared" si="23"/>
        <v>0</v>
      </c>
      <c r="L532" s="1">
        <f t="shared" si="23"/>
        <v>26</v>
      </c>
      <c r="M532" s="1">
        <f t="shared" si="23"/>
        <v>7</v>
      </c>
      <c r="N532" s="1">
        <f t="shared" si="23"/>
        <v>157</v>
      </c>
      <c r="O532" s="1">
        <f t="shared" si="23"/>
        <v>7</v>
      </c>
      <c r="P532" s="1">
        <f t="shared" si="23"/>
        <v>314</v>
      </c>
      <c r="Q532" s="1">
        <f t="shared" si="23"/>
        <v>19</v>
      </c>
      <c r="R532" s="1">
        <f t="shared" si="23"/>
        <v>0</v>
      </c>
      <c r="S532" s="1">
        <f t="shared" si="23"/>
        <v>0</v>
      </c>
      <c r="T532" s="1">
        <f t="shared" si="23"/>
        <v>16</v>
      </c>
      <c r="U532" s="1">
        <f t="shared" si="23"/>
        <v>90</v>
      </c>
      <c r="V532" s="1">
        <f t="shared" si="23"/>
        <v>3312</v>
      </c>
      <c r="W532" s="1">
        <f t="shared" si="23"/>
        <v>1647</v>
      </c>
      <c r="X532" s="1">
        <f t="shared" si="23"/>
        <v>0</v>
      </c>
      <c r="Y532" s="1">
        <f t="shared" si="23"/>
        <v>1809</v>
      </c>
      <c r="Z532" s="1">
        <f t="shared" si="23"/>
        <v>342</v>
      </c>
      <c r="AA532" s="1">
        <f t="shared" si="23"/>
        <v>1336</v>
      </c>
      <c r="AB532" s="1">
        <f t="shared" si="23"/>
        <v>1424</v>
      </c>
      <c r="AC532" s="1">
        <f t="shared" si="23"/>
        <v>5344</v>
      </c>
      <c r="AD532" s="1">
        <f t="shared" si="23"/>
        <v>329</v>
      </c>
      <c r="AE532" s="1">
        <f t="shared" si="23"/>
        <v>8</v>
      </c>
      <c r="AF532" s="1">
        <f t="shared" si="23"/>
        <v>204</v>
      </c>
      <c r="AG532" s="1">
        <f t="shared" si="23"/>
        <v>51</v>
      </c>
    </row>
    <row r="533" spans="1:33" x14ac:dyDescent="0.3">
      <c r="A533" t="s">
        <v>189</v>
      </c>
      <c r="B533" t="s">
        <v>190</v>
      </c>
      <c r="C533" t="s">
        <v>32</v>
      </c>
      <c r="D533">
        <v>747</v>
      </c>
      <c r="E533">
        <v>0</v>
      </c>
      <c r="F533">
        <v>1</v>
      </c>
      <c r="G533">
        <v>0</v>
      </c>
      <c r="H533">
        <v>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10</v>
      </c>
      <c r="Q533">
        <v>0</v>
      </c>
      <c r="R533">
        <v>0</v>
      </c>
      <c r="S533">
        <v>0</v>
      </c>
      <c r="T533">
        <v>0</v>
      </c>
      <c r="U533">
        <v>26</v>
      </c>
      <c r="V533">
        <v>136</v>
      </c>
      <c r="W533">
        <v>318</v>
      </c>
      <c r="X533" s="1">
        <v>0</v>
      </c>
      <c r="Y533">
        <v>53</v>
      </c>
      <c r="Z533">
        <v>5</v>
      </c>
      <c r="AA533">
        <v>6</v>
      </c>
      <c r="AB533">
        <v>36</v>
      </c>
      <c r="AC533">
        <v>125</v>
      </c>
      <c r="AD533">
        <v>18</v>
      </c>
      <c r="AE533">
        <v>0</v>
      </c>
      <c r="AF533">
        <v>5</v>
      </c>
      <c r="AG533">
        <v>1</v>
      </c>
    </row>
    <row r="534" spans="1:33" x14ac:dyDescent="0.3">
      <c r="A534" t="s">
        <v>189</v>
      </c>
      <c r="B534" t="s">
        <v>190</v>
      </c>
      <c r="C534" t="s">
        <v>35</v>
      </c>
      <c r="D534">
        <v>422</v>
      </c>
      <c r="E534">
        <v>0</v>
      </c>
      <c r="F534" s="1">
        <v>0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24</v>
      </c>
      <c r="V534">
        <v>82</v>
      </c>
      <c r="W534">
        <v>257</v>
      </c>
      <c r="X534" s="1">
        <v>0</v>
      </c>
      <c r="Y534">
        <v>20</v>
      </c>
      <c r="Z534">
        <v>1</v>
      </c>
      <c r="AA534">
        <v>4</v>
      </c>
      <c r="AB534">
        <v>8</v>
      </c>
      <c r="AC534">
        <v>7</v>
      </c>
      <c r="AD534">
        <v>13</v>
      </c>
      <c r="AE534">
        <v>0</v>
      </c>
      <c r="AF534">
        <v>2</v>
      </c>
      <c r="AG534">
        <v>0</v>
      </c>
    </row>
    <row r="535" spans="1:33" x14ac:dyDescent="0.3">
      <c r="A535" t="s">
        <v>189</v>
      </c>
      <c r="B535" t="s">
        <v>190</v>
      </c>
      <c r="C535" t="s">
        <v>36</v>
      </c>
      <c r="D535">
        <v>325</v>
      </c>
      <c r="E535">
        <v>0</v>
      </c>
      <c r="F535">
        <v>1</v>
      </c>
      <c r="G535">
        <v>0</v>
      </c>
      <c r="H535">
        <v>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54</v>
      </c>
      <c r="W535">
        <v>61</v>
      </c>
      <c r="X535" s="1">
        <v>0</v>
      </c>
      <c r="Y535">
        <v>33</v>
      </c>
      <c r="Z535">
        <v>4</v>
      </c>
      <c r="AA535">
        <v>2</v>
      </c>
      <c r="AB535">
        <v>28</v>
      </c>
      <c r="AC535">
        <v>118</v>
      </c>
      <c r="AD535">
        <v>5</v>
      </c>
      <c r="AE535">
        <v>0</v>
      </c>
      <c r="AF535">
        <v>3</v>
      </c>
      <c r="AG535">
        <v>1</v>
      </c>
    </row>
    <row r="536" spans="1:33" x14ac:dyDescent="0.3">
      <c r="A536" t="s">
        <v>189</v>
      </c>
      <c r="B536" t="s">
        <v>191</v>
      </c>
      <c r="C536" t="s">
        <v>32</v>
      </c>
      <c r="D536" s="1">
        <v>2842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8</v>
      </c>
      <c r="Q536">
        <v>0</v>
      </c>
      <c r="R536">
        <v>0</v>
      </c>
      <c r="S536">
        <v>0</v>
      </c>
      <c r="T536">
        <v>0</v>
      </c>
      <c r="U536">
        <v>84</v>
      </c>
      <c r="V536">
        <v>974</v>
      </c>
      <c r="W536" s="1">
        <v>1370</v>
      </c>
      <c r="X536">
        <v>11</v>
      </c>
      <c r="Y536">
        <v>81</v>
      </c>
      <c r="Z536">
        <v>24</v>
      </c>
      <c r="AA536">
        <v>28</v>
      </c>
      <c r="AB536">
        <v>19</v>
      </c>
      <c r="AC536">
        <v>213</v>
      </c>
      <c r="AD536">
        <v>13</v>
      </c>
      <c r="AE536">
        <v>1</v>
      </c>
      <c r="AF536">
        <v>6</v>
      </c>
      <c r="AG536">
        <v>7</v>
      </c>
    </row>
    <row r="537" spans="1:33" x14ac:dyDescent="0.3">
      <c r="A537" t="s">
        <v>189</v>
      </c>
      <c r="B537" t="s">
        <v>191</v>
      </c>
      <c r="C537" t="s">
        <v>35</v>
      </c>
      <c r="D537" s="1">
        <v>2164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4</v>
      </c>
      <c r="Q537">
        <v>0</v>
      </c>
      <c r="R537">
        <v>0</v>
      </c>
      <c r="S537">
        <v>0</v>
      </c>
      <c r="T537">
        <v>0</v>
      </c>
      <c r="U537">
        <v>84</v>
      </c>
      <c r="V537">
        <v>670</v>
      </c>
      <c r="W537" s="1">
        <v>1310</v>
      </c>
      <c r="X537">
        <v>11</v>
      </c>
      <c r="Y537">
        <v>30</v>
      </c>
      <c r="Z537">
        <v>11</v>
      </c>
      <c r="AA537">
        <v>6</v>
      </c>
      <c r="AB537">
        <v>2</v>
      </c>
      <c r="AC537">
        <v>16</v>
      </c>
      <c r="AD537">
        <v>8</v>
      </c>
      <c r="AE537">
        <v>1</v>
      </c>
      <c r="AF537">
        <v>4</v>
      </c>
      <c r="AG537">
        <v>5</v>
      </c>
    </row>
    <row r="538" spans="1:33" x14ac:dyDescent="0.3">
      <c r="A538" t="s">
        <v>189</v>
      </c>
      <c r="B538" t="s">
        <v>191</v>
      </c>
      <c r="C538" t="s">
        <v>36</v>
      </c>
      <c r="D538">
        <v>678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304</v>
      </c>
      <c r="W538">
        <v>60</v>
      </c>
      <c r="X538" s="1">
        <v>0</v>
      </c>
      <c r="Y538">
        <v>51</v>
      </c>
      <c r="Z538">
        <v>13</v>
      </c>
      <c r="AA538">
        <v>22</v>
      </c>
      <c r="AB538">
        <v>17</v>
      </c>
      <c r="AC538">
        <v>197</v>
      </c>
      <c r="AD538">
        <v>5</v>
      </c>
      <c r="AE538">
        <v>0</v>
      </c>
      <c r="AF538">
        <v>2</v>
      </c>
      <c r="AG538">
        <v>2</v>
      </c>
    </row>
    <row r="539" spans="1:33" x14ac:dyDescent="0.3">
      <c r="A539" t="s">
        <v>189</v>
      </c>
      <c r="B539" t="s">
        <v>192</v>
      </c>
      <c r="C539" t="s">
        <v>32</v>
      </c>
      <c r="D539">
        <v>646</v>
      </c>
      <c r="E539">
        <v>0</v>
      </c>
      <c r="F539">
        <v>16</v>
      </c>
      <c r="G539">
        <v>0</v>
      </c>
      <c r="H539">
        <v>33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9</v>
      </c>
      <c r="Q539">
        <v>0</v>
      </c>
      <c r="R539">
        <v>0</v>
      </c>
      <c r="S539">
        <v>0</v>
      </c>
      <c r="T539">
        <v>0</v>
      </c>
      <c r="U539">
        <v>54</v>
      </c>
      <c r="V539">
        <v>40</v>
      </c>
      <c r="W539">
        <v>317</v>
      </c>
      <c r="X539" s="1">
        <v>0</v>
      </c>
      <c r="Y539">
        <v>28</v>
      </c>
      <c r="Z539">
        <v>9</v>
      </c>
      <c r="AA539">
        <v>25</v>
      </c>
      <c r="AB539">
        <v>35</v>
      </c>
      <c r="AC539">
        <v>63</v>
      </c>
      <c r="AD539">
        <v>7</v>
      </c>
      <c r="AE539">
        <v>0</v>
      </c>
      <c r="AF539">
        <v>8</v>
      </c>
      <c r="AG539">
        <v>1</v>
      </c>
    </row>
    <row r="540" spans="1:33" x14ac:dyDescent="0.3">
      <c r="A540" t="s">
        <v>189</v>
      </c>
      <c r="B540" t="s">
        <v>192</v>
      </c>
      <c r="C540" t="s">
        <v>35</v>
      </c>
      <c r="D540">
        <v>411</v>
      </c>
      <c r="E540">
        <v>0</v>
      </c>
      <c r="F540">
        <v>13</v>
      </c>
      <c r="G540">
        <v>0</v>
      </c>
      <c r="H540">
        <v>25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2</v>
      </c>
      <c r="Q540">
        <v>0</v>
      </c>
      <c r="R540">
        <v>0</v>
      </c>
      <c r="S540">
        <v>0</v>
      </c>
      <c r="T540">
        <v>0</v>
      </c>
      <c r="U540">
        <v>52</v>
      </c>
      <c r="V540">
        <v>24</v>
      </c>
      <c r="W540">
        <v>251</v>
      </c>
      <c r="X540" s="1">
        <v>0</v>
      </c>
      <c r="Y540">
        <v>13</v>
      </c>
      <c r="Z540">
        <v>4</v>
      </c>
      <c r="AA540">
        <v>4</v>
      </c>
      <c r="AB540">
        <v>6</v>
      </c>
      <c r="AC540">
        <v>3</v>
      </c>
      <c r="AD540">
        <v>6</v>
      </c>
      <c r="AE540">
        <v>0</v>
      </c>
      <c r="AF540">
        <v>6</v>
      </c>
      <c r="AG540">
        <v>1</v>
      </c>
    </row>
    <row r="541" spans="1:33" x14ac:dyDescent="0.3">
      <c r="A541" t="s">
        <v>189</v>
      </c>
      <c r="B541" t="s">
        <v>192</v>
      </c>
      <c r="C541" t="s">
        <v>36</v>
      </c>
      <c r="D541">
        <v>235</v>
      </c>
      <c r="E541">
        <v>0</v>
      </c>
      <c r="F541">
        <v>3</v>
      </c>
      <c r="G541">
        <v>0</v>
      </c>
      <c r="H541">
        <v>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16</v>
      </c>
      <c r="W541">
        <v>66</v>
      </c>
      <c r="X541" s="1">
        <v>0</v>
      </c>
      <c r="Y541">
        <v>15</v>
      </c>
      <c r="Z541">
        <v>5</v>
      </c>
      <c r="AA541">
        <v>21</v>
      </c>
      <c r="AB541">
        <v>29</v>
      </c>
      <c r="AC541">
        <v>60</v>
      </c>
      <c r="AD541">
        <v>1</v>
      </c>
      <c r="AE541">
        <v>0</v>
      </c>
      <c r="AF541">
        <v>2</v>
      </c>
      <c r="AG541">
        <v>0</v>
      </c>
    </row>
    <row r="542" spans="1:33" x14ac:dyDescent="0.3">
      <c r="A542" t="s">
        <v>189</v>
      </c>
      <c r="B542" t="s">
        <v>193</v>
      </c>
      <c r="C542" t="s">
        <v>32</v>
      </c>
      <c r="D542" s="1">
        <v>2362</v>
      </c>
      <c r="E542">
        <v>0</v>
      </c>
      <c r="F542">
        <v>23</v>
      </c>
      <c r="G542">
        <v>0</v>
      </c>
      <c r="H542">
        <v>23</v>
      </c>
      <c r="I542">
        <v>0</v>
      </c>
      <c r="J542">
        <v>3</v>
      </c>
      <c r="K542">
        <v>0</v>
      </c>
      <c r="L542">
        <v>158</v>
      </c>
      <c r="M542">
        <v>3</v>
      </c>
      <c r="N542">
        <v>21</v>
      </c>
      <c r="O542">
        <v>0</v>
      </c>
      <c r="P542">
        <v>42</v>
      </c>
      <c r="Q542">
        <v>1</v>
      </c>
      <c r="R542">
        <v>0</v>
      </c>
      <c r="S542">
        <v>0</v>
      </c>
      <c r="T542">
        <v>2</v>
      </c>
      <c r="U542">
        <v>138</v>
      </c>
      <c r="V542">
        <v>126</v>
      </c>
      <c r="W542">
        <v>605</v>
      </c>
      <c r="X542">
        <v>15</v>
      </c>
      <c r="Y542">
        <v>212</v>
      </c>
      <c r="Z542">
        <v>33</v>
      </c>
      <c r="AA542">
        <v>94</v>
      </c>
      <c r="AB542">
        <v>208</v>
      </c>
      <c r="AC542">
        <v>497</v>
      </c>
      <c r="AD542">
        <v>106</v>
      </c>
      <c r="AE542">
        <v>2</v>
      </c>
      <c r="AF542">
        <v>44</v>
      </c>
      <c r="AG542">
        <v>6</v>
      </c>
    </row>
    <row r="543" spans="1:33" x14ac:dyDescent="0.3">
      <c r="A543" t="s">
        <v>189</v>
      </c>
      <c r="B543" t="s">
        <v>193</v>
      </c>
      <c r="C543" t="s">
        <v>35</v>
      </c>
      <c r="D543" s="1">
        <v>1373</v>
      </c>
      <c r="E543">
        <v>0</v>
      </c>
      <c r="F543">
        <v>13</v>
      </c>
      <c r="G543">
        <v>0</v>
      </c>
      <c r="H543">
        <v>20</v>
      </c>
      <c r="I543">
        <v>0</v>
      </c>
      <c r="J543">
        <v>3</v>
      </c>
      <c r="K543">
        <v>0</v>
      </c>
      <c r="L543">
        <v>141</v>
      </c>
      <c r="M543">
        <v>3</v>
      </c>
      <c r="N543">
        <v>16</v>
      </c>
      <c r="O543">
        <v>0</v>
      </c>
      <c r="P543">
        <v>5</v>
      </c>
      <c r="Q543">
        <v>0</v>
      </c>
      <c r="R543">
        <v>0</v>
      </c>
      <c r="S543">
        <v>0</v>
      </c>
      <c r="T543">
        <v>2</v>
      </c>
      <c r="U543">
        <v>135</v>
      </c>
      <c r="V543">
        <v>78</v>
      </c>
      <c r="W543">
        <v>576</v>
      </c>
      <c r="X543">
        <v>15</v>
      </c>
      <c r="Y543">
        <v>77</v>
      </c>
      <c r="Z543">
        <v>12</v>
      </c>
      <c r="AA543">
        <v>27</v>
      </c>
      <c r="AB543">
        <v>76</v>
      </c>
      <c r="AC543">
        <v>55</v>
      </c>
      <c r="AD543">
        <v>89</v>
      </c>
      <c r="AE543">
        <v>0</v>
      </c>
      <c r="AF543">
        <v>26</v>
      </c>
      <c r="AG543">
        <v>4</v>
      </c>
    </row>
    <row r="544" spans="1:33" x14ac:dyDescent="0.3">
      <c r="A544" t="s">
        <v>189</v>
      </c>
      <c r="B544" t="s">
        <v>193</v>
      </c>
      <c r="C544" t="s">
        <v>36</v>
      </c>
      <c r="D544">
        <v>989</v>
      </c>
      <c r="E544">
        <v>0</v>
      </c>
      <c r="F544">
        <v>10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17</v>
      </c>
      <c r="M544">
        <v>0</v>
      </c>
      <c r="N544">
        <v>5</v>
      </c>
      <c r="O544">
        <v>0</v>
      </c>
      <c r="P544">
        <v>37</v>
      </c>
      <c r="Q544">
        <v>1</v>
      </c>
      <c r="R544">
        <v>0</v>
      </c>
      <c r="S544">
        <v>0</v>
      </c>
      <c r="T544">
        <v>0</v>
      </c>
      <c r="U544">
        <v>3</v>
      </c>
      <c r="V544">
        <v>48</v>
      </c>
      <c r="W544">
        <v>29</v>
      </c>
      <c r="X544" s="1">
        <v>0</v>
      </c>
      <c r="Y544">
        <v>135</v>
      </c>
      <c r="Z544">
        <v>21</v>
      </c>
      <c r="AA544">
        <v>67</v>
      </c>
      <c r="AB544">
        <v>132</v>
      </c>
      <c r="AC544">
        <v>442</v>
      </c>
      <c r="AD544">
        <v>17</v>
      </c>
      <c r="AE544">
        <v>2</v>
      </c>
      <c r="AF544">
        <v>18</v>
      </c>
      <c r="AG544">
        <v>2</v>
      </c>
    </row>
    <row r="545" spans="1:33" x14ac:dyDescent="0.3">
      <c r="A545" t="s">
        <v>189</v>
      </c>
      <c r="B545" t="s">
        <v>194</v>
      </c>
      <c r="C545" t="s">
        <v>32</v>
      </c>
      <c r="D545">
        <v>220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8</v>
      </c>
      <c r="Q545">
        <v>0</v>
      </c>
      <c r="R545">
        <v>0</v>
      </c>
      <c r="S545">
        <v>0</v>
      </c>
      <c r="T545">
        <v>0</v>
      </c>
      <c r="U545">
        <v>9</v>
      </c>
      <c r="V545">
        <v>12</v>
      </c>
      <c r="W545">
        <v>60</v>
      </c>
      <c r="X545" s="1">
        <v>0</v>
      </c>
      <c r="Y545">
        <v>31</v>
      </c>
      <c r="Z545">
        <v>1</v>
      </c>
      <c r="AA545">
        <v>6</v>
      </c>
      <c r="AB545">
        <v>24</v>
      </c>
      <c r="AC545">
        <v>57</v>
      </c>
      <c r="AD545">
        <v>0</v>
      </c>
      <c r="AE545">
        <v>2</v>
      </c>
      <c r="AF545">
        <v>8</v>
      </c>
      <c r="AG545">
        <v>1</v>
      </c>
    </row>
    <row r="546" spans="1:33" x14ac:dyDescent="0.3">
      <c r="A546" t="s">
        <v>189</v>
      </c>
      <c r="B546" t="s">
        <v>194</v>
      </c>
      <c r="C546" t="s">
        <v>35</v>
      </c>
      <c r="D546">
        <v>88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8</v>
      </c>
      <c r="V546">
        <v>4</v>
      </c>
      <c r="W546">
        <v>52</v>
      </c>
      <c r="X546" s="1">
        <v>0</v>
      </c>
      <c r="Y546">
        <v>7</v>
      </c>
      <c r="Z546">
        <v>0</v>
      </c>
      <c r="AA546">
        <v>0</v>
      </c>
      <c r="AB546">
        <v>2</v>
      </c>
      <c r="AC546">
        <v>6</v>
      </c>
      <c r="AD546">
        <v>0</v>
      </c>
      <c r="AE546">
        <v>2</v>
      </c>
      <c r="AF546">
        <v>5</v>
      </c>
      <c r="AG546">
        <v>0</v>
      </c>
    </row>
    <row r="547" spans="1:33" x14ac:dyDescent="0.3">
      <c r="A547" t="s">
        <v>189</v>
      </c>
      <c r="B547" t="s">
        <v>194</v>
      </c>
      <c r="C547" t="s">
        <v>36</v>
      </c>
      <c r="D547">
        <v>132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8</v>
      </c>
      <c r="W547">
        <v>8</v>
      </c>
      <c r="X547" s="1">
        <v>0</v>
      </c>
      <c r="Y547">
        <v>24</v>
      </c>
      <c r="Z547">
        <v>1</v>
      </c>
      <c r="AA547">
        <v>6</v>
      </c>
      <c r="AB547">
        <v>22</v>
      </c>
      <c r="AC547">
        <v>51</v>
      </c>
      <c r="AD547">
        <v>0</v>
      </c>
      <c r="AE547">
        <v>0</v>
      </c>
      <c r="AF547">
        <v>3</v>
      </c>
      <c r="AG547">
        <v>1</v>
      </c>
    </row>
    <row r="548" spans="1:33" x14ac:dyDescent="0.3">
      <c r="A548" t="s">
        <v>189</v>
      </c>
      <c r="B548" t="s">
        <v>195</v>
      </c>
      <c r="C548" t="s">
        <v>32</v>
      </c>
      <c r="D548" s="1">
        <v>5624</v>
      </c>
      <c r="E548">
        <v>0</v>
      </c>
      <c r="F548" s="1">
        <v>1389</v>
      </c>
      <c r="G548">
        <v>0</v>
      </c>
      <c r="H548">
        <v>531</v>
      </c>
      <c r="I548">
        <v>0</v>
      </c>
      <c r="J548">
        <v>7</v>
      </c>
      <c r="K548">
        <v>0</v>
      </c>
      <c r="L548">
        <v>13</v>
      </c>
      <c r="M548">
        <v>1</v>
      </c>
      <c r="N548">
        <v>99</v>
      </c>
      <c r="O548">
        <v>5</v>
      </c>
      <c r="P548">
        <v>30</v>
      </c>
      <c r="Q548">
        <v>32</v>
      </c>
      <c r="R548">
        <v>0</v>
      </c>
      <c r="S548">
        <v>0</v>
      </c>
      <c r="T548">
        <v>0</v>
      </c>
      <c r="U548">
        <v>120</v>
      </c>
      <c r="V548">
        <v>380</v>
      </c>
      <c r="W548" s="1">
        <v>1815</v>
      </c>
      <c r="X548" s="1">
        <v>0</v>
      </c>
      <c r="Y548">
        <v>231</v>
      </c>
      <c r="Z548">
        <v>60</v>
      </c>
      <c r="AA548">
        <v>114</v>
      </c>
      <c r="AB548">
        <v>179</v>
      </c>
      <c r="AC548">
        <v>467</v>
      </c>
      <c r="AD548">
        <v>102</v>
      </c>
      <c r="AE548">
        <v>1</v>
      </c>
      <c r="AF548">
        <v>26</v>
      </c>
      <c r="AG548">
        <v>22</v>
      </c>
    </row>
    <row r="549" spans="1:33" x14ac:dyDescent="0.3">
      <c r="A549" t="s">
        <v>189</v>
      </c>
      <c r="B549" t="s">
        <v>195</v>
      </c>
      <c r="C549" t="s">
        <v>35</v>
      </c>
      <c r="D549" s="1">
        <v>3495</v>
      </c>
      <c r="E549">
        <v>0</v>
      </c>
      <c r="F549">
        <v>775</v>
      </c>
      <c r="G549">
        <v>0</v>
      </c>
      <c r="H549">
        <v>350</v>
      </c>
      <c r="I549">
        <v>0</v>
      </c>
      <c r="J549">
        <v>6</v>
      </c>
      <c r="K549">
        <v>0</v>
      </c>
      <c r="L549">
        <v>10</v>
      </c>
      <c r="M549">
        <v>0</v>
      </c>
      <c r="N549">
        <v>58</v>
      </c>
      <c r="O549">
        <v>3</v>
      </c>
      <c r="P549">
        <v>9</v>
      </c>
      <c r="Q549">
        <v>27</v>
      </c>
      <c r="R549">
        <v>0</v>
      </c>
      <c r="S549">
        <v>0</v>
      </c>
      <c r="T549">
        <v>0</v>
      </c>
      <c r="U549">
        <v>105</v>
      </c>
      <c r="V549">
        <v>198</v>
      </c>
      <c r="W549" s="1">
        <v>1580</v>
      </c>
      <c r="X549" s="1">
        <v>0</v>
      </c>
      <c r="Y549">
        <v>85</v>
      </c>
      <c r="Z549">
        <v>23</v>
      </c>
      <c r="AA549">
        <v>35</v>
      </c>
      <c r="AB549">
        <v>70</v>
      </c>
      <c r="AC549">
        <v>67</v>
      </c>
      <c r="AD549">
        <v>68</v>
      </c>
      <c r="AE549">
        <v>0</v>
      </c>
      <c r="AF549">
        <v>11</v>
      </c>
      <c r="AG549">
        <v>15</v>
      </c>
    </row>
    <row r="550" spans="1:33" x14ac:dyDescent="0.3">
      <c r="A550" t="s">
        <v>189</v>
      </c>
      <c r="B550" t="s">
        <v>195</v>
      </c>
      <c r="C550" t="s">
        <v>36</v>
      </c>
      <c r="D550" s="1">
        <v>2129</v>
      </c>
      <c r="E550">
        <v>0</v>
      </c>
      <c r="F550">
        <v>614</v>
      </c>
      <c r="G550">
        <v>0</v>
      </c>
      <c r="H550">
        <v>181</v>
      </c>
      <c r="I550">
        <v>0</v>
      </c>
      <c r="J550">
        <v>1</v>
      </c>
      <c r="K550">
        <v>0</v>
      </c>
      <c r="L550">
        <v>3</v>
      </c>
      <c r="M550">
        <v>1</v>
      </c>
      <c r="N550">
        <v>41</v>
      </c>
      <c r="O550">
        <v>2</v>
      </c>
      <c r="P550">
        <v>21</v>
      </c>
      <c r="Q550">
        <v>5</v>
      </c>
      <c r="R550">
        <v>0</v>
      </c>
      <c r="S550">
        <v>0</v>
      </c>
      <c r="T550">
        <v>0</v>
      </c>
      <c r="U550">
        <v>15</v>
      </c>
      <c r="V550">
        <v>182</v>
      </c>
      <c r="W550">
        <v>235</v>
      </c>
      <c r="X550" s="1">
        <v>0</v>
      </c>
      <c r="Y550">
        <v>146</v>
      </c>
      <c r="Z550">
        <v>37</v>
      </c>
      <c r="AA550">
        <v>79</v>
      </c>
      <c r="AB550">
        <v>109</v>
      </c>
      <c r="AC550">
        <v>400</v>
      </c>
      <c r="AD550">
        <v>34</v>
      </c>
      <c r="AE550">
        <v>1</v>
      </c>
      <c r="AF550">
        <v>15</v>
      </c>
      <c r="AG550">
        <v>7</v>
      </c>
    </row>
    <row r="551" spans="1:33" x14ac:dyDescent="0.3">
      <c r="A551" t="s">
        <v>189</v>
      </c>
      <c r="B551" t="s">
        <v>196</v>
      </c>
      <c r="C551" t="s">
        <v>32</v>
      </c>
      <c r="D551" s="1">
        <v>1408</v>
      </c>
      <c r="E551">
        <v>0</v>
      </c>
      <c r="F551">
        <v>3</v>
      </c>
      <c r="G551">
        <v>2</v>
      </c>
      <c r="H551">
        <v>1</v>
      </c>
      <c r="I551">
        <v>0</v>
      </c>
      <c r="J551">
        <v>4</v>
      </c>
      <c r="K551">
        <v>0</v>
      </c>
      <c r="L551">
        <v>1</v>
      </c>
      <c r="M551">
        <v>0</v>
      </c>
      <c r="N551">
        <v>2</v>
      </c>
      <c r="O551">
        <v>0</v>
      </c>
      <c r="P551">
        <v>2</v>
      </c>
      <c r="Q551">
        <v>0</v>
      </c>
      <c r="R551">
        <v>0</v>
      </c>
      <c r="S551">
        <v>0</v>
      </c>
      <c r="T551">
        <v>0</v>
      </c>
      <c r="U551">
        <v>89</v>
      </c>
      <c r="V551">
        <v>303</v>
      </c>
      <c r="W551">
        <v>732</v>
      </c>
      <c r="X551" s="1">
        <v>0</v>
      </c>
      <c r="Y551">
        <v>63</v>
      </c>
      <c r="Z551">
        <v>6</v>
      </c>
      <c r="AA551">
        <v>21</v>
      </c>
      <c r="AB551">
        <v>19</v>
      </c>
      <c r="AC551">
        <v>126</v>
      </c>
      <c r="AD551">
        <v>26</v>
      </c>
      <c r="AE551">
        <v>0</v>
      </c>
      <c r="AF551">
        <v>3</v>
      </c>
      <c r="AG551">
        <v>5</v>
      </c>
    </row>
    <row r="552" spans="1:33" x14ac:dyDescent="0.3">
      <c r="A552" t="s">
        <v>189</v>
      </c>
      <c r="B552" t="s">
        <v>196</v>
      </c>
      <c r="C552" t="s">
        <v>35</v>
      </c>
      <c r="D552">
        <v>763</v>
      </c>
      <c r="E552">
        <v>0</v>
      </c>
      <c r="F552">
        <v>2</v>
      </c>
      <c r="G552">
        <v>2</v>
      </c>
      <c r="H552">
        <v>1</v>
      </c>
      <c r="I552">
        <v>0</v>
      </c>
      <c r="J552">
        <v>3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81</v>
      </c>
      <c r="V552">
        <v>117</v>
      </c>
      <c r="W552">
        <v>484</v>
      </c>
      <c r="X552" s="1">
        <v>0</v>
      </c>
      <c r="Y552">
        <v>24</v>
      </c>
      <c r="Z552">
        <v>3</v>
      </c>
      <c r="AA552">
        <v>3</v>
      </c>
      <c r="AB552">
        <v>4</v>
      </c>
      <c r="AC552">
        <v>16</v>
      </c>
      <c r="AD552">
        <v>16</v>
      </c>
      <c r="AE552">
        <v>0</v>
      </c>
      <c r="AF552">
        <v>2</v>
      </c>
      <c r="AG552">
        <v>3</v>
      </c>
    </row>
    <row r="553" spans="1:33" x14ac:dyDescent="0.3">
      <c r="A553" t="s">
        <v>189</v>
      </c>
      <c r="B553" t="s">
        <v>196</v>
      </c>
      <c r="C553" t="s">
        <v>36</v>
      </c>
      <c r="D553">
        <v>645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2</v>
      </c>
      <c r="Q553">
        <v>0</v>
      </c>
      <c r="R553">
        <v>0</v>
      </c>
      <c r="S553">
        <v>0</v>
      </c>
      <c r="T553">
        <v>0</v>
      </c>
      <c r="U553">
        <v>8</v>
      </c>
      <c r="V553">
        <v>186</v>
      </c>
      <c r="W553">
        <v>248</v>
      </c>
      <c r="X553" s="1">
        <v>0</v>
      </c>
      <c r="Y553">
        <v>39</v>
      </c>
      <c r="Z553">
        <v>3</v>
      </c>
      <c r="AA553">
        <v>18</v>
      </c>
      <c r="AB553">
        <v>15</v>
      </c>
      <c r="AC553">
        <v>110</v>
      </c>
      <c r="AD553">
        <v>10</v>
      </c>
      <c r="AE553">
        <v>0</v>
      </c>
      <c r="AF553">
        <v>1</v>
      </c>
      <c r="AG553">
        <v>2</v>
      </c>
    </row>
    <row r="554" spans="1:33" x14ac:dyDescent="0.3">
      <c r="A554" t="s">
        <v>189</v>
      </c>
      <c r="B554" t="s">
        <v>197</v>
      </c>
      <c r="C554" t="s">
        <v>32</v>
      </c>
      <c r="D554" s="1">
        <v>4930</v>
      </c>
      <c r="E554">
        <v>0</v>
      </c>
      <c r="F554">
        <v>536</v>
      </c>
      <c r="G554">
        <v>1</v>
      </c>
      <c r="H554">
        <v>420</v>
      </c>
      <c r="I554">
        <v>0</v>
      </c>
      <c r="J554">
        <v>5</v>
      </c>
      <c r="K554">
        <v>1</v>
      </c>
      <c r="L554">
        <v>9</v>
      </c>
      <c r="M554">
        <v>35</v>
      </c>
      <c r="N554">
        <v>58</v>
      </c>
      <c r="O554">
        <v>2</v>
      </c>
      <c r="P554">
        <v>43</v>
      </c>
      <c r="Q554">
        <v>0</v>
      </c>
      <c r="R554">
        <v>0</v>
      </c>
      <c r="S554">
        <v>0</v>
      </c>
      <c r="T554">
        <v>1</v>
      </c>
      <c r="U554">
        <v>143</v>
      </c>
      <c r="V554">
        <v>32</v>
      </c>
      <c r="W554">
        <v>754</v>
      </c>
      <c r="X554" s="1">
        <v>1152</v>
      </c>
      <c r="Y554">
        <v>272</v>
      </c>
      <c r="Z554">
        <v>42</v>
      </c>
      <c r="AA554">
        <v>150</v>
      </c>
      <c r="AB554">
        <v>226</v>
      </c>
      <c r="AC554">
        <v>573</v>
      </c>
      <c r="AD554">
        <v>287</v>
      </c>
      <c r="AE554">
        <v>2</v>
      </c>
      <c r="AF554">
        <v>77</v>
      </c>
      <c r="AG554">
        <v>109</v>
      </c>
    </row>
    <row r="555" spans="1:33" x14ac:dyDescent="0.3">
      <c r="A555" t="s">
        <v>189</v>
      </c>
      <c r="B555" t="s">
        <v>197</v>
      </c>
      <c r="C555" t="s">
        <v>35</v>
      </c>
      <c r="D555" s="1">
        <v>3302</v>
      </c>
      <c r="E555">
        <v>0</v>
      </c>
      <c r="F555">
        <v>317</v>
      </c>
      <c r="G555">
        <v>0</v>
      </c>
      <c r="H555">
        <v>278</v>
      </c>
      <c r="I555">
        <v>0</v>
      </c>
      <c r="J555">
        <v>5</v>
      </c>
      <c r="K555">
        <v>1</v>
      </c>
      <c r="L555">
        <v>8</v>
      </c>
      <c r="M555">
        <v>32</v>
      </c>
      <c r="N555">
        <v>30</v>
      </c>
      <c r="O555">
        <v>0</v>
      </c>
      <c r="P555">
        <v>13</v>
      </c>
      <c r="Q555">
        <v>0</v>
      </c>
      <c r="R555">
        <v>0</v>
      </c>
      <c r="S555">
        <v>0</v>
      </c>
      <c r="T555">
        <v>0</v>
      </c>
      <c r="U555">
        <v>137</v>
      </c>
      <c r="V555">
        <v>21</v>
      </c>
      <c r="W555">
        <v>631</v>
      </c>
      <c r="X555" s="1">
        <v>1152</v>
      </c>
      <c r="Y555">
        <v>99</v>
      </c>
      <c r="Z555">
        <v>13</v>
      </c>
      <c r="AA555">
        <v>50</v>
      </c>
      <c r="AB555">
        <v>74</v>
      </c>
      <c r="AC555">
        <v>68</v>
      </c>
      <c r="AD555">
        <v>226</v>
      </c>
      <c r="AE555">
        <v>1</v>
      </c>
      <c r="AF555">
        <v>44</v>
      </c>
      <c r="AG555">
        <v>102</v>
      </c>
    </row>
    <row r="556" spans="1:33" x14ac:dyDescent="0.3">
      <c r="A556" t="s">
        <v>189</v>
      </c>
      <c r="B556" t="s">
        <v>197</v>
      </c>
      <c r="C556" t="s">
        <v>36</v>
      </c>
      <c r="D556" s="1">
        <v>1628</v>
      </c>
      <c r="E556">
        <v>0</v>
      </c>
      <c r="F556">
        <v>219</v>
      </c>
      <c r="G556">
        <v>1</v>
      </c>
      <c r="H556">
        <v>142</v>
      </c>
      <c r="I556">
        <v>0</v>
      </c>
      <c r="J556">
        <v>0</v>
      </c>
      <c r="K556">
        <v>0</v>
      </c>
      <c r="L556">
        <v>1</v>
      </c>
      <c r="M556">
        <v>3</v>
      </c>
      <c r="N556">
        <v>28</v>
      </c>
      <c r="O556">
        <v>2</v>
      </c>
      <c r="P556">
        <v>30</v>
      </c>
      <c r="Q556">
        <v>0</v>
      </c>
      <c r="R556">
        <v>0</v>
      </c>
      <c r="S556">
        <v>0</v>
      </c>
      <c r="T556">
        <v>1</v>
      </c>
      <c r="U556">
        <v>6</v>
      </c>
      <c r="V556">
        <v>11</v>
      </c>
      <c r="W556">
        <v>123</v>
      </c>
      <c r="X556" s="1">
        <v>0</v>
      </c>
      <c r="Y556">
        <v>173</v>
      </c>
      <c r="Z556">
        <v>29</v>
      </c>
      <c r="AA556">
        <v>100</v>
      </c>
      <c r="AB556">
        <v>152</v>
      </c>
      <c r="AC556">
        <v>505</v>
      </c>
      <c r="AD556">
        <v>61</v>
      </c>
      <c r="AE556">
        <v>1</v>
      </c>
      <c r="AF556">
        <v>33</v>
      </c>
      <c r="AG556">
        <v>7</v>
      </c>
    </row>
    <row r="557" spans="1:33" x14ac:dyDescent="0.3">
      <c r="A557" t="s">
        <v>189</v>
      </c>
      <c r="B557" t="s">
        <v>198</v>
      </c>
      <c r="C557" t="s">
        <v>32</v>
      </c>
      <c r="D557" s="1">
        <v>2591</v>
      </c>
      <c r="E557">
        <v>0</v>
      </c>
      <c r="F557">
        <v>291</v>
      </c>
      <c r="G557">
        <v>0</v>
      </c>
      <c r="H557">
        <v>103</v>
      </c>
      <c r="I557">
        <v>0</v>
      </c>
      <c r="J557">
        <v>3</v>
      </c>
      <c r="K557">
        <v>1</v>
      </c>
      <c r="L557">
        <v>2</v>
      </c>
      <c r="M557">
        <v>27</v>
      </c>
      <c r="N557">
        <v>35</v>
      </c>
      <c r="O557">
        <v>2</v>
      </c>
      <c r="P557">
        <v>32</v>
      </c>
      <c r="Q557">
        <v>6</v>
      </c>
      <c r="R557">
        <v>0</v>
      </c>
      <c r="S557">
        <v>0</v>
      </c>
      <c r="T557">
        <v>0</v>
      </c>
      <c r="U557">
        <v>84</v>
      </c>
      <c r="V557">
        <v>406</v>
      </c>
      <c r="W557">
        <v>836</v>
      </c>
      <c r="X557">
        <v>75</v>
      </c>
      <c r="Y557">
        <v>103</v>
      </c>
      <c r="Z557">
        <v>11</v>
      </c>
      <c r="AA557">
        <v>80</v>
      </c>
      <c r="AB557">
        <v>66</v>
      </c>
      <c r="AC557">
        <v>267</v>
      </c>
      <c r="AD557">
        <v>129</v>
      </c>
      <c r="AE557">
        <v>0</v>
      </c>
      <c r="AF557">
        <v>19</v>
      </c>
      <c r="AG557">
        <v>13</v>
      </c>
    </row>
    <row r="558" spans="1:33" x14ac:dyDescent="0.3">
      <c r="A558" t="s">
        <v>189</v>
      </c>
      <c r="B558" t="s">
        <v>198</v>
      </c>
      <c r="C558" t="s">
        <v>35</v>
      </c>
      <c r="D558" s="1">
        <v>1708</v>
      </c>
      <c r="E558">
        <v>0</v>
      </c>
      <c r="F558">
        <v>173</v>
      </c>
      <c r="G558">
        <v>0</v>
      </c>
      <c r="H558">
        <v>75</v>
      </c>
      <c r="I558">
        <v>0</v>
      </c>
      <c r="J558">
        <v>2</v>
      </c>
      <c r="K558">
        <v>1</v>
      </c>
      <c r="L558">
        <v>2</v>
      </c>
      <c r="M558">
        <v>25</v>
      </c>
      <c r="N558">
        <v>16</v>
      </c>
      <c r="O558">
        <v>2</v>
      </c>
      <c r="P558">
        <v>5</v>
      </c>
      <c r="Q558">
        <v>4</v>
      </c>
      <c r="R558">
        <v>0</v>
      </c>
      <c r="S558">
        <v>0</v>
      </c>
      <c r="T558">
        <v>0</v>
      </c>
      <c r="U558">
        <v>83</v>
      </c>
      <c r="V558">
        <v>240</v>
      </c>
      <c r="W558">
        <v>773</v>
      </c>
      <c r="X558">
        <v>75</v>
      </c>
      <c r="Y558">
        <v>43</v>
      </c>
      <c r="Z558">
        <v>3</v>
      </c>
      <c r="AA558">
        <v>19</v>
      </c>
      <c r="AB558">
        <v>12</v>
      </c>
      <c r="AC558">
        <v>19</v>
      </c>
      <c r="AD558">
        <v>117</v>
      </c>
      <c r="AE558">
        <v>0</v>
      </c>
      <c r="AF558">
        <v>10</v>
      </c>
      <c r="AG558">
        <v>9</v>
      </c>
    </row>
    <row r="559" spans="1:33" x14ac:dyDescent="0.3">
      <c r="A559" t="s">
        <v>189</v>
      </c>
      <c r="B559" t="s">
        <v>198</v>
      </c>
      <c r="C559" t="s">
        <v>36</v>
      </c>
      <c r="D559">
        <v>883</v>
      </c>
      <c r="E559">
        <v>0</v>
      </c>
      <c r="F559">
        <v>118</v>
      </c>
      <c r="G559">
        <v>0</v>
      </c>
      <c r="H559">
        <v>28</v>
      </c>
      <c r="I559">
        <v>0</v>
      </c>
      <c r="J559">
        <v>1</v>
      </c>
      <c r="K559">
        <v>0</v>
      </c>
      <c r="L559">
        <v>0</v>
      </c>
      <c r="M559">
        <v>2</v>
      </c>
      <c r="N559">
        <v>19</v>
      </c>
      <c r="O559">
        <v>0</v>
      </c>
      <c r="P559">
        <v>27</v>
      </c>
      <c r="Q559">
        <v>2</v>
      </c>
      <c r="R559">
        <v>0</v>
      </c>
      <c r="S559">
        <v>0</v>
      </c>
      <c r="T559">
        <v>0</v>
      </c>
      <c r="U559">
        <v>1</v>
      </c>
      <c r="V559">
        <v>166</v>
      </c>
      <c r="W559">
        <v>63</v>
      </c>
      <c r="X559" s="1">
        <v>0</v>
      </c>
      <c r="Y559">
        <v>60</v>
      </c>
      <c r="Z559">
        <v>8</v>
      </c>
      <c r="AA559">
        <v>61</v>
      </c>
      <c r="AB559">
        <v>54</v>
      </c>
      <c r="AC559">
        <v>248</v>
      </c>
      <c r="AD559">
        <v>12</v>
      </c>
      <c r="AE559">
        <v>0</v>
      </c>
      <c r="AF559">
        <v>9</v>
      </c>
      <c r="AG559">
        <v>4</v>
      </c>
    </row>
    <row r="560" spans="1:33" x14ac:dyDescent="0.3">
      <c r="A560" t="s">
        <v>189</v>
      </c>
      <c r="B560" t="s">
        <v>199</v>
      </c>
      <c r="C560" t="s">
        <v>32</v>
      </c>
      <c r="D560" s="1">
        <v>1199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3</v>
      </c>
      <c r="O560">
        <v>0</v>
      </c>
      <c r="P560">
        <v>12</v>
      </c>
      <c r="Q560">
        <v>0</v>
      </c>
      <c r="R560">
        <v>0</v>
      </c>
      <c r="S560">
        <v>0</v>
      </c>
      <c r="T560">
        <v>0</v>
      </c>
      <c r="U560">
        <v>20</v>
      </c>
      <c r="V560">
        <v>605</v>
      </c>
      <c r="W560">
        <v>283</v>
      </c>
      <c r="X560" s="1">
        <v>0</v>
      </c>
      <c r="Y560">
        <v>53</v>
      </c>
      <c r="Z560">
        <v>26</v>
      </c>
      <c r="AA560">
        <v>22</v>
      </c>
      <c r="AB560">
        <v>18</v>
      </c>
      <c r="AC560">
        <v>136</v>
      </c>
      <c r="AD560">
        <v>13</v>
      </c>
      <c r="AE560">
        <v>0</v>
      </c>
      <c r="AF560">
        <v>2</v>
      </c>
      <c r="AG560">
        <v>2</v>
      </c>
    </row>
    <row r="561" spans="1:33" x14ac:dyDescent="0.3">
      <c r="A561" t="s">
        <v>189</v>
      </c>
      <c r="B561" t="s">
        <v>199</v>
      </c>
      <c r="C561" t="s">
        <v>35</v>
      </c>
      <c r="D561">
        <v>631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</v>
      </c>
      <c r="Q561">
        <v>0</v>
      </c>
      <c r="R561">
        <v>0</v>
      </c>
      <c r="S561">
        <v>0</v>
      </c>
      <c r="T561">
        <v>0</v>
      </c>
      <c r="U561">
        <v>20</v>
      </c>
      <c r="V561">
        <v>317</v>
      </c>
      <c r="W561">
        <v>226</v>
      </c>
      <c r="X561" s="1">
        <v>0</v>
      </c>
      <c r="Y561">
        <v>20</v>
      </c>
      <c r="Z561">
        <v>20</v>
      </c>
      <c r="AA561">
        <v>2</v>
      </c>
      <c r="AB561">
        <v>4</v>
      </c>
      <c r="AC561">
        <v>6</v>
      </c>
      <c r="AD561">
        <v>9</v>
      </c>
      <c r="AE561">
        <v>0</v>
      </c>
      <c r="AF561">
        <v>0</v>
      </c>
      <c r="AG561">
        <v>1</v>
      </c>
    </row>
    <row r="562" spans="1:33" x14ac:dyDescent="0.3">
      <c r="A562" t="s">
        <v>189</v>
      </c>
      <c r="B562" t="s">
        <v>199</v>
      </c>
      <c r="C562" t="s">
        <v>36</v>
      </c>
      <c r="D562">
        <v>568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3</v>
      </c>
      <c r="O562">
        <v>0</v>
      </c>
      <c r="P562">
        <v>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288</v>
      </c>
      <c r="W562">
        <v>57</v>
      </c>
      <c r="X562" s="1">
        <v>0</v>
      </c>
      <c r="Y562">
        <v>33</v>
      </c>
      <c r="Z562">
        <v>6</v>
      </c>
      <c r="AA562">
        <v>20</v>
      </c>
      <c r="AB562">
        <v>14</v>
      </c>
      <c r="AC562">
        <v>130</v>
      </c>
      <c r="AD562">
        <v>4</v>
      </c>
      <c r="AE562">
        <v>0</v>
      </c>
      <c r="AF562">
        <v>2</v>
      </c>
      <c r="AG562">
        <v>1</v>
      </c>
    </row>
    <row r="563" spans="1:33" x14ac:dyDescent="0.3">
      <c r="A563" t="s">
        <v>189</v>
      </c>
      <c r="B563" t="s">
        <v>200</v>
      </c>
      <c r="C563" t="s">
        <v>32</v>
      </c>
      <c r="D563" s="1">
        <v>3557</v>
      </c>
      <c r="E563">
        <v>0</v>
      </c>
      <c r="F563">
        <v>830</v>
      </c>
      <c r="G563">
        <v>0</v>
      </c>
      <c r="H563">
        <v>417</v>
      </c>
      <c r="I563">
        <v>0</v>
      </c>
      <c r="J563">
        <v>16</v>
      </c>
      <c r="K563">
        <v>9</v>
      </c>
      <c r="L563">
        <v>6</v>
      </c>
      <c r="M563">
        <v>2</v>
      </c>
      <c r="N563">
        <v>48</v>
      </c>
      <c r="O563">
        <v>3</v>
      </c>
      <c r="P563">
        <v>67</v>
      </c>
      <c r="Q563">
        <v>26</v>
      </c>
      <c r="R563">
        <v>0</v>
      </c>
      <c r="S563">
        <v>0</v>
      </c>
      <c r="T563">
        <v>3</v>
      </c>
      <c r="U563">
        <v>80</v>
      </c>
      <c r="V563">
        <v>144</v>
      </c>
      <c r="W563">
        <v>538</v>
      </c>
      <c r="X563">
        <v>2</v>
      </c>
      <c r="Y563">
        <v>283</v>
      </c>
      <c r="Z563">
        <v>48</v>
      </c>
      <c r="AA563">
        <v>149</v>
      </c>
      <c r="AB563">
        <v>195</v>
      </c>
      <c r="AC563">
        <v>590</v>
      </c>
      <c r="AD563">
        <v>42</v>
      </c>
      <c r="AE563">
        <v>1</v>
      </c>
      <c r="AF563">
        <v>50</v>
      </c>
      <c r="AG563">
        <v>8</v>
      </c>
    </row>
    <row r="564" spans="1:33" x14ac:dyDescent="0.3">
      <c r="A564" t="s">
        <v>189</v>
      </c>
      <c r="B564" t="s">
        <v>200</v>
      </c>
      <c r="C564" t="s">
        <v>35</v>
      </c>
      <c r="D564" s="1">
        <v>1894</v>
      </c>
      <c r="E564">
        <v>0</v>
      </c>
      <c r="F564">
        <v>435</v>
      </c>
      <c r="G564">
        <v>0</v>
      </c>
      <c r="H564">
        <v>280</v>
      </c>
      <c r="I564">
        <v>0</v>
      </c>
      <c r="J564">
        <v>12</v>
      </c>
      <c r="K564">
        <v>9</v>
      </c>
      <c r="L564">
        <v>5</v>
      </c>
      <c r="M564">
        <v>2</v>
      </c>
      <c r="N564">
        <v>27</v>
      </c>
      <c r="O564">
        <v>1</v>
      </c>
      <c r="P564">
        <v>15</v>
      </c>
      <c r="Q564">
        <v>21</v>
      </c>
      <c r="R564">
        <v>0</v>
      </c>
      <c r="S564">
        <v>0</v>
      </c>
      <c r="T564">
        <v>2</v>
      </c>
      <c r="U564">
        <v>77</v>
      </c>
      <c r="V564">
        <v>90</v>
      </c>
      <c r="W564">
        <v>525</v>
      </c>
      <c r="X564">
        <v>2</v>
      </c>
      <c r="Y564">
        <v>106</v>
      </c>
      <c r="Z564">
        <v>19</v>
      </c>
      <c r="AA564">
        <v>55</v>
      </c>
      <c r="AB564">
        <v>64</v>
      </c>
      <c r="AC564">
        <v>74</v>
      </c>
      <c r="AD564">
        <v>29</v>
      </c>
      <c r="AE564">
        <v>0</v>
      </c>
      <c r="AF564">
        <v>38</v>
      </c>
      <c r="AG564">
        <v>6</v>
      </c>
    </row>
    <row r="565" spans="1:33" x14ac:dyDescent="0.3">
      <c r="A565" t="s">
        <v>189</v>
      </c>
      <c r="B565" t="s">
        <v>200</v>
      </c>
      <c r="C565" t="s">
        <v>36</v>
      </c>
      <c r="D565" s="1">
        <v>1663</v>
      </c>
      <c r="E565">
        <v>0</v>
      </c>
      <c r="F565">
        <v>395</v>
      </c>
      <c r="G565">
        <v>0</v>
      </c>
      <c r="H565">
        <v>137</v>
      </c>
      <c r="I565">
        <v>0</v>
      </c>
      <c r="J565">
        <v>4</v>
      </c>
      <c r="K565">
        <v>0</v>
      </c>
      <c r="L565">
        <v>1</v>
      </c>
      <c r="M565">
        <v>0</v>
      </c>
      <c r="N565">
        <v>21</v>
      </c>
      <c r="O565">
        <v>2</v>
      </c>
      <c r="P565">
        <v>52</v>
      </c>
      <c r="Q565">
        <v>5</v>
      </c>
      <c r="R565">
        <v>0</v>
      </c>
      <c r="S565">
        <v>0</v>
      </c>
      <c r="T565">
        <v>1</v>
      </c>
      <c r="U565">
        <v>3</v>
      </c>
      <c r="V565">
        <v>54</v>
      </c>
      <c r="W565">
        <v>13</v>
      </c>
      <c r="X565" s="1">
        <v>0</v>
      </c>
      <c r="Y565">
        <v>177</v>
      </c>
      <c r="Z565">
        <v>29</v>
      </c>
      <c r="AA565">
        <v>94</v>
      </c>
      <c r="AB565">
        <v>131</v>
      </c>
      <c r="AC565">
        <v>516</v>
      </c>
      <c r="AD565">
        <v>13</v>
      </c>
      <c r="AE565">
        <v>1</v>
      </c>
      <c r="AF565">
        <v>12</v>
      </c>
      <c r="AG565">
        <v>2</v>
      </c>
    </row>
    <row r="566" spans="1:33" x14ac:dyDescent="0.3">
      <c r="A566" t="s">
        <v>189</v>
      </c>
      <c r="B566" t="s">
        <v>201</v>
      </c>
      <c r="C566" t="s">
        <v>32</v>
      </c>
      <c r="D566" s="1">
        <v>1984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27</v>
      </c>
      <c r="M566">
        <v>0</v>
      </c>
      <c r="N566">
        <v>0</v>
      </c>
      <c r="O566">
        <v>0</v>
      </c>
      <c r="P566">
        <v>9</v>
      </c>
      <c r="Q566">
        <v>0</v>
      </c>
      <c r="R566">
        <v>0</v>
      </c>
      <c r="S566">
        <v>0</v>
      </c>
      <c r="T566">
        <v>0</v>
      </c>
      <c r="U566">
        <v>31</v>
      </c>
      <c r="V566">
        <v>420</v>
      </c>
      <c r="W566" s="1">
        <v>1112</v>
      </c>
      <c r="X566">
        <v>123</v>
      </c>
      <c r="Y566">
        <v>70</v>
      </c>
      <c r="Z566">
        <v>8</v>
      </c>
      <c r="AA566">
        <v>7</v>
      </c>
      <c r="AB566">
        <v>18</v>
      </c>
      <c r="AC566">
        <v>143</v>
      </c>
      <c r="AD566">
        <v>9</v>
      </c>
      <c r="AE566">
        <v>0</v>
      </c>
      <c r="AF566">
        <v>3</v>
      </c>
      <c r="AG566">
        <v>3</v>
      </c>
    </row>
    <row r="567" spans="1:33" x14ac:dyDescent="0.3">
      <c r="A567" t="s">
        <v>189</v>
      </c>
      <c r="B567" t="s">
        <v>201</v>
      </c>
      <c r="C567" t="s">
        <v>35</v>
      </c>
      <c r="D567" s="1">
        <v>1631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27</v>
      </c>
      <c r="M567">
        <v>0</v>
      </c>
      <c r="N567">
        <v>0</v>
      </c>
      <c r="O567">
        <v>0</v>
      </c>
      <c r="P567">
        <v>6</v>
      </c>
      <c r="Q567">
        <v>0</v>
      </c>
      <c r="R567">
        <v>0</v>
      </c>
      <c r="S567">
        <v>0</v>
      </c>
      <c r="T567">
        <v>0</v>
      </c>
      <c r="U567">
        <v>31</v>
      </c>
      <c r="V567">
        <v>295</v>
      </c>
      <c r="W567" s="1">
        <v>1099</v>
      </c>
      <c r="X567">
        <v>123</v>
      </c>
      <c r="Y567">
        <v>29</v>
      </c>
      <c r="Z567">
        <v>4</v>
      </c>
      <c r="AA567">
        <v>0</v>
      </c>
      <c r="AB567">
        <v>4</v>
      </c>
      <c r="AC567">
        <v>4</v>
      </c>
      <c r="AD567">
        <v>5</v>
      </c>
      <c r="AE567">
        <v>0</v>
      </c>
      <c r="AF567">
        <v>1</v>
      </c>
      <c r="AG567">
        <v>2</v>
      </c>
    </row>
    <row r="568" spans="1:33" x14ac:dyDescent="0.3">
      <c r="A568" t="s">
        <v>189</v>
      </c>
      <c r="B568" t="s">
        <v>201</v>
      </c>
      <c r="C568" t="s">
        <v>36</v>
      </c>
      <c r="D568">
        <v>353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125</v>
      </c>
      <c r="W568">
        <v>13</v>
      </c>
      <c r="X568">
        <v>0</v>
      </c>
      <c r="Y568">
        <v>41</v>
      </c>
      <c r="Z568">
        <v>4</v>
      </c>
      <c r="AA568">
        <v>7</v>
      </c>
      <c r="AB568">
        <v>14</v>
      </c>
      <c r="AC568">
        <v>139</v>
      </c>
      <c r="AD568">
        <v>4</v>
      </c>
      <c r="AE568">
        <v>0</v>
      </c>
      <c r="AF568">
        <v>2</v>
      </c>
      <c r="AG568">
        <v>1</v>
      </c>
    </row>
    <row r="569" spans="1:33" x14ac:dyDescent="0.3">
      <c r="A569" t="s">
        <v>189</v>
      </c>
      <c r="B569" t="s">
        <v>202</v>
      </c>
      <c r="C569" t="s">
        <v>32</v>
      </c>
      <c r="D569" s="1">
        <v>7570</v>
      </c>
      <c r="E569">
        <v>0</v>
      </c>
      <c r="F569">
        <v>683</v>
      </c>
      <c r="G569">
        <v>1</v>
      </c>
      <c r="H569">
        <v>327</v>
      </c>
      <c r="I569">
        <v>0</v>
      </c>
      <c r="J569">
        <v>18</v>
      </c>
      <c r="K569">
        <v>2</v>
      </c>
      <c r="L569">
        <v>20</v>
      </c>
      <c r="M569">
        <v>5</v>
      </c>
      <c r="N569">
        <v>61</v>
      </c>
      <c r="O569">
        <v>3</v>
      </c>
      <c r="P569">
        <v>47</v>
      </c>
      <c r="Q569">
        <v>12</v>
      </c>
      <c r="R569">
        <v>0</v>
      </c>
      <c r="S569">
        <v>0</v>
      </c>
      <c r="T569">
        <v>15</v>
      </c>
      <c r="U569">
        <v>178</v>
      </c>
      <c r="V569">
        <v>175</v>
      </c>
      <c r="W569" s="1">
        <v>2238</v>
      </c>
      <c r="X569" s="1">
        <v>2140</v>
      </c>
      <c r="Y569">
        <v>319</v>
      </c>
      <c r="Z569">
        <v>55</v>
      </c>
      <c r="AA569">
        <v>129</v>
      </c>
      <c r="AB569">
        <v>289</v>
      </c>
      <c r="AC569">
        <v>714</v>
      </c>
      <c r="AD569">
        <v>88</v>
      </c>
      <c r="AE569">
        <v>2</v>
      </c>
      <c r="AF569">
        <v>29</v>
      </c>
      <c r="AG569">
        <v>20</v>
      </c>
    </row>
    <row r="570" spans="1:33" x14ac:dyDescent="0.3">
      <c r="A570" t="s">
        <v>189</v>
      </c>
      <c r="B570" t="s">
        <v>202</v>
      </c>
      <c r="C570" t="s">
        <v>35</v>
      </c>
      <c r="D570" s="1">
        <v>5721</v>
      </c>
      <c r="E570">
        <v>0</v>
      </c>
      <c r="F570">
        <v>438</v>
      </c>
      <c r="G570">
        <v>1</v>
      </c>
      <c r="H570">
        <v>231</v>
      </c>
      <c r="I570">
        <v>0</v>
      </c>
      <c r="J570">
        <v>17</v>
      </c>
      <c r="K570">
        <v>2</v>
      </c>
      <c r="L570">
        <v>19</v>
      </c>
      <c r="M570">
        <v>4</v>
      </c>
      <c r="N570">
        <v>37</v>
      </c>
      <c r="O570">
        <v>2</v>
      </c>
      <c r="P570">
        <v>13</v>
      </c>
      <c r="Q570">
        <v>11</v>
      </c>
      <c r="R570">
        <v>0</v>
      </c>
      <c r="S570">
        <v>0</v>
      </c>
      <c r="T570">
        <v>9</v>
      </c>
      <c r="U570">
        <v>172</v>
      </c>
      <c r="V570">
        <v>89</v>
      </c>
      <c r="W570" s="1">
        <v>2138</v>
      </c>
      <c r="X570" s="1">
        <v>2140</v>
      </c>
      <c r="Y570">
        <v>110</v>
      </c>
      <c r="Z570">
        <v>26</v>
      </c>
      <c r="AA570">
        <v>38</v>
      </c>
      <c r="AB570">
        <v>59</v>
      </c>
      <c r="AC570">
        <v>73</v>
      </c>
      <c r="AD570">
        <v>65</v>
      </c>
      <c r="AE570">
        <v>0</v>
      </c>
      <c r="AF570">
        <v>11</v>
      </c>
      <c r="AG570">
        <v>16</v>
      </c>
    </row>
    <row r="571" spans="1:33" x14ac:dyDescent="0.3">
      <c r="A571" t="s">
        <v>189</v>
      </c>
      <c r="B571" t="s">
        <v>202</v>
      </c>
      <c r="C571" t="s">
        <v>36</v>
      </c>
      <c r="D571" s="1">
        <v>1849</v>
      </c>
      <c r="E571">
        <v>0</v>
      </c>
      <c r="F571">
        <v>245</v>
      </c>
      <c r="G571">
        <v>0</v>
      </c>
      <c r="H571">
        <v>96</v>
      </c>
      <c r="I571">
        <v>0</v>
      </c>
      <c r="J571">
        <v>1</v>
      </c>
      <c r="K571">
        <v>0</v>
      </c>
      <c r="L571">
        <v>1</v>
      </c>
      <c r="M571">
        <v>1</v>
      </c>
      <c r="N571">
        <v>24</v>
      </c>
      <c r="O571">
        <v>1</v>
      </c>
      <c r="P571">
        <v>34</v>
      </c>
      <c r="Q571">
        <v>1</v>
      </c>
      <c r="R571">
        <v>0</v>
      </c>
      <c r="S571">
        <v>0</v>
      </c>
      <c r="T571">
        <v>6</v>
      </c>
      <c r="U571">
        <v>6</v>
      </c>
      <c r="V571">
        <v>86</v>
      </c>
      <c r="W571">
        <v>100</v>
      </c>
      <c r="X571">
        <v>0</v>
      </c>
      <c r="Y571">
        <v>209</v>
      </c>
      <c r="Z571">
        <v>29</v>
      </c>
      <c r="AA571">
        <v>91</v>
      </c>
      <c r="AB571">
        <v>230</v>
      </c>
      <c r="AC571">
        <v>641</v>
      </c>
      <c r="AD571">
        <v>23</v>
      </c>
      <c r="AE571">
        <v>2</v>
      </c>
      <c r="AF571">
        <v>18</v>
      </c>
      <c r="AG571">
        <v>4</v>
      </c>
    </row>
    <row r="572" spans="1:33" x14ac:dyDescent="0.3">
      <c r="A572" t="s">
        <v>189</v>
      </c>
      <c r="B572" t="s">
        <v>203</v>
      </c>
      <c r="C572" t="s">
        <v>32</v>
      </c>
      <c r="D572" s="1">
        <v>1330</v>
      </c>
      <c r="E572">
        <v>0</v>
      </c>
      <c r="F572">
        <v>10</v>
      </c>
      <c r="G572">
        <v>0</v>
      </c>
      <c r="H572">
        <v>3</v>
      </c>
      <c r="I572">
        <v>0</v>
      </c>
      <c r="J572">
        <v>1</v>
      </c>
      <c r="K572">
        <v>9</v>
      </c>
      <c r="L572">
        <v>3</v>
      </c>
      <c r="M572">
        <v>26</v>
      </c>
      <c r="N572">
        <v>1</v>
      </c>
      <c r="O572">
        <v>0</v>
      </c>
      <c r="P572">
        <v>16</v>
      </c>
      <c r="Q572">
        <v>0</v>
      </c>
      <c r="R572">
        <v>0</v>
      </c>
      <c r="S572">
        <v>0</v>
      </c>
      <c r="T572">
        <v>0</v>
      </c>
      <c r="U572">
        <v>45</v>
      </c>
      <c r="V572">
        <v>109</v>
      </c>
      <c r="W572">
        <v>549</v>
      </c>
      <c r="X572">
        <v>110</v>
      </c>
      <c r="Y572">
        <v>112</v>
      </c>
      <c r="Z572">
        <v>8</v>
      </c>
      <c r="AA572">
        <v>17</v>
      </c>
      <c r="AB572">
        <v>68</v>
      </c>
      <c r="AC572">
        <v>191</v>
      </c>
      <c r="AD572">
        <v>11</v>
      </c>
      <c r="AE572">
        <v>0</v>
      </c>
      <c r="AF572">
        <v>39</v>
      </c>
      <c r="AG572">
        <v>2</v>
      </c>
    </row>
    <row r="573" spans="1:33" x14ac:dyDescent="0.3">
      <c r="A573" t="s">
        <v>189</v>
      </c>
      <c r="B573" t="s">
        <v>203</v>
      </c>
      <c r="C573" t="s">
        <v>35</v>
      </c>
      <c r="D573">
        <v>945</v>
      </c>
      <c r="E573">
        <v>0</v>
      </c>
      <c r="F573">
        <v>6</v>
      </c>
      <c r="G573">
        <v>0</v>
      </c>
      <c r="H573">
        <v>1</v>
      </c>
      <c r="I573">
        <v>0</v>
      </c>
      <c r="J573">
        <v>1</v>
      </c>
      <c r="K573">
        <v>9</v>
      </c>
      <c r="L573">
        <v>3</v>
      </c>
      <c r="M573">
        <v>26</v>
      </c>
      <c r="N573">
        <v>1</v>
      </c>
      <c r="O573">
        <v>0</v>
      </c>
      <c r="P573">
        <v>3</v>
      </c>
      <c r="Q573">
        <v>0</v>
      </c>
      <c r="R573">
        <v>0</v>
      </c>
      <c r="S573">
        <v>0</v>
      </c>
      <c r="T573">
        <v>0</v>
      </c>
      <c r="U573">
        <v>44</v>
      </c>
      <c r="V573">
        <v>70</v>
      </c>
      <c r="W573">
        <v>532</v>
      </c>
      <c r="X573">
        <v>110</v>
      </c>
      <c r="Y573">
        <v>47</v>
      </c>
      <c r="Z573">
        <v>4</v>
      </c>
      <c r="AA573">
        <v>3</v>
      </c>
      <c r="AB573">
        <v>26</v>
      </c>
      <c r="AC573">
        <v>20</v>
      </c>
      <c r="AD573">
        <v>7</v>
      </c>
      <c r="AE573">
        <v>0</v>
      </c>
      <c r="AF573">
        <v>31</v>
      </c>
      <c r="AG573">
        <v>1</v>
      </c>
    </row>
    <row r="574" spans="1:33" x14ac:dyDescent="0.3">
      <c r="A574" t="s">
        <v>189</v>
      </c>
      <c r="B574" t="s">
        <v>203</v>
      </c>
      <c r="C574" t="s">
        <v>36</v>
      </c>
      <c r="D574">
        <v>385</v>
      </c>
      <c r="E574">
        <v>0</v>
      </c>
      <c r="F574">
        <v>4</v>
      </c>
      <c r="G574">
        <v>0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13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39</v>
      </c>
      <c r="W574">
        <v>17</v>
      </c>
      <c r="X574">
        <v>0</v>
      </c>
      <c r="Y574">
        <v>65</v>
      </c>
      <c r="Z574">
        <v>4</v>
      </c>
      <c r="AA574">
        <v>14</v>
      </c>
      <c r="AB574">
        <v>42</v>
      </c>
      <c r="AC574">
        <v>171</v>
      </c>
      <c r="AD574">
        <v>4</v>
      </c>
      <c r="AE574">
        <v>0</v>
      </c>
      <c r="AF574">
        <v>8</v>
      </c>
      <c r="AG574">
        <v>1</v>
      </c>
    </row>
    <row r="575" spans="1:33" x14ac:dyDescent="0.3">
      <c r="A575" t="s">
        <v>189</v>
      </c>
      <c r="B575" t="s">
        <v>204</v>
      </c>
      <c r="C575" t="s">
        <v>32</v>
      </c>
      <c r="D575" s="1">
        <v>10425</v>
      </c>
      <c r="E575">
        <v>0</v>
      </c>
      <c r="F575">
        <v>391</v>
      </c>
      <c r="G575">
        <v>0</v>
      </c>
      <c r="H575">
        <v>40</v>
      </c>
      <c r="I575">
        <v>0</v>
      </c>
      <c r="J575">
        <v>0</v>
      </c>
      <c r="K575">
        <v>0</v>
      </c>
      <c r="L575">
        <v>21</v>
      </c>
      <c r="M575">
        <v>29</v>
      </c>
      <c r="N575">
        <v>103</v>
      </c>
      <c r="O575">
        <v>3</v>
      </c>
      <c r="P575">
        <v>8</v>
      </c>
      <c r="Q575">
        <v>0</v>
      </c>
      <c r="R575">
        <v>0</v>
      </c>
      <c r="S575">
        <v>0</v>
      </c>
      <c r="T575">
        <v>8</v>
      </c>
      <c r="U575" s="1">
        <v>2183</v>
      </c>
      <c r="V575">
        <v>471</v>
      </c>
      <c r="W575" s="1">
        <v>4018</v>
      </c>
      <c r="X575">
        <v>3</v>
      </c>
      <c r="Y575">
        <v>329</v>
      </c>
      <c r="Z575">
        <v>298</v>
      </c>
      <c r="AA575">
        <v>726</v>
      </c>
      <c r="AB575">
        <v>466</v>
      </c>
      <c r="AC575">
        <v>505</v>
      </c>
      <c r="AD575">
        <v>643</v>
      </c>
      <c r="AE575">
        <v>1</v>
      </c>
      <c r="AF575">
        <v>115</v>
      </c>
      <c r="AG575">
        <v>64</v>
      </c>
    </row>
    <row r="576" spans="1:33" x14ac:dyDescent="0.3">
      <c r="A576" t="s">
        <v>189</v>
      </c>
      <c r="B576" t="s">
        <v>204</v>
      </c>
      <c r="C576" t="s">
        <v>35</v>
      </c>
      <c r="D576" s="1">
        <v>8298</v>
      </c>
      <c r="E576">
        <v>0</v>
      </c>
      <c r="F576">
        <v>192</v>
      </c>
      <c r="G576">
        <v>0</v>
      </c>
      <c r="H576">
        <v>18</v>
      </c>
      <c r="I576">
        <v>0</v>
      </c>
      <c r="J576">
        <v>0</v>
      </c>
      <c r="K576">
        <v>0</v>
      </c>
      <c r="L576">
        <v>18</v>
      </c>
      <c r="M576">
        <v>29</v>
      </c>
      <c r="N576">
        <v>91</v>
      </c>
      <c r="O576">
        <v>3</v>
      </c>
      <c r="P576">
        <v>2</v>
      </c>
      <c r="Q576">
        <v>0</v>
      </c>
      <c r="R576">
        <v>0</v>
      </c>
      <c r="S576">
        <v>0</v>
      </c>
      <c r="T576">
        <v>0</v>
      </c>
      <c r="U576" s="1">
        <v>2159</v>
      </c>
      <c r="V576">
        <v>266</v>
      </c>
      <c r="W576" s="1">
        <v>3926</v>
      </c>
      <c r="X576">
        <v>3</v>
      </c>
      <c r="Y576">
        <v>130</v>
      </c>
      <c r="Z576">
        <v>200</v>
      </c>
      <c r="AA576">
        <v>177</v>
      </c>
      <c r="AB576">
        <v>257</v>
      </c>
      <c r="AC576">
        <v>125</v>
      </c>
      <c r="AD576">
        <v>573</v>
      </c>
      <c r="AE576">
        <v>0</v>
      </c>
      <c r="AF576">
        <v>70</v>
      </c>
      <c r="AG576">
        <v>59</v>
      </c>
    </row>
    <row r="577" spans="1:33" x14ac:dyDescent="0.3">
      <c r="A577" t="s">
        <v>189</v>
      </c>
      <c r="B577" t="s">
        <v>204</v>
      </c>
      <c r="C577" t="s">
        <v>36</v>
      </c>
      <c r="D577" s="1">
        <v>2127</v>
      </c>
      <c r="E577">
        <v>0</v>
      </c>
      <c r="F577">
        <v>199</v>
      </c>
      <c r="G577">
        <v>0</v>
      </c>
      <c r="H577">
        <v>22</v>
      </c>
      <c r="I577">
        <v>0</v>
      </c>
      <c r="J577">
        <v>0</v>
      </c>
      <c r="K577">
        <v>0</v>
      </c>
      <c r="L577">
        <v>3</v>
      </c>
      <c r="M577">
        <v>0</v>
      </c>
      <c r="N577">
        <v>12</v>
      </c>
      <c r="O577">
        <v>0</v>
      </c>
      <c r="P577">
        <v>6</v>
      </c>
      <c r="Q577">
        <v>0</v>
      </c>
      <c r="R577">
        <v>0</v>
      </c>
      <c r="S577">
        <v>0</v>
      </c>
      <c r="T577">
        <v>8</v>
      </c>
      <c r="U577">
        <v>24</v>
      </c>
      <c r="V577">
        <v>205</v>
      </c>
      <c r="W577">
        <v>92</v>
      </c>
      <c r="X577">
        <v>0</v>
      </c>
      <c r="Y577">
        <v>199</v>
      </c>
      <c r="Z577">
        <v>98</v>
      </c>
      <c r="AA577">
        <v>549</v>
      </c>
      <c r="AB577">
        <v>209</v>
      </c>
      <c r="AC577">
        <v>380</v>
      </c>
      <c r="AD577">
        <v>70</v>
      </c>
      <c r="AE577">
        <v>1</v>
      </c>
      <c r="AF577">
        <v>45</v>
      </c>
      <c r="AG577">
        <v>5</v>
      </c>
    </row>
    <row r="578" spans="1:33" x14ac:dyDescent="0.3">
      <c r="A578" t="s">
        <v>189</v>
      </c>
      <c r="B578" t="s">
        <v>205</v>
      </c>
      <c r="C578" t="s">
        <v>32</v>
      </c>
      <c r="D578" s="1">
        <v>5800</v>
      </c>
      <c r="E578">
        <v>0</v>
      </c>
      <c r="F578">
        <v>1</v>
      </c>
      <c r="G578">
        <v>0</v>
      </c>
      <c r="H578">
        <v>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12</v>
      </c>
      <c r="Q578">
        <v>0</v>
      </c>
      <c r="R578">
        <v>0</v>
      </c>
      <c r="S578">
        <v>0</v>
      </c>
      <c r="T578">
        <v>0</v>
      </c>
      <c r="U578">
        <v>92</v>
      </c>
      <c r="V578" s="1">
        <v>2293</v>
      </c>
      <c r="W578" s="1">
        <v>2732</v>
      </c>
      <c r="X578">
        <v>148</v>
      </c>
      <c r="Y578">
        <v>118</v>
      </c>
      <c r="Z578">
        <v>2</v>
      </c>
      <c r="AA578">
        <v>35</v>
      </c>
      <c r="AB578">
        <v>26</v>
      </c>
      <c r="AC578">
        <v>206</v>
      </c>
      <c r="AD578">
        <v>98</v>
      </c>
      <c r="AE578">
        <v>0</v>
      </c>
      <c r="AF578">
        <v>10</v>
      </c>
      <c r="AG578">
        <v>17</v>
      </c>
    </row>
    <row r="579" spans="1:33" x14ac:dyDescent="0.3">
      <c r="A579" t="s">
        <v>189</v>
      </c>
      <c r="B579" t="s">
        <v>205</v>
      </c>
      <c r="C579" t="s">
        <v>35</v>
      </c>
      <c r="D579" s="1">
        <v>5123</v>
      </c>
      <c r="E579">
        <v>0</v>
      </c>
      <c r="F579">
        <v>1</v>
      </c>
      <c r="G579">
        <v>0</v>
      </c>
      <c r="H579">
        <v>8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5</v>
      </c>
      <c r="Q579">
        <v>0</v>
      </c>
      <c r="R579">
        <v>0</v>
      </c>
      <c r="S579">
        <v>0</v>
      </c>
      <c r="T579">
        <v>0</v>
      </c>
      <c r="U579">
        <v>91</v>
      </c>
      <c r="V579" s="1">
        <v>2021</v>
      </c>
      <c r="W579" s="1">
        <v>2710</v>
      </c>
      <c r="X579">
        <v>148</v>
      </c>
      <c r="Y579">
        <v>44</v>
      </c>
      <c r="Z579">
        <v>1</v>
      </c>
      <c r="AA579">
        <v>6</v>
      </c>
      <c r="AB579">
        <v>4</v>
      </c>
      <c r="AC579">
        <v>6</v>
      </c>
      <c r="AD579">
        <v>58</v>
      </c>
      <c r="AE579">
        <v>0</v>
      </c>
      <c r="AF579">
        <v>1</v>
      </c>
      <c r="AG579">
        <v>17</v>
      </c>
    </row>
    <row r="580" spans="1:33" x14ac:dyDescent="0.3">
      <c r="A580" t="s">
        <v>189</v>
      </c>
      <c r="B580" t="s">
        <v>205</v>
      </c>
      <c r="C580" t="s">
        <v>36</v>
      </c>
      <c r="D580">
        <v>677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7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272</v>
      </c>
      <c r="W580">
        <v>22</v>
      </c>
      <c r="X580">
        <v>0</v>
      </c>
      <c r="Y580">
        <v>74</v>
      </c>
      <c r="Z580">
        <v>1</v>
      </c>
      <c r="AA580">
        <v>29</v>
      </c>
      <c r="AB580">
        <v>22</v>
      </c>
      <c r="AC580">
        <v>200</v>
      </c>
      <c r="AD580">
        <v>40</v>
      </c>
      <c r="AE580">
        <v>0</v>
      </c>
      <c r="AF580">
        <v>9</v>
      </c>
      <c r="AG580">
        <v>0</v>
      </c>
    </row>
    <row r="581" spans="1:33" x14ac:dyDescent="0.3">
      <c r="A581" t="s">
        <v>189</v>
      </c>
      <c r="B581" t="s">
        <v>206</v>
      </c>
      <c r="C581" t="s">
        <v>32</v>
      </c>
      <c r="D581" s="1">
        <v>1411</v>
      </c>
      <c r="E581">
        <v>0</v>
      </c>
      <c r="F581">
        <v>11</v>
      </c>
      <c r="G581">
        <v>0</v>
      </c>
      <c r="H581">
        <v>1</v>
      </c>
      <c r="I581">
        <v>0</v>
      </c>
      <c r="J581">
        <v>3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139</v>
      </c>
      <c r="V581">
        <v>159</v>
      </c>
      <c r="W581">
        <v>671</v>
      </c>
      <c r="X581">
        <v>0</v>
      </c>
      <c r="Y581">
        <v>102</v>
      </c>
      <c r="Z581">
        <v>22</v>
      </c>
      <c r="AA581">
        <v>35</v>
      </c>
      <c r="AB581">
        <v>35</v>
      </c>
      <c r="AC581">
        <v>187</v>
      </c>
      <c r="AD581">
        <v>28</v>
      </c>
      <c r="AE581">
        <v>0</v>
      </c>
      <c r="AF581">
        <v>6</v>
      </c>
      <c r="AG581">
        <v>10</v>
      </c>
    </row>
    <row r="582" spans="1:33" x14ac:dyDescent="0.3">
      <c r="A582" t="s">
        <v>189</v>
      </c>
      <c r="B582" t="s">
        <v>206</v>
      </c>
      <c r="C582" t="s">
        <v>35</v>
      </c>
      <c r="D582">
        <v>923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133</v>
      </c>
      <c r="V582">
        <v>88</v>
      </c>
      <c r="W582">
        <v>588</v>
      </c>
      <c r="X582">
        <v>0</v>
      </c>
      <c r="Y582">
        <v>40</v>
      </c>
      <c r="Z582">
        <v>13</v>
      </c>
      <c r="AA582">
        <v>5</v>
      </c>
      <c r="AB582">
        <v>10</v>
      </c>
      <c r="AC582">
        <v>16</v>
      </c>
      <c r="AD582">
        <v>17</v>
      </c>
      <c r="AE582">
        <v>0</v>
      </c>
      <c r="AF582">
        <v>4</v>
      </c>
      <c r="AG582">
        <v>6</v>
      </c>
    </row>
    <row r="583" spans="1:33" x14ac:dyDescent="0.3">
      <c r="A583" t="s">
        <v>189</v>
      </c>
      <c r="B583" t="s">
        <v>206</v>
      </c>
      <c r="C583" t="s">
        <v>36</v>
      </c>
      <c r="D583">
        <v>488</v>
      </c>
      <c r="E583">
        <v>0</v>
      </c>
      <c r="F583">
        <v>9</v>
      </c>
      <c r="G583">
        <v>0</v>
      </c>
      <c r="H583">
        <v>1</v>
      </c>
      <c r="I583">
        <v>0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6</v>
      </c>
      <c r="V583">
        <v>71</v>
      </c>
      <c r="W583">
        <v>83</v>
      </c>
      <c r="X583">
        <v>0</v>
      </c>
      <c r="Y583">
        <v>62</v>
      </c>
      <c r="Z583">
        <v>9</v>
      </c>
      <c r="AA583">
        <v>30</v>
      </c>
      <c r="AB583">
        <v>25</v>
      </c>
      <c r="AC583">
        <v>171</v>
      </c>
      <c r="AD583">
        <v>11</v>
      </c>
      <c r="AE583">
        <v>0</v>
      </c>
      <c r="AF583">
        <v>2</v>
      </c>
      <c r="AG583">
        <v>4</v>
      </c>
    </row>
    <row r="584" spans="1:33" x14ac:dyDescent="0.3">
      <c r="A584" t="s">
        <v>189</v>
      </c>
      <c r="B584" t="s">
        <v>207</v>
      </c>
      <c r="C584" t="s">
        <v>32</v>
      </c>
      <c r="D584" s="1">
        <v>1109</v>
      </c>
      <c r="E584">
        <v>0</v>
      </c>
      <c r="F584">
        <v>0</v>
      </c>
      <c r="G584">
        <v>0</v>
      </c>
      <c r="H584">
        <v>10</v>
      </c>
      <c r="I584">
        <v>0</v>
      </c>
      <c r="J584">
        <v>0</v>
      </c>
      <c r="K584">
        <v>0</v>
      </c>
      <c r="L584">
        <v>1</v>
      </c>
      <c r="M584">
        <v>2</v>
      </c>
      <c r="N584">
        <v>2</v>
      </c>
      <c r="O584">
        <v>0</v>
      </c>
      <c r="P584">
        <v>7</v>
      </c>
      <c r="Q584">
        <v>0</v>
      </c>
      <c r="R584">
        <v>0</v>
      </c>
      <c r="S584">
        <v>0</v>
      </c>
      <c r="T584">
        <v>0</v>
      </c>
      <c r="U584">
        <v>22</v>
      </c>
      <c r="V584">
        <v>408</v>
      </c>
      <c r="W584">
        <v>375</v>
      </c>
      <c r="X584">
        <v>4</v>
      </c>
      <c r="Y584">
        <v>54</v>
      </c>
      <c r="Z584">
        <v>12</v>
      </c>
      <c r="AA584">
        <v>8</v>
      </c>
      <c r="AB584">
        <v>41</v>
      </c>
      <c r="AC584">
        <v>145</v>
      </c>
      <c r="AD584">
        <v>9</v>
      </c>
      <c r="AE584">
        <v>0</v>
      </c>
      <c r="AF584">
        <v>7</v>
      </c>
      <c r="AG584">
        <v>2</v>
      </c>
    </row>
    <row r="585" spans="1:33" x14ac:dyDescent="0.3">
      <c r="A585" t="s">
        <v>189</v>
      </c>
      <c r="B585" t="s">
        <v>207</v>
      </c>
      <c r="C585" t="s">
        <v>35</v>
      </c>
      <c r="D585">
        <v>664</v>
      </c>
      <c r="E585">
        <v>0</v>
      </c>
      <c r="F585">
        <v>0</v>
      </c>
      <c r="G585">
        <v>0</v>
      </c>
      <c r="H585">
        <v>10</v>
      </c>
      <c r="I585">
        <v>0</v>
      </c>
      <c r="J585">
        <v>0</v>
      </c>
      <c r="K585">
        <v>0</v>
      </c>
      <c r="L585">
        <v>1</v>
      </c>
      <c r="M585">
        <v>2</v>
      </c>
      <c r="N585">
        <v>1</v>
      </c>
      <c r="O585">
        <v>0</v>
      </c>
      <c r="P585">
        <v>2</v>
      </c>
      <c r="Q585">
        <v>0</v>
      </c>
      <c r="R585">
        <v>0</v>
      </c>
      <c r="S585">
        <v>0</v>
      </c>
      <c r="T585">
        <v>0</v>
      </c>
      <c r="U585">
        <v>22</v>
      </c>
      <c r="V585">
        <v>248</v>
      </c>
      <c r="W585">
        <v>321</v>
      </c>
      <c r="X585">
        <v>4</v>
      </c>
      <c r="Y585">
        <v>19</v>
      </c>
      <c r="Z585">
        <v>5</v>
      </c>
      <c r="AA585">
        <v>2</v>
      </c>
      <c r="AB585">
        <v>8</v>
      </c>
      <c r="AC585">
        <v>8</v>
      </c>
      <c r="AD585">
        <v>6</v>
      </c>
      <c r="AE585">
        <v>0</v>
      </c>
      <c r="AF585">
        <v>4</v>
      </c>
      <c r="AG585">
        <v>1</v>
      </c>
    </row>
    <row r="586" spans="1:33" x14ac:dyDescent="0.3">
      <c r="A586" t="s">
        <v>189</v>
      </c>
      <c r="B586" t="s">
        <v>207</v>
      </c>
      <c r="C586" t="s">
        <v>36</v>
      </c>
      <c r="D586">
        <v>445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160</v>
      </c>
      <c r="W586">
        <v>54</v>
      </c>
      <c r="X586">
        <v>0</v>
      </c>
      <c r="Y586">
        <v>35</v>
      </c>
      <c r="Z586">
        <v>7</v>
      </c>
      <c r="AA586">
        <v>6</v>
      </c>
      <c r="AB586">
        <v>33</v>
      </c>
      <c r="AC586">
        <v>137</v>
      </c>
      <c r="AD586">
        <v>3</v>
      </c>
      <c r="AE586">
        <v>0</v>
      </c>
      <c r="AF586">
        <v>3</v>
      </c>
      <c r="AG586">
        <v>1</v>
      </c>
    </row>
    <row r="587" spans="1:33" x14ac:dyDescent="0.3">
      <c r="A587" t="s">
        <v>189</v>
      </c>
      <c r="B587" t="s">
        <v>208</v>
      </c>
      <c r="C587" t="s">
        <v>32</v>
      </c>
      <c r="D587" s="1">
        <v>3141</v>
      </c>
      <c r="E587">
        <v>0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10</v>
      </c>
      <c r="Q587">
        <v>0</v>
      </c>
      <c r="R587">
        <v>0</v>
      </c>
      <c r="S587">
        <v>0</v>
      </c>
      <c r="T587">
        <v>0</v>
      </c>
      <c r="U587">
        <v>86</v>
      </c>
      <c r="V587">
        <v>758</v>
      </c>
      <c r="W587" s="1">
        <v>1783</v>
      </c>
      <c r="X587">
        <v>148</v>
      </c>
      <c r="Y587">
        <v>78</v>
      </c>
      <c r="Z587">
        <v>4</v>
      </c>
      <c r="AA587">
        <v>34</v>
      </c>
      <c r="AB587">
        <v>25</v>
      </c>
      <c r="AC587">
        <v>153</v>
      </c>
      <c r="AD587">
        <v>26</v>
      </c>
      <c r="AE587">
        <v>0</v>
      </c>
      <c r="AF587">
        <v>9</v>
      </c>
      <c r="AG587">
        <v>23</v>
      </c>
    </row>
    <row r="588" spans="1:33" x14ac:dyDescent="0.3">
      <c r="A588" t="s">
        <v>189</v>
      </c>
      <c r="B588" t="s">
        <v>208</v>
      </c>
      <c r="C588" t="s">
        <v>35</v>
      </c>
      <c r="D588" s="1">
        <v>2603</v>
      </c>
      <c r="E588">
        <v>0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86</v>
      </c>
      <c r="V588">
        <v>500</v>
      </c>
      <c r="W588" s="1">
        <v>1769</v>
      </c>
      <c r="X588">
        <v>148</v>
      </c>
      <c r="Y588">
        <v>27</v>
      </c>
      <c r="Z588">
        <v>0</v>
      </c>
      <c r="AA588">
        <v>6</v>
      </c>
      <c r="AB588">
        <v>5</v>
      </c>
      <c r="AC588">
        <v>9</v>
      </c>
      <c r="AD588">
        <v>22</v>
      </c>
      <c r="AE588">
        <v>0</v>
      </c>
      <c r="AF588">
        <v>6</v>
      </c>
      <c r="AG588">
        <v>20</v>
      </c>
    </row>
    <row r="589" spans="1:33" x14ac:dyDescent="0.3">
      <c r="A589" t="s">
        <v>189</v>
      </c>
      <c r="B589" t="s">
        <v>208</v>
      </c>
      <c r="C589" t="s">
        <v>36</v>
      </c>
      <c r="D589">
        <v>538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258</v>
      </c>
      <c r="W589">
        <v>14</v>
      </c>
      <c r="X589">
        <v>0</v>
      </c>
      <c r="Y589">
        <v>51</v>
      </c>
      <c r="Z589">
        <v>4</v>
      </c>
      <c r="AA589">
        <v>28</v>
      </c>
      <c r="AB589">
        <v>20</v>
      </c>
      <c r="AC589">
        <v>144</v>
      </c>
      <c r="AD589">
        <v>4</v>
      </c>
      <c r="AE589">
        <v>0</v>
      </c>
      <c r="AF589">
        <v>3</v>
      </c>
      <c r="AG589">
        <v>3</v>
      </c>
    </row>
    <row r="590" spans="1:33" x14ac:dyDescent="0.3">
      <c r="A590" t="s">
        <v>189</v>
      </c>
      <c r="B590" t="s">
        <v>209</v>
      </c>
      <c r="C590" t="s">
        <v>32</v>
      </c>
      <c r="D590" s="1">
        <v>1366</v>
      </c>
      <c r="E590">
        <v>0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7</v>
      </c>
      <c r="Q590">
        <v>0</v>
      </c>
      <c r="R590">
        <v>0</v>
      </c>
      <c r="S590">
        <v>0</v>
      </c>
      <c r="T590">
        <v>0</v>
      </c>
      <c r="U590">
        <v>84</v>
      </c>
      <c r="V590">
        <v>291</v>
      </c>
      <c r="W590">
        <v>739</v>
      </c>
      <c r="X590">
        <v>1</v>
      </c>
      <c r="Y590">
        <v>56</v>
      </c>
      <c r="Z590">
        <v>4</v>
      </c>
      <c r="AA590">
        <v>23</v>
      </c>
      <c r="AB590">
        <v>19</v>
      </c>
      <c r="AC590">
        <v>114</v>
      </c>
      <c r="AD590">
        <v>16</v>
      </c>
      <c r="AE590">
        <v>0</v>
      </c>
      <c r="AF590">
        <v>5</v>
      </c>
      <c r="AG590">
        <v>4</v>
      </c>
    </row>
    <row r="591" spans="1:33" x14ac:dyDescent="0.3">
      <c r="A591" t="s">
        <v>189</v>
      </c>
      <c r="B591" t="s">
        <v>209</v>
      </c>
      <c r="C591" t="s">
        <v>35</v>
      </c>
      <c r="D591">
        <v>946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79</v>
      </c>
      <c r="V591">
        <v>181</v>
      </c>
      <c r="W591">
        <v>631</v>
      </c>
      <c r="X591">
        <v>1</v>
      </c>
      <c r="Y591">
        <v>22</v>
      </c>
      <c r="Z591">
        <v>2</v>
      </c>
      <c r="AA591">
        <v>3</v>
      </c>
      <c r="AB591">
        <v>2</v>
      </c>
      <c r="AC591">
        <v>4</v>
      </c>
      <c r="AD591">
        <v>16</v>
      </c>
      <c r="AE591">
        <v>0</v>
      </c>
      <c r="AF591">
        <v>1</v>
      </c>
      <c r="AG591">
        <v>3</v>
      </c>
    </row>
    <row r="592" spans="1:33" x14ac:dyDescent="0.3">
      <c r="A592" t="s">
        <v>189</v>
      </c>
      <c r="B592" t="s">
        <v>209</v>
      </c>
      <c r="C592" t="s">
        <v>36</v>
      </c>
      <c r="D592">
        <v>420</v>
      </c>
      <c r="E592">
        <v>0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7</v>
      </c>
      <c r="Q592">
        <v>0</v>
      </c>
      <c r="R592">
        <v>0</v>
      </c>
      <c r="S592">
        <v>0</v>
      </c>
      <c r="T592">
        <v>0</v>
      </c>
      <c r="U592">
        <v>5</v>
      </c>
      <c r="V592">
        <v>110</v>
      </c>
      <c r="W592">
        <v>108</v>
      </c>
      <c r="X592">
        <v>0</v>
      </c>
      <c r="Y592">
        <v>34</v>
      </c>
      <c r="Z592">
        <v>2</v>
      </c>
      <c r="AA592">
        <v>20</v>
      </c>
      <c r="AB592">
        <v>17</v>
      </c>
      <c r="AC592">
        <v>110</v>
      </c>
      <c r="AD592">
        <v>0</v>
      </c>
      <c r="AE592">
        <v>0</v>
      </c>
      <c r="AF592">
        <v>4</v>
      </c>
      <c r="AG592">
        <v>1</v>
      </c>
    </row>
    <row r="593" spans="1:33" x14ac:dyDescent="0.3">
      <c r="A593" t="s">
        <v>189</v>
      </c>
      <c r="B593" t="s">
        <v>210</v>
      </c>
      <c r="C593" t="s">
        <v>32</v>
      </c>
      <c r="D593" s="1">
        <v>4232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5</v>
      </c>
      <c r="O593">
        <v>0</v>
      </c>
      <c r="P593">
        <v>20</v>
      </c>
      <c r="Q593">
        <v>0</v>
      </c>
      <c r="R593">
        <v>0</v>
      </c>
      <c r="S593">
        <v>0</v>
      </c>
      <c r="T593">
        <v>0</v>
      </c>
      <c r="U593">
        <v>184</v>
      </c>
      <c r="V593" s="1">
        <v>1618</v>
      </c>
      <c r="W593" s="1">
        <v>1668</v>
      </c>
      <c r="X593">
        <v>16</v>
      </c>
      <c r="Y593">
        <v>153</v>
      </c>
      <c r="Z593">
        <v>52</v>
      </c>
      <c r="AA593">
        <v>63</v>
      </c>
      <c r="AB593">
        <v>50</v>
      </c>
      <c r="AC593">
        <v>297</v>
      </c>
      <c r="AD593">
        <v>80</v>
      </c>
      <c r="AE593">
        <v>0</v>
      </c>
      <c r="AF593">
        <v>13</v>
      </c>
      <c r="AG593">
        <v>10</v>
      </c>
    </row>
    <row r="594" spans="1:33" x14ac:dyDescent="0.3">
      <c r="A594" t="s">
        <v>189</v>
      </c>
      <c r="B594" t="s">
        <v>210</v>
      </c>
      <c r="C594" t="s">
        <v>35</v>
      </c>
      <c r="D594" s="1">
        <v>3017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5</v>
      </c>
      <c r="O594">
        <v>0</v>
      </c>
      <c r="P594">
        <v>5</v>
      </c>
      <c r="Q594">
        <v>0</v>
      </c>
      <c r="R594">
        <v>0</v>
      </c>
      <c r="S594">
        <v>0</v>
      </c>
      <c r="T594">
        <v>0</v>
      </c>
      <c r="U594">
        <v>180</v>
      </c>
      <c r="V594" s="1">
        <v>1010</v>
      </c>
      <c r="W594" s="1">
        <v>1577</v>
      </c>
      <c r="X594">
        <v>16</v>
      </c>
      <c r="Y594">
        <v>56</v>
      </c>
      <c r="Z594">
        <v>38</v>
      </c>
      <c r="AA594">
        <v>17</v>
      </c>
      <c r="AB594">
        <v>9</v>
      </c>
      <c r="AC594">
        <v>11</v>
      </c>
      <c r="AD594">
        <v>73</v>
      </c>
      <c r="AE594">
        <v>0</v>
      </c>
      <c r="AF594">
        <v>9</v>
      </c>
      <c r="AG594">
        <v>8</v>
      </c>
    </row>
    <row r="595" spans="1:33" x14ac:dyDescent="0.3">
      <c r="A595" t="s">
        <v>189</v>
      </c>
      <c r="B595" t="s">
        <v>210</v>
      </c>
      <c r="C595" t="s">
        <v>36</v>
      </c>
      <c r="D595" s="1">
        <v>1215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15</v>
      </c>
      <c r="Q595">
        <v>0</v>
      </c>
      <c r="R595">
        <v>0</v>
      </c>
      <c r="S595">
        <v>0</v>
      </c>
      <c r="T595">
        <v>0</v>
      </c>
      <c r="U595">
        <v>4</v>
      </c>
      <c r="V595">
        <v>608</v>
      </c>
      <c r="W595">
        <v>91</v>
      </c>
      <c r="X595">
        <v>0</v>
      </c>
      <c r="Y595">
        <v>97</v>
      </c>
      <c r="Z595">
        <v>14</v>
      </c>
      <c r="AA595">
        <v>46</v>
      </c>
      <c r="AB595">
        <v>41</v>
      </c>
      <c r="AC595">
        <v>286</v>
      </c>
      <c r="AD595">
        <v>7</v>
      </c>
      <c r="AE595">
        <v>0</v>
      </c>
      <c r="AF595">
        <v>4</v>
      </c>
      <c r="AG595">
        <v>2</v>
      </c>
    </row>
    <row r="596" spans="1:33" x14ac:dyDescent="0.3">
      <c r="A596" t="s">
        <v>189</v>
      </c>
      <c r="B596" t="s">
        <v>211</v>
      </c>
      <c r="C596" t="s">
        <v>32</v>
      </c>
      <c r="D596" s="1">
        <v>1204</v>
      </c>
      <c r="E596">
        <v>0</v>
      </c>
      <c r="F596">
        <v>39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4</v>
      </c>
      <c r="O596">
        <v>0</v>
      </c>
      <c r="P596">
        <v>13</v>
      </c>
      <c r="Q596">
        <v>10</v>
      </c>
      <c r="R596">
        <v>0</v>
      </c>
      <c r="S596">
        <v>0</v>
      </c>
      <c r="T596">
        <v>0</v>
      </c>
      <c r="U596">
        <v>62</v>
      </c>
      <c r="V596">
        <v>132</v>
      </c>
      <c r="W596">
        <v>471</v>
      </c>
      <c r="X596">
        <v>0</v>
      </c>
      <c r="Y596">
        <v>100</v>
      </c>
      <c r="Z596">
        <v>25</v>
      </c>
      <c r="AA596">
        <v>36</v>
      </c>
      <c r="AB596">
        <v>81</v>
      </c>
      <c r="AC596">
        <v>208</v>
      </c>
      <c r="AD596">
        <v>9</v>
      </c>
      <c r="AE596">
        <v>0</v>
      </c>
      <c r="AF596">
        <v>11</v>
      </c>
      <c r="AG596">
        <v>2</v>
      </c>
    </row>
    <row r="597" spans="1:33" x14ac:dyDescent="0.3">
      <c r="A597" t="s">
        <v>189</v>
      </c>
      <c r="B597" t="s">
        <v>211</v>
      </c>
      <c r="C597" t="s">
        <v>35</v>
      </c>
      <c r="D597">
        <v>654</v>
      </c>
      <c r="E597">
        <v>0</v>
      </c>
      <c r="F597">
        <v>18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2</v>
      </c>
      <c r="O597">
        <v>0</v>
      </c>
      <c r="P597">
        <v>3</v>
      </c>
      <c r="Q597">
        <v>5</v>
      </c>
      <c r="R597">
        <v>0</v>
      </c>
      <c r="S597">
        <v>0</v>
      </c>
      <c r="T597">
        <v>0</v>
      </c>
      <c r="U597">
        <v>60</v>
      </c>
      <c r="V597">
        <v>71</v>
      </c>
      <c r="W597">
        <v>381</v>
      </c>
      <c r="X597">
        <v>0</v>
      </c>
      <c r="Y597">
        <v>44</v>
      </c>
      <c r="Z597">
        <v>11</v>
      </c>
      <c r="AA597">
        <v>10</v>
      </c>
      <c r="AB597">
        <v>13</v>
      </c>
      <c r="AC597">
        <v>20</v>
      </c>
      <c r="AD597">
        <v>8</v>
      </c>
      <c r="AE597">
        <v>0</v>
      </c>
      <c r="AF597">
        <v>5</v>
      </c>
      <c r="AG597">
        <v>2</v>
      </c>
    </row>
    <row r="598" spans="1:33" x14ac:dyDescent="0.3">
      <c r="A598" t="s">
        <v>189</v>
      </c>
      <c r="B598" t="s">
        <v>211</v>
      </c>
      <c r="C598" t="s">
        <v>36</v>
      </c>
      <c r="D598">
        <v>550</v>
      </c>
      <c r="E598">
        <v>0</v>
      </c>
      <c r="F598">
        <v>21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2</v>
      </c>
      <c r="O598">
        <v>0</v>
      </c>
      <c r="P598">
        <v>10</v>
      </c>
      <c r="Q598">
        <v>5</v>
      </c>
      <c r="R598">
        <v>0</v>
      </c>
      <c r="S598">
        <v>0</v>
      </c>
      <c r="T598">
        <v>0</v>
      </c>
      <c r="U598">
        <v>2</v>
      </c>
      <c r="V598">
        <v>61</v>
      </c>
      <c r="W598">
        <v>90</v>
      </c>
      <c r="X598">
        <v>0</v>
      </c>
      <c r="Y598">
        <v>56</v>
      </c>
      <c r="Z598">
        <v>14</v>
      </c>
      <c r="AA598">
        <v>26</v>
      </c>
      <c r="AB598">
        <v>68</v>
      </c>
      <c r="AC598">
        <v>188</v>
      </c>
      <c r="AD598">
        <v>1</v>
      </c>
      <c r="AE598">
        <v>0</v>
      </c>
      <c r="AF598">
        <v>6</v>
      </c>
      <c r="AG598">
        <v>0</v>
      </c>
    </row>
    <row r="599" spans="1:33" x14ac:dyDescent="0.3">
      <c r="A599" t="s">
        <v>212</v>
      </c>
      <c r="B599" t="s">
        <v>32</v>
      </c>
      <c r="C599" t="s">
        <v>32</v>
      </c>
      <c r="D599" s="1">
        <v>28508</v>
      </c>
      <c r="E599">
        <v>3</v>
      </c>
      <c r="F599" s="1">
        <v>1085</v>
      </c>
      <c r="G599">
        <v>0</v>
      </c>
      <c r="H599">
        <v>546</v>
      </c>
      <c r="I599">
        <v>0</v>
      </c>
      <c r="J599">
        <v>39</v>
      </c>
      <c r="K599">
        <v>16</v>
      </c>
      <c r="L599">
        <v>91</v>
      </c>
      <c r="M599">
        <v>3</v>
      </c>
      <c r="N599">
        <v>231</v>
      </c>
      <c r="O599">
        <v>8</v>
      </c>
      <c r="P599">
        <v>249</v>
      </c>
      <c r="Q599">
        <v>44</v>
      </c>
      <c r="R599">
        <v>1</v>
      </c>
      <c r="S599">
        <v>0</v>
      </c>
      <c r="T599">
        <v>202</v>
      </c>
      <c r="U599" s="1">
        <v>4142</v>
      </c>
      <c r="V599" s="1">
        <v>1086</v>
      </c>
      <c r="W599" s="1">
        <v>4894</v>
      </c>
      <c r="X599" s="1">
        <v>3204</v>
      </c>
      <c r="Y599" s="1">
        <v>1092</v>
      </c>
      <c r="Z599" s="1">
        <v>2381</v>
      </c>
      <c r="AA599">
        <v>783</v>
      </c>
      <c r="AB599" s="1">
        <v>3807</v>
      </c>
      <c r="AC599" s="1">
        <v>2719</v>
      </c>
      <c r="AD599" s="1">
        <v>1325</v>
      </c>
      <c r="AE599">
        <v>18</v>
      </c>
      <c r="AF599">
        <v>359</v>
      </c>
      <c r="AG599">
        <v>180</v>
      </c>
    </row>
    <row r="600" spans="1:33" x14ac:dyDescent="0.3">
      <c r="A600" t="s">
        <v>212</v>
      </c>
      <c r="B600" t="s">
        <v>32</v>
      </c>
      <c r="C600" t="s">
        <v>35</v>
      </c>
      <c r="D600" s="1">
        <f>D603+D606</f>
        <v>16867</v>
      </c>
      <c r="E600" s="1">
        <f t="shared" ref="E600:AG600" si="24">E603+E606</f>
        <v>3</v>
      </c>
      <c r="F600" s="1">
        <f t="shared" si="24"/>
        <v>588</v>
      </c>
      <c r="G600" s="1">
        <f t="shared" si="24"/>
        <v>0</v>
      </c>
      <c r="H600" s="1">
        <f t="shared" si="24"/>
        <v>333</v>
      </c>
      <c r="I600" s="1">
        <f t="shared" si="24"/>
        <v>0</v>
      </c>
      <c r="J600" s="1">
        <f t="shared" si="24"/>
        <v>18</v>
      </c>
      <c r="K600" s="1">
        <f t="shared" si="24"/>
        <v>14</v>
      </c>
      <c r="L600" s="1">
        <f t="shared" si="24"/>
        <v>76</v>
      </c>
      <c r="M600" s="1">
        <f t="shared" si="24"/>
        <v>2</v>
      </c>
      <c r="N600" s="1">
        <f t="shared" si="24"/>
        <v>110</v>
      </c>
      <c r="O600" s="1">
        <f t="shared" si="24"/>
        <v>4</v>
      </c>
      <c r="P600" s="1">
        <f t="shared" si="24"/>
        <v>79</v>
      </c>
      <c r="Q600" s="1">
        <f t="shared" si="24"/>
        <v>25</v>
      </c>
      <c r="R600" s="1">
        <f t="shared" si="24"/>
        <v>1</v>
      </c>
      <c r="S600" s="1">
        <f t="shared" si="24"/>
        <v>0</v>
      </c>
      <c r="T600" s="1">
        <f t="shared" si="24"/>
        <v>134</v>
      </c>
      <c r="U600" s="1">
        <f t="shared" si="24"/>
        <v>1824</v>
      </c>
      <c r="V600" s="1">
        <f t="shared" si="24"/>
        <v>619</v>
      </c>
      <c r="W600" s="1">
        <f t="shared" si="24"/>
        <v>4715</v>
      </c>
      <c r="X600" s="1">
        <f t="shared" si="24"/>
        <v>3204</v>
      </c>
      <c r="Y600" s="1">
        <f t="shared" si="24"/>
        <v>403</v>
      </c>
      <c r="Z600" s="1">
        <f t="shared" si="24"/>
        <v>1150</v>
      </c>
      <c r="AA600" s="1">
        <f t="shared" si="24"/>
        <v>325</v>
      </c>
      <c r="AB600" s="1">
        <f t="shared" si="24"/>
        <v>1713</v>
      </c>
      <c r="AC600" s="1">
        <f t="shared" si="24"/>
        <v>485</v>
      </c>
      <c r="AD600" s="1">
        <f t="shared" si="24"/>
        <v>731</v>
      </c>
      <c r="AE600" s="1">
        <f t="shared" si="24"/>
        <v>3</v>
      </c>
      <c r="AF600" s="1">
        <f t="shared" si="24"/>
        <v>199</v>
      </c>
      <c r="AG600" s="1">
        <f t="shared" si="24"/>
        <v>109</v>
      </c>
    </row>
    <row r="601" spans="1:33" x14ac:dyDescent="0.3">
      <c r="A601" t="s">
        <v>212</v>
      </c>
      <c r="B601" t="s">
        <v>32</v>
      </c>
      <c r="C601" t="s">
        <v>36</v>
      </c>
      <c r="D601" s="1">
        <f>D604+D607</f>
        <v>11641</v>
      </c>
      <c r="E601" s="1">
        <f t="shared" ref="E601:AG601" si="25">E604+E607</f>
        <v>0</v>
      </c>
      <c r="F601" s="1">
        <f t="shared" si="25"/>
        <v>497</v>
      </c>
      <c r="G601" s="1">
        <f t="shared" si="25"/>
        <v>0</v>
      </c>
      <c r="H601" s="1">
        <f t="shared" si="25"/>
        <v>213</v>
      </c>
      <c r="I601" s="1">
        <f t="shared" si="25"/>
        <v>0</v>
      </c>
      <c r="J601" s="1">
        <f t="shared" si="25"/>
        <v>21</v>
      </c>
      <c r="K601" s="1">
        <f t="shared" si="25"/>
        <v>2</v>
      </c>
      <c r="L601" s="1">
        <f t="shared" si="25"/>
        <v>15</v>
      </c>
      <c r="M601" s="1">
        <f t="shared" si="25"/>
        <v>1</v>
      </c>
      <c r="N601" s="1">
        <f t="shared" si="25"/>
        <v>121</v>
      </c>
      <c r="O601" s="1">
        <f t="shared" si="25"/>
        <v>4</v>
      </c>
      <c r="P601" s="1">
        <f t="shared" si="25"/>
        <v>170</v>
      </c>
      <c r="Q601" s="1">
        <f t="shared" si="25"/>
        <v>19</v>
      </c>
      <c r="R601" s="1">
        <f t="shared" si="25"/>
        <v>0</v>
      </c>
      <c r="S601" s="1">
        <f t="shared" si="25"/>
        <v>0</v>
      </c>
      <c r="T601" s="1">
        <f t="shared" si="25"/>
        <v>68</v>
      </c>
      <c r="U601" s="1">
        <f t="shared" si="25"/>
        <v>2318</v>
      </c>
      <c r="V601" s="1">
        <f t="shared" si="25"/>
        <v>467</v>
      </c>
      <c r="W601" s="1">
        <f t="shared" si="25"/>
        <v>179</v>
      </c>
      <c r="X601" s="1">
        <f t="shared" si="25"/>
        <v>0</v>
      </c>
      <c r="Y601" s="1">
        <f t="shared" si="25"/>
        <v>689</v>
      </c>
      <c r="Z601" s="1">
        <f t="shared" si="25"/>
        <v>1231</v>
      </c>
      <c r="AA601" s="1">
        <f t="shared" si="25"/>
        <v>458</v>
      </c>
      <c r="AB601" s="1">
        <f t="shared" si="25"/>
        <v>2094</v>
      </c>
      <c r="AC601" s="1">
        <f t="shared" si="25"/>
        <v>2234</v>
      </c>
      <c r="AD601" s="1">
        <f t="shared" si="25"/>
        <v>594</v>
      </c>
      <c r="AE601" s="1">
        <f t="shared" si="25"/>
        <v>15</v>
      </c>
      <c r="AF601" s="1">
        <f t="shared" si="25"/>
        <v>160</v>
      </c>
      <c r="AG601" s="1">
        <f t="shared" si="25"/>
        <v>71</v>
      </c>
    </row>
    <row r="602" spans="1:33" x14ac:dyDescent="0.3">
      <c r="A602" t="s">
        <v>212</v>
      </c>
      <c r="B602" t="s">
        <v>213</v>
      </c>
      <c r="C602" t="s">
        <v>32</v>
      </c>
      <c r="D602" s="1">
        <v>10083</v>
      </c>
      <c r="E602">
        <v>1</v>
      </c>
      <c r="F602">
        <v>25</v>
      </c>
      <c r="G602">
        <v>0</v>
      </c>
      <c r="H602">
        <v>49</v>
      </c>
      <c r="I602">
        <v>0</v>
      </c>
      <c r="J602">
        <v>9</v>
      </c>
      <c r="K602">
        <v>0</v>
      </c>
      <c r="L602">
        <v>47</v>
      </c>
      <c r="M602">
        <v>1</v>
      </c>
      <c r="N602">
        <v>26</v>
      </c>
      <c r="O602">
        <v>0</v>
      </c>
      <c r="P602">
        <v>74</v>
      </c>
      <c r="Q602">
        <v>2</v>
      </c>
      <c r="R602">
        <v>1</v>
      </c>
      <c r="S602">
        <v>0</v>
      </c>
      <c r="T602">
        <v>83</v>
      </c>
      <c r="U602" s="1">
        <v>1596</v>
      </c>
      <c r="V602">
        <v>517</v>
      </c>
      <c r="W602" s="1">
        <v>2049</v>
      </c>
      <c r="X602" s="1">
        <v>1454</v>
      </c>
      <c r="Y602">
        <v>326</v>
      </c>
      <c r="Z602" s="1">
        <v>1071</v>
      </c>
      <c r="AA602">
        <v>389</v>
      </c>
      <c r="AB602" s="1">
        <v>1166</v>
      </c>
      <c r="AC602">
        <v>842</v>
      </c>
      <c r="AD602">
        <v>221</v>
      </c>
      <c r="AE602">
        <v>7</v>
      </c>
      <c r="AF602">
        <v>88</v>
      </c>
      <c r="AG602">
        <v>39</v>
      </c>
    </row>
    <row r="603" spans="1:33" x14ac:dyDescent="0.3">
      <c r="A603" t="s">
        <v>212</v>
      </c>
      <c r="B603" t="s">
        <v>213</v>
      </c>
      <c r="C603" t="s">
        <v>35</v>
      </c>
      <c r="D603" s="1">
        <v>6407</v>
      </c>
      <c r="E603">
        <v>1</v>
      </c>
      <c r="F603">
        <v>11</v>
      </c>
      <c r="G603">
        <v>0</v>
      </c>
      <c r="H603">
        <v>22</v>
      </c>
      <c r="I603">
        <v>0</v>
      </c>
      <c r="J603">
        <v>5</v>
      </c>
      <c r="K603">
        <v>0</v>
      </c>
      <c r="L603">
        <v>42</v>
      </c>
      <c r="M603">
        <v>0</v>
      </c>
      <c r="N603">
        <v>8</v>
      </c>
      <c r="O603">
        <v>0</v>
      </c>
      <c r="P603">
        <v>28</v>
      </c>
      <c r="Q603">
        <v>1</v>
      </c>
      <c r="R603">
        <v>1</v>
      </c>
      <c r="S603">
        <v>0</v>
      </c>
      <c r="T603">
        <v>56</v>
      </c>
      <c r="U603">
        <v>762</v>
      </c>
      <c r="V603">
        <v>299</v>
      </c>
      <c r="W603" s="1">
        <v>1999</v>
      </c>
      <c r="X603" s="1">
        <v>1454</v>
      </c>
      <c r="Y603">
        <v>124</v>
      </c>
      <c r="Z603">
        <v>525</v>
      </c>
      <c r="AA603">
        <v>179</v>
      </c>
      <c r="AB603">
        <v>503</v>
      </c>
      <c r="AC603">
        <v>165</v>
      </c>
      <c r="AD603">
        <v>142</v>
      </c>
      <c r="AE603">
        <v>2</v>
      </c>
      <c r="AF603">
        <v>53</v>
      </c>
      <c r="AG603">
        <v>25</v>
      </c>
    </row>
    <row r="604" spans="1:33" x14ac:dyDescent="0.3">
      <c r="A604" t="s">
        <v>212</v>
      </c>
      <c r="B604" t="s">
        <v>213</v>
      </c>
      <c r="C604" t="s">
        <v>36</v>
      </c>
      <c r="D604" s="1">
        <v>3676</v>
      </c>
      <c r="E604">
        <v>0</v>
      </c>
      <c r="F604">
        <v>14</v>
      </c>
      <c r="G604">
        <v>0</v>
      </c>
      <c r="H604">
        <v>27</v>
      </c>
      <c r="I604">
        <v>0</v>
      </c>
      <c r="J604">
        <v>4</v>
      </c>
      <c r="K604">
        <v>0</v>
      </c>
      <c r="L604">
        <v>5</v>
      </c>
      <c r="M604">
        <v>1</v>
      </c>
      <c r="N604">
        <v>18</v>
      </c>
      <c r="O604">
        <v>0</v>
      </c>
      <c r="P604">
        <v>46</v>
      </c>
      <c r="Q604">
        <v>1</v>
      </c>
      <c r="R604">
        <v>0</v>
      </c>
      <c r="S604">
        <v>0</v>
      </c>
      <c r="T604">
        <v>27</v>
      </c>
      <c r="U604">
        <v>834</v>
      </c>
      <c r="V604">
        <v>218</v>
      </c>
      <c r="W604">
        <v>50</v>
      </c>
      <c r="X604" s="1">
        <v>0</v>
      </c>
      <c r="Y604">
        <v>202</v>
      </c>
      <c r="Z604">
        <v>546</v>
      </c>
      <c r="AA604">
        <v>210</v>
      </c>
      <c r="AB604">
        <v>663</v>
      </c>
      <c r="AC604">
        <v>677</v>
      </c>
      <c r="AD604">
        <v>79</v>
      </c>
      <c r="AE604">
        <v>5</v>
      </c>
      <c r="AF604">
        <v>35</v>
      </c>
      <c r="AG604">
        <v>14</v>
      </c>
    </row>
    <row r="605" spans="1:33" x14ac:dyDescent="0.3">
      <c r="A605" t="s">
        <v>212</v>
      </c>
      <c r="B605" t="s">
        <v>214</v>
      </c>
      <c r="C605" t="s">
        <v>32</v>
      </c>
      <c r="D605" s="1">
        <v>18425</v>
      </c>
      <c r="E605">
        <v>2</v>
      </c>
      <c r="F605" s="1">
        <v>1060</v>
      </c>
      <c r="G605">
        <v>0</v>
      </c>
      <c r="H605">
        <v>497</v>
      </c>
      <c r="I605">
        <v>0</v>
      </c>
      <c r="J605">
        <v>30</v>
      </c>
      <c r="K605">
        <v>16</v>
      </c>
      <c r="L605">
        <v>44</v>
      </c>
      <c r="M605">
        <v>2</v>
      </c>
      <c r="N605">
        <v>205</v>
      </c>
      <c r="O605">
        <v>8</v>
      </c>
      <c r="P605">
        <v>175</v>
      </c>
      <c r="Q605">
        <v>42</v>
      </c>
      <c r="R605">
        <v>0</v>
      </c>
      <c r="S605">
        <v>0</v>
      </c>
      <c r="T605">
        <v>119</v>
      </c>
      <c r="U605" s="1">
        <v>2546</v>
      </c>
      <c r="V605">
        <v>569</v>
      </c>
      <c r="W605" s="1">
        <v>2845</v>
      </c>
      <c r="X605" s="1">
        <v>1750</v>
      </c>
      <c r="Y605">
        <v>766</v>
      </c>
      <c r="Z605" s="1">
        <v>1310</v>
      </c>
      <c r="AA605">
        <v>394</v>
      </c>
      <c r="AB605" s="1">
        <v>2641</v>
      </c>
      <c r="AC605" s="1">
        <v>1877</v>
      </c>
      <c r="AD605" s="1">
        <v>1104</v>
      </c>
      <c r="AE605">
        <v>11</v>
      </c>
      <c r="AF605">
        <v>271</v>
      </c>
      <c r="AG605">
        <v>141</v>
      </c>
    </row>
    <row r="606" spans="1:33" x14ac:dyDescent="0.3">
      <c r="A606" t="s">
        <v>212</v>
      </c>
      <c r="B606" t="s">
        <v>214</v>
      </c>
      <c r="C606" t="s">
        <v>35</v>
      </c>
      <c r="D606" s="1">
        <v>10460</v>
      </c>
      <c r="E606">
        <v>2</v>
      </c>
      <c r="F606">
        <v>577</v>
      </c>
      <c r="G606">
        <v>0</v>
      </c>
      <c r="H606">
        <v>311</v>
      </c>
      <c r="I606">
        <v>0</v>
      </c>
      <c r="J606">
        <v>13</v>
      </c>
      <c r="K606">
        <v>14</v>
      </c>
      <c r="L606">
        <v>34</v>
      </c>
      <c r="M606">
        <v>2</v>
      </c>
      <c r="N606">
        <v>102</v>
      </c>
      <c r="O606">
        <v>4</v>
      </c>
      <c r="P606">
        <v>51</v>
      </c>
      <c r="Q606">
        <v>24</v>
      </c>
      <c r="R606">
        <v>0</v>
      </c>
      <c r="S606">
        <v>0</v>
      </c>
      <c r="T606">
        <v>78</v>
      </c>
      <c r="U606" s="1">
        <v>1062</v>
      </c>
      <c r="V606">
        <v>320</v>
      </c>
      <c r="W606" s="1">
        <v>2716</v>
      </c>
      <c r="X606" s="1">
        <v>1750</v>
      </c>
      <c r="Y606">
        <v>279</v>
      </c>
      <c r="Z606">
        <v>625</v>
      </c>
      <c r="AA606">
        <v>146</v>
      </c>
      <c r="AB606" s="1">
        <v>1210</v>
      </c>
      <c r="AC606">
        <v>320</v>
      </c>
      <c r="AD606">
        <v>589</v>
      </c>
      <c r="AE606">
        <v>1</v>
      </c>
      <c r="AF606">
        <v>146</v>
      </c>
      <c r="AG606">
        <v>84</v>
      </c>
    </row>
    <row r="607" spans="1:33" x14ac:dyDescent="0.3">
      <c r="A607" t="s">
        <v>212</v>
      </c>
      <c r="B607" t="s">
        <v>214</v>
      </c>
      <c r="C607" t="s">
        <v>36</v>
      </c>
      <c r="D607" s="1">
        <v>7965</v>
      </c>
      <c r="E607">
        <v>0</v>
      </c>
      <c r="F607">
        <v>483</v>
      </c>
      <c r="G607">
        <v>0</v>
      </c>
      <c r="H607">
        <v>186</v>
      </c>
      <c r="I607">
        <v>0</v>
      </c>
      <c r="J607">
        <v>17</v>
      </c>
      <c r="K607">
        <v>2</v>
      </c>
      <c r="L607">
        <v>10</v>
      </c>
      <c r="M607">
        <v>0</v>
      </c>
      <c r="N607">
        <v>103</v>
      </c>
      <c r="O607">
        <v>4</v>
      </c>
      <c r="P607">
        <v>124</v>
      </c>
      <c r="Q607">
        <v>18</v>
      </c>
      <c r="R607">
        <v>0</v>
      </c>
      <c r="S607">
        <v>0</v>
      </c>
      <c r="T607">
        <v>41</v>
      </c>
      <c r="U607" s="1">
        <v>1484</v>
      </c>
      <c r="V607">
        <v>249</v>
      </c>
      <c r="W607">
        <v>129</v>
      </c>
      <c r="X607" s="1">
        <v>0</v>
      </c>
      <c r="Y607">
        <v>487</v>
      </c>
      <c r="Z607">
        <v>685</v>
      </c>
      <c r="AA607">
        <v>248</v>
      </c>
      <c r="AB607" s="1">
        <v>1431</v>
      </c>
      <c r="AC607" s="1">
        <v>1557</v>
      </c>
      <c r="AD607">
        <v>515</v>
      </c>
      <c r="AE607">
        <v>10</v>
      </c>
      <c r="AF607">
        <v>125</v>
      </c>
      <c r="AG607">
        <v>57</v>
      </c>
    </row>
    <row r="608" spans="1:33" x14ac:dyDescent="0.3">
      <c r="A608" t="s">
        <v>215</v>
      </c>
      <c r="B608" t="s">
        <v>32</v>
      </c>
      <c r="C608" t="s">
        <v>32</v>
      </c>
      <c r="D608" s="1">
        <v>106749</v>
      </c>
      <c r="E608">
        <v>0</v>
      </c>
      <c r="F608" s="1">
        <v>9992</v>
      </c>
      <c r="G608">
        <v>48</v>
      </c>
      <c r="H608" s="1">
        <v>5974</v>
      </c>
      <c r="I608">
        <v>0</v>
      </c>
      <c r="J608">
        <v>124</v>
      </c>
      <c r="K608">
        <v>10</v>
      </c>
      <c r="L608">
        <v>239</v>
      </c>
      <c r="M608">
        <v>145</v>
      </c>
      <c r="N608" s="1">
        <v>1089</v>
      </c>
      <c r="O608">
        <v>54</v>
      </c>
      <c r="P608">
        <v>539</v>
      </c>
      <c r="Q608">
        <v>92</v>
      </c>
      <c r="R608">
        <v>4</v>
      </c>
      <c r="S608">
        <v>0</v>
      </c>
      <c r="T608">
        <v>47</v>
      </c>
      <c r="U608" s="1">
        <v>4947</v>
      </c>
      <c r="V608" s="1">
        <v>4988</v>
      </c>
      <c r="W608" s="1">
        <v>31308</v>
      </c>
      <c r="X608" s="1">
        <v>2051</v>
      </c>
      <c r="Y608" s="1">
        <v>5864</v>
      </c>
      <c r="Z608" s="1">
        <v>3613</v>
      </c>
      <c r="AA608" s="1">
        <v>4972</v>
      </c>
      <c r="AB608" s="1">
        <v>10401</v>
      </c>
      <c r="AC608" s="1">
        <v>8531</v>
      </c>
      <c r="AD608" s="1">
        <v>4904</v>
      </c>
      <c r="AE608">
        <v>26</v>
      </c>
      <c r="AF608" s="1">
        <v>4607</v>
      </c>
      <c r="AG608" s="1">
        <v>2180</v>
      </c>
    </row>
    <row r="609" spans="1:33" x14ac:dyDescent="0.3">
      <c r="A609" t="s">
        <v>215</v>
      </c>
      <c r="B609" t="s">
        <v>32</v>
      </c>
      <c r="C609" t="s">
        <v>35</v>
      </c>
      <c r="D609" s="1">
        <f>D612+D615+D618+D621+D624+D627+D630+D633+D636+D639+D642+D645+D648+D651+D654+D657</f>
        <v>66477</v>
      </c>
      <c r="E609" s="1">
        <f t="shared" ref="E609:AG609" si="26">E612+E615+E618+E621+E624+E627+E630+E633+E636+E639+E642+E645+E648+E651+E654+E657</f>
        <v>0</v>
      </c>
      <c r="F609" s="1">
        <f t="shared" si="26"/>
        <v>5472</v>
      </c>
      <c r="G609" s="1">
        <f t="shared" si="26"/>
        <v>43</v>
      </c>
      <c r="H609" s="1">
        <f t="shared" si="26"/>
        <v>3076</v>
      </c>
      <c r="I609" s="1">
        <f t="shared" si="26"/>
        <v>0</v>
      </c>
      <c r="J609" s="1">
        <f t="shared" si="26"/>
        <v>42</v>
      </c>
      <c r="K609" s="1">
        <f t="shared" si="26"/>
        <v>10</v>
      </c>
      <c r="L609" s="1">
        <f t="shared" si="26"/>
        <v>195</v>
      </c>
      <c r="M609" s="1">
        <f t="shared" si="26"/>
        <v>136</v>
      </c>
      <c r="N609" s="1">
        <f t="shared" si="26"/>
        <v>544</v>
      </c>
      <c r="O609" s="1">
        <f t="shared" si="26"/>
        <v>37</v>
      </c>
      <c r="P609" s="1">
        <f t="shared" si="26"/>
        <v>129</v>
      </c>
      <c r="Q609" s="1">
        <f t="shared" si="26"/>
        <v>65</v>
      </c>
      <c r="R609" s="1">
        <f t="shared" si="26"/>
        <v>4</v>
      </c>
      <c r="S609" s="1">
        <f t="shared" si="26"/>
        <v>0</v>
      </c>
      <c r="T609" s="1">
        <f t="shared" si="26"/>
        <v>31</v>
      </c>
      <c r="U609" s="1">
        <f t="shared" si="26"/>
        <v>4655</v>
      </c>
      <c r="V609" s="1">
        <f t="shared" si="26"/>
        <v>2586</v>
      </c>
      <c r="W609" s="1">
        <f t="shared" si="26"/>
        <v>26901</v>
      </c>
      <c r="X609" s="1">
        <f t="shared" si="26"/>
        <v>2051</v>
      </c>
      <c r="Y609" s="1">
        <f t="shared" si="26"/>
        <v>2373</v>
      </c>
      <c r="Z609" s="1">
        <f t="shared" si="26"/>
        <v>1604</v>
      </c>
      <c r="AA609" s="1">
        <f t="shared" si="26"/>
        <v>1645</v>
      </c>
      <c r="AB609" s="1">
        <f t="shared" si="26"/>
        <v>5753</v>
      </c>
      <c r="AC609" s="1">
        <f t="shared" si="26"/>
        <v>1311</v>
      </c>
      <c r="AD609" s="1">
        <f t="shared" si="26"/>
        <v>3839</v>
      </c>
      <c r="AE609" s="1">
        <f t="shared" si="26"/>
        <v>1</v>
      </c>
      <c r="AF609" s="1">
        <f t="shared" si="26"/>
        <v>2684</v>
      </c>
      <c r="AG609" s="1">
        <f t="shared" si="26"/>
        <v>1290</v>
      </c>
    </row>
    <row r="610" spans="1:33" x14ac:dyDescent="0.3">
      <c r="A610" t="s">
        <v>215</v>
      </c>
      <c r="B610" t="s">
        <v>32</v>
      </c>
      <c r="C610" t="s">
        <v>36</v>
      </c>
      <c r="D610" s="1">
        <f>D613+D616+D619+D622+D625+D628+D631+D634+D637+D640+D643+D646+D649+D652+D655+D658</f>
        <v>40272</v>
      </c>
      <c r="E610" s="1">
        <f t="shared" ref="E610:AG610" si="27">E613+E616+E619+E622+E625+E628+E631+E634+E637+E640+E643+E646+E649+E652+E655+E658</f>
        <v>0</v>
      </c>
      <c r="F610" s="1">
        <f t="shared" si="27"/>
        <v>4520</v>
      </c>
      <c r="G610" s="1">
        <f t="shared" si="27"/>
        <v>5</v>
      </c>
      <c r="H610" s="1">
        <f t="shared" si="27"/>
        <v>2898</v>
      </c>
      <c r="I610" s="1">
        <f t="shared" si="27"/>
        <v>0</v>
      </c>
      <c r="J610" s="1">
        <f t="shared" si="27"/>
        <v>82</v>
      </c>
      <c r="K610" s="1">
        <f t="shared" si="27"/>
        <v>0</v>
      </c>
      <c r="L610" s="1">
        <f t="shared" si="27"/>
        <v>44</v>
      </c>
      <c r="M610" s="1">
        <f t="shared" si="27"/>
        <v>9</v>
      </c>
      <c r="N610" s="1">
        <f t="shared" si="27"/>
        <v>545</v>
      </c>
      <c r="O610" s="1">
        <f t="shared" si="27"/>
        <v>17</v>
      </c>
      <c r="P610" s="1">
        <f t="shared" si="27"/>
        <v>410</v>
      </c>
      <c r="Q610" s="1">
        <f t="shared" si="27"/>
        <v>27</v>
      </c>
      <c r="R610" s="1">
        <f t="shared" si="27"/>
        <v>0</v>
      </c>
      <c r="S610" s="1">
        <f t="shared" si="27"/>
        <v>0</v>
      </c>
      <c r="T610" s="1">
        <f t="shared" si="27"/>
        <v>16</v>
      </c>
      <c r="U610" s="1">
        <f t="shared" si="27"/>
        <v>292</v>
      </c>
      <c r="V610" s="1">
        <f t="shared" si="27"/>
        <v>2402</v>
      </c>
      <c r="W610" s="1">
        <f t="shared" si="27"/>
        <v>4407</v>
      </c>
      <c r="X610" s="1">
        <f t="shared" si="27"/>
        <v>0</v>
      </c>
      <c r="Y610" s="1">
        <f t="shared" si="27"/>
        <v>3491</v>
      </c>
      <c r="Z610" s="1">
        <f t="shared" si="27"/>
        <v>2009</v>
      </c>
      <c r="AA610" s="1">
        <f t="shared" si="27"/>
        <v>3327</v>
      </c>
      <c r="AB610" s="1">
        <f t="shared" si="27"/>
        <v>4648</v>
      </c>
      <c r="AC610" s="1">
        <f t="shared" si="27"/>
        <v>7220</v>
      </c>
      <c r="AD610" s="1">
        <f t="shared" si="27"/>
        <v>1065</v>
      </c>
      <c r="AE610" s="1">
        <f t="shared" si="27"/>
        <v>25</v>
      </c>
      <c r="AF610" s="1">
        <f t="shared" si="27"/>
        <v>1923</v>
      </c>
      <c r="AG610" s="1">
        <f t="shared" si="27"/>
        <v>890</v>
      </c>
    </row>
    <row r="611" spans="1:33" x14ac:dyDescent="0.3">
      <c r="A611" t="s">
        <v>215</v>
      </c>
      <c r="B611" t="s">
        <v>216</v>
      </c>
      <c r="C611" t="s">
        <v>32</v>
      </c>
      <c r="D611">
        <v>284</v>
      </c>
      <c r="E611">
        <v>0</v>
      </c>
      <c r="F611">
        <v>2</v>
      </c>
      <c r="G611">
        <v>0</v>
      </c>
      <c r="H611">
        <v>1</v>
      </c>
      <c r="I611">
        <v>0</v>
      </c>
      <c r="J611">
        <v>11</v>
      </c>
      <c r="K611">
        <v>0</v>
      </c>
      <c r="L611">
        <v>3</v>
      </c>
      <c r="M611">
        <v>0</v>
      </c>
      <c r="N611">
        <v>1</v>
      </c>
      <c r="O611">
        <v>0</v>
      </c>
      <c r="P611">
        <v>10</v>
      </c>
      <c r="Q611">
        <v>0</v>
      </c>
      <c r="R611">
        <v>0</v>
      </c>
      <c r="S611">
        <v>0</v>
      </c>
      <c r="T611">
        <v>0</v>
      </c>
      <c r="U611">
        <v>9</v>
      </c>
      <c r="V611" s="1">
        <v>0</v>
      </c>
      <c r="W611">
        <v>72</v>
      </c>
      <c r="X611" s="1">
        <v>0</v>
      </c>
      <c r="Y611">
        <v>45</v>
      </c>
      <c r="Z611">
        <v>2</v>
      </c>
      <c r="AA611">
        <v>16</v>
      </c>
      <c r="AB611">
        <v>31</v>
      </c>
      <c r="AC611">
        <v>71</v>
      </c>
      <c r="AD611">
        <v>3</v>
      </c>
      <c r="AE611">
        <v>0</v>
      </c>
      <c r="AF611">
        <v>5</v>
      </c>
      <c r="AG611">
        <v>2</v>
      </c>
    </row>
    <row r="612" spans="1:33" x14ac:dyDescent="0.3">
      <c r="A612" t="s">
        <v>215</v>
      </c>
      <c r="B612" t="s">
        <v>216</v>
      </c>
      <c r="C612" t="s">
        <v>35</v>
      </c>
      <c r="D612">
        <v>143</v>
      </c>
      <c r="E612">
        <v>0</v>
      </c>
      <c r="F612">
        <v>1</v>
      </c>
      <c r="G612">
        <v>0</v>
      </c>
      <c r="H612" s="1">
        <v>0</v>
      </c>
      <c r="I612">
        <v>0</v>
      </c>
      <c r="J612">
        <v>7</v>
      </c>
      <c r="K612">
        <v>0</v>
      </c>
      <c r="L612">
        <v>2</v>
      </c>
      <c r="M612">
        <v>0</v>
      </c>
      <c r="N612" s="1">
        <v>0</v>
      </c>
      <c r="O612">
        <v>0</v>
      </c>
      <c r="P612">
        <v>5</v>
      </c>
      <c r="Q612">
        <v>0</v>
      </c>
      <c r="R612">
        <v>0</v>
      </c>
      <c r="S612">
        <v>0</v>
      </c>
      <c r="T612">
        <v>0</v>
      </c>
      <c r="U612">
        <v>8</v>
      </c>
      <c r="V612" s="1">
        <v>0</v>
      </c>
      <c r="W612">
        <v>66</v>
      </c>
      <c r="X612" s="1">
        <v>0</v>
      </c>
      <c r="Y612">
        <v>21</v>
      </c>
      <c r="Z612">
        <v>1</v>
      </c>
      <c r="AA612">
        <v>7</v>
      </c>
      <c r="AB612">
        <v>10</v>
      </c>
      <c r="AC612">
        <v>11</v>
      </c>
      <c r="AD612">
        <v>2</v>
      </c>
      <c r="AE612">
        <v>0</v>
      </c>
      <c r="AF612" s="1">
        <v>0</v>
      </c>
      <c r="AG612">
        <v>2</v>
      </c>
    </row>
    <row r="613" spans="1:33" x14ac:dyDescent="0.3">
      <c r="A613" t="s">
        <v>215</v>
      </c>
      <c r="B613" t="s">
        <v>216</v>
      </c>
      <c r="C613" t="s">
        <v>36</v>
      </c>
      <c r="D613">
        <v>141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4</v>
      </c>
      <c r="K613">
        <v>0</v>
      </c>
      <c r="L613">
        <v>1</v>
      </c>
      <c r="M613">
        <v>0</v>
      </c>
      <c r="N613">
        <v>1</v>
      </c>
      <c r="O613">
        <v>0</v>
      </c>
      <c r="P613">
        <v>5</v>
      </c>
      <c r="Q613">
        <v>0</v>
      </c>
      <c r="R613">
        <v>0</v>
      </c>
      <c r="S613">
        <v>0</v>
      </c>
      <c r="T613">
        <v>0</v>
      </c>
      <c r="U613">
        <v>1</v>
      </c>
      <c r="V613" s="1">
        <v>0</v>
      </c>
      <c r="W613">
        <v>6</v>
      </c>
      <c r="X613" s="1">
        <v>0</v>
      </c>
      <c r="Y613">
        <v>24</v>
      </c>
      <c r="Z613">
        <v>1</v>
      </c>
      <c r="AA613">
        <v>9</v>
      </c>
      <c r="AB613">
        <v>21</v>
      </c>
      <c r="AC613">
        <v>60</v>
      </c>
      <c r="AD613">
        <v>1</v>
      </c>
      <c r="AE613">
        <v>0</v>
      </c>
      <c r="AF613">
        <v>5</v>
      </c>
      <c r="AG613" s="1">
        <v>0</v>
      </c>
    </row>
    <row r="614" spans="1:33" x14ac:dyDescent="0.3">
      <c r="A614" t="s">
        <v>215</v>
      </c>
      <c r="B614" t="s">
        <v>217</v>
      </c>
      <c r="C614" t="s">
        <v>32</v>
      </c>
      <c r="D614" s="1">
        <v>3237</v>
      </c>
      <c r="E614">
        <v>0</v>
      </c>
      <c r="F614">
        <v>252</v>
      </c>
      <c r="G614">
        <v>0</v>
      </c>
      <c r="H614">
        <v>249</v>
      </c>
      <c r="I614">
        <v>0</v>
      </c>
      <c r="J614">
        <v>73</v>
      </c>
      <c r="K614">
        <v>0</v>
      </c>
      <c r="L614">
        <v>7</v>
      </c>
      <c r="M614">
        <v>0</v>
      </c>
      <c r="N614">
        <v>34</v>
      </c>
      <c r="O614">
        <v>2</v>
      </c>
      <c r="P614">
        <v>38</v>
      </c>
      <c r="Q614">
        <v>3</v>
      </c>
      <c r="R614">
        <v>0</v>
      </c>
      <c r="S614">
        <v>0</v>
      </c>
      <c r="T614">
        <v>0</v>
      </c>
      <c r="U614">
        <v>174</v>
      </c>
      <c r="V614">
        <v>602</v>
      </c>
      <c r="W614">
        <v>877</v>
      </c>
      <c r="X614" s="1">
        <v>0</v>
      </c>
      <c r="Y614">
        <v>147</v>
      </c>
      <c r="Z614">
        <v>97</v>
      </c>
      <c r="AA614">
        <v>108</v>
      </c>
      <c r="AB614">
        <v>157</v>
      </c>
      <c r="AC614">
        <v>350</v>
      </c>
      <c r="AD614">
        <v>26</v>
      </c>
      <c r="AE614">
        <v>1</v>
      </c>
      <c r="AF614">
        <v>37</v>
      </c>
      <c r="AG614">
        <v>3</v>
      </c>
    </row>
    <row r="615" spans="1:33" x14ac:dyDescent="0.3">
      <c r="A615" t="s">
        <v>215</v>
      </c>
      <c r="B615" t="s">
        <v>217</v>
      </c>
      <c r="C615" t="s">
        <v>35</v>
      </c>
      <c r="D615" s="1">
        <v>1873</v>
      </c>
      <c r="E615">
        <v>0</v>
      </c>
      <c r="F615">
        <v>101</v>
      </c>
      <c r="G615">
        <v>0</v>
      </c>
      <c r="H615">
        <v>146</v>
      </c>
      <c r="I615">
        <v>0</v>
      </c>
      <c r="J615">
        <v>0</v>
      </c>
      <c r="K615">
        <v>0</v>
      </c>
      <c r="L615">
        <v>7</v>
      </c>
      <c r="M615">
        <v>0</v>
      </c>
      <c r="N615">
        <v>17</v>
      </c>
      <c r="O615">
        <v>2</v>
      </c>
      <c r="P615">
        <v>12</v>
      </c>
      <c r="Q615">
        <v>2</v>
      </c>
      <c r="R615">
        <v>0</v>
      </c>
      <c r="S615">
        <v>0</v>
      </c>
      <c r="T615">
        <v>0</v>
      </c>
      <c r="U615">
        <v>163</v>
      </c>
      <c r="V615">
        <v>354</v>
      </c>
      <c r="W615">
        <v>788</v>
      </c>
      <c r="X615" s="1">
        <v>0</v>
      </c>
      <c r="Y615">
        <v>52</v>
      </c>
      <c r="Z615">
        <v>42</v>
      </c>
      <c r="AA615">
        <v>25</v>
      </c>
      <c r="AB615">
        <v>78</v>
      </c>
      <c r="AC615">
        <v>47</v>
      </c>
      <c r="AD615">
        <v>16</v>
      </c>
      <c r="AE615">
        <v>0</v>
      </c>
      <c r="AF615">
        <v>18</v>
      </c>
      <c r="AG615">
        <v>3</v>
      </c>
    </row>
    <row r="616" spans="1:33" x14ac:dyDescent="0.3">
      <c r="A616" t="s">
        <v>215</v>
      </c>
      <c r="B616" t="s">
        <v>217</v>
      </c>
      <c r="C616" t="s">
        <v>36</v>
      </c>
      <c r="D616" s="1">
        <v>1364</v>
      </c>
      <c r="E616">
        <v>0</v>
      </c>
      <c r="F616">
        <v>151</v>
      </c>
      <c r="G616">
        <v>0</v>
      </c>
      <c r="H616">
        <v>103</v>
      </c>
      <c r="I616">
        <v>0</v>
      </c>
      <c r="J616">
        <v>73</v>
      </c>
      <c r="K616">
        <v>0</v>
      </c>
      <c r="L616">
        <v>0</v>
      </c>
      <c r="M616">
        <v>0</v>
      </c>
      <c r="N616">
        <v>17</v>
      </c>
      <c r="O616">
        <v>0</v>
      </c>
      <c r="P616">
        <v>26</v>
      </c>
      <c r="Q616">
        <v>1</v>
      </c>
      <c r="R616">
        <v>0</v>
      </c>
      <c r="S616">
        <v>0</v>
      </c>
      <c r="T616">
        <v>0</v>
      </c>
      <c r="U616">
        <v>11</v>
      </c>
      <c r="V616">
        <v>248</v>
      </c>
      <c r="W616">
        <v>89</v>
      </c>
      <c r="X616" s="1">
        <v>0</v>
      </c>
      <c r="Y616">
        <v>95</v>
      </c>
      <c r="Z616">
        <v>55</v>
      </c>
      <c r="AA616">
        <v>83</v>
      </c>
      <c r="AB616">
        <v>79</v>
      </c>
      <c r="AC616">
        <v>303</v>
      </c>
      <c r="AD616">
        <v>10</v>
      </c>
      <c r="AE616">
        <v>1</v>
      </c>
      <c r="AF616">
        <v>19</v>
      </c>
      <c r="AG616">
        <v>0</v>
      </c>
    </row>
    <row r="617" spans="1:33" x14ac:dyDescent="0.3">
      <c r="A617" t="s">
        <v>215</v>
      </c>
      <c r="B617" t="s">
        <v>218</v>
      </c>
      <c r="C617" t="s">
        <v>32</v>
      </c>
      <c r="D617" s="1">
        <v>3467</v>
      </c>
      <c r="E617">
        <v>0</v>
      </c>
      <c r="F617">
        <v>521</v>
      </c>
      <c r="G617">
        <v>0</v>
      </c>
      <c r="H617">
        <v>225</v>
      </c>
      <c r="I617">
        <v>0</v>
      </c>
      <c r="J617">
        <v>8</v>
      </c>
      <c r="K617">
        <v>0</v>
      </c>
      <c r="L617">
        <v>2</v>
      </c>
      <c r="M617">
        <v>0</v>
      </c>
      <c r="N617">
        <v>51</v>
      </c>
      <c r="O617">
        <v>0</v>
      </c>
      <c r="P617">
        <v>9</v>
      </c>
      <c r="Q617">
        <v>0</v>
      </c>
      <c r="R617">
        <v>0</v>
      </c>
      <c r="S617">
        <v>0</v>
      </c>
      <c r="T617">
        <v>0</v>
      </c>
      <c r="U617">
        <v>182</v>
      </c>
      <c r="V617">
        <v>415</v>
      </c>
      <c r="W617" s="1">
        <v>1331</v>
      </c>
      <c r="X617" s="1">
        <v>0</v>
      </c>
      <c r="Y617">
        <v>106</v>
      </c>
      <c r="Z617">
        <v>91</v>
      </c>
      <c r="AA617">
        <v>158</v>
      </c>
      <c r="AB617">
        <v>67</v>
      </c>
      <c r="AC617">
        <v>230</v>
      </c>
      <c r="AD617">
        <v>37</v>
      </c>
      <c r="AE617">
        <v>0</v>
      </c>
      <c r="AF617">
        <v>18</v>
      </c>
      <c r="AG617">
        <v>16</v>
      </c>
    </row>
    <row r="618" spans="1:33" x14ac:dyDescent="0.3">
      <c r="A618" t="s">
        <v>215</v>
      </c>
      <c r="B618" t="s">
        <v>218</v>
      </c>
      <c r="C618" t="s">
        <v>35</v>
      </c>
      <c r="D618" s="1">
        <v>1870</v>
      </c>
      <c r="E618">
        <v>0</v>
      </c>
      <c r="F618">
        <v>305</v>
      </c>
      <c r="G618">
        <v>0</v>
      </c>
      <c r="H618">
        <v>117</v>
      </c>
      <c r="I618">
        <v>0</v>
      </c>
      <c r="J618">
        <v>8</v>
      </c>
      <c r="K618">
        <v>0</v>
      </c>
      <c r="L618">
        <v>1</v>
      </c>
      <c r="M618">
        <v>0</v>
      </c>
      <c r="N618">
        <v>30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165</v>
      </c>
      <c r="V618">
        <v>159</v>
      </c>
      <c r="W618">
        <v>833</v>
      </c>
      <c r="X618" s="1">
        <v>0</v>
      </c>
      <c r="Y618">
        <v>47</v>
      </c>
      <c r="Z618">
        <v>56</v>
      </c>
      <c r="AA618">
        <v>46</v>
      </c>
      <c r="AB618">
        <v>23</v>
      </c>
      <c r="AC618">
        <v>27</v>
      </c>
      <c r="AD618">
        <v>27</v>
      </c>
      <c r="AE618">
        <v>0</v>
      </c>
      <c r="AF618">
        <v>13</v>
      </c>
      <c r="AG618">
        <v>12</v>
      </c>
    </row>
    <row r="619" spans="1:33" x14ac:dyDescent="0.3">
      <c r="A619" t="s">
        <v>215</v>
      </c>
      <c r="B619" t="s">
        <v>218</v>
      </c>
      <c r="C619" t="s">
        <v>36</v>
      </c>
      <c r="D619" s="1">
        <v>1597</v>
      </c>
      <c r="E619">
        <v>0</v>
      </c>
      <c r="F619">
        <v>216</v>
      </c>
      <c r="G619">
        <v>0</v>
      </c>
      <c r="H619">
        <v>108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21</v>
      </c>
      <c r="O619">
        <v>0</v>
      </c>
      <c r="P619">
        <v>8</v>
      </c>
      <c r="Q619">
        <v>0</v>
      </c>
      <c r="R619">
        <v>0</v>
      </c>
      <c r="S619">
        <v>0</v>
      </c>
      <c r="T619">
        <v>0</v>
      </c>
      <c r="U619">
        <v>17</v>
      </c>
      <c r="V619">
        <v>256</v>
      </c>
      <c r="W619">
        <v>498</v>
      </c>
      <c r="X619" s="1">
        <v>0</v>
      </c>
      <c r="Y619">
        <v>59</v>
      </c>
      <c r="Z619">
        <v>35</v>
      </c>
      <c r="AA619">
        <v>112</v>
      </c>
      <c r="AB619">
        <v>44</v>
      </c>
      <c r="AC619">
        <v>203</v>
      </c>
      <c r="AD619">
        <v>10</v>
      </c>
      <c r="AE619">
        <v>0</v>
      </c>
      <c r="AF619">
        <v>5</v>
      </c>
      <c r="AG619">
        <v>4</v>
      </c>
    </row>
    <row r="620" spans="1:33" x14ac:dyDescent="0.3">
      <c r="A620" t="s">
        <v>215</v>
      </c>
      <c r="B620" t="s">
        <v>219</v>
      </c>
      <c r="C620" t="s">
        <v>32</v>
      </c>
      <c r="D620" s="1">
        <v>7445</v>
      </c>
      <c r="E620">
        <v>0</v>
      </c>
      <c r="F620">
        <v>381</v>
      </c>
      <c r="G620">
        <v>1</v>
      </c>
      <c r="H620">
        <v>397</v>
      </c>
      <c r="I620">
        <v>0</v>
      </c>
      <c r="J620">
        <v>1</v>
      </c>
      <c r="K620">
        <v>0</v>
      </c>
      <c r="L620">
        <v>16</v>
      </c>
      <c r="M620">
        <v>0</v>
      </c>
      <c r="N620">
        <v>10</v>
      </c>
      <c r="O620">
        <v>0</v>
      </c>
      <c r="P620">
        <v>10</v>
      </c>
      <c r="Q620">
        <v>0</v>
      </c>
      <c r="R620">
        <v>0</v>
      </c>
      <c r="S620">
        <v>0</v>
      </c>
      <c r="T620">
        <v>3</v>
      </c>
      <c r="U620">
        <v>371</v>
      </c>
      <c r="V620">
        <v>624</v>
      </c>
      <c r="W620" s="1">
        <v>3616</v>
      </c>
      <c r="X620" s="1">
        <v>0</v>
      </c>
      <c r="Y620">
        <v>272</v>
      </c>
      <c r="Z620">
        <v>88</v>
      </c>
      <c r="AA620">
        <v>222</v>
      </c>
      <c r="AB620">
        <v>178</v>
      </c>
      <c r="AC620">
        <v>481</v>
      </c>
      <c r="AD620">
        <v>608</v>
      </c>
      <c r="AE620">
        <v>0</v>
      </c>
      <c r="AF620">
        <v>98</v>
      </c>
      <c r="AG620">
        <v>68</v>
      </c>
    </row>
    <row r="621" spans="1:33" x14ac:dyDescent="0.3">
      <c r="A621" t="s">
        <v>215</v>
      </c>
      <c r="B621" t="s">
        <v>219</v>
      </c>
      <c r="C621" t="s">
        <v>35</v>
      </c>
      <c r="D621" s="1">
        <v>4014</v>
      </c>
      <c r="E621">
        <v>0</v>
      </c>
      <c r="F621">
        <v>202</v>
      </c>
      <c r="G621">
        <v>1</v>
      </c>
      <c r="H621">
        <v>186</v>
      </c>
      <c r="I621">
        <v>0</v>
      </c>
      <c r="J621">
        <v>1</v>
      </c>
      <c r="K621">
        <v>0</v>
      </c>
      <c r="L621">
        <v>13</v>
      </c>
      <c r="M621">
        <v>0</v>
      </c>
      <c r="N621">
        <v>6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331</v>
      </c>
      <c r="V621">
        <v>283</v>
      </c>
      <c r="W621" s="1">
        <v>2071</v>
      </c>
      <c r="X621" s="1">
        <v>0</v>
      </c>
      <c r="Y621">
        <v>100</v>
      </c>
      <c r="Z621">
        <v>57</v>
      </c>
      <c r="AA621">
        <v>57</v>
      </c>
      <c r="AB621">
        <v>80</v>
      </c>
      <c r="AC621">
        <v>63</v>
      </c>
      <c r="AD621">
        <v>445</v>
      </c>
      <c r="AE621">
        <v>0</v>
      </c>
      <c r="AF621">
        <v>63</v>
      </c>
      <c r="AG621">
        <v>54</v>
      </c>
    </row>
    <row r="622" spans="1:33" x14ac:dyDescent="0.3">
      <c r="A622" t="s">
        <v>215</v>
      </c>
      <c r="B622" t="s">
        <v>219</v>
      </c>
      <c r="C622" t="s">
        <v>36</v>
      </c>
      <c r="D622" s="1">
        <v>3431</v>
      </c>
      <c r="E622">
        <v>0</v>
      </c>
      <c r="F622">
        <v>179</v>
      </c>
      <c r="G622">
        <v>0</v>
      </c>
      <c r="H622">
        <v>211</v>
      </c>
      <c r="I622">
        <v>0</v>
      </c>
      <c r="J622">
        <v>0</v>
      </c>
      <c r="K622">
        <v>0</v>
      </c>
      <c r="L622">
        <v>3</v>
      </c>
      <c r="M622">
        <v>0</v>
      </c>
      <c r="N622">
        <v>4</v>
      </c>
      <c r="O622">
        <v>0</v>
      </c>
      <c r="P622">
        <v>10</v>
      </c>
      <c r="Q622">
        <v>0</v>
      </c>
      <c r="R622">
        <v>0</v>
      </c>
      <c r="S622">
        <v>0</v>
      </c>
      <c r="T622">
        <v>2</v>
      </c>
      <c r="U622">
        <v>40</v>
      </c>
      <c r="V622">
        <v>341</v>
      </c>
      <c r="W622" s="1">
        <v>1545</v>
      </c>
      <c r="X622" s="1">
        <v>0</v>
      </c>
      <c r="Y622">
        <v>172</v>
      </c>
      <c r="Z622">
        <v>31</v>
      </c>
      <c r="AA622">
        <v>165</v>
      </c>
      <c r="AB622">
        <v>98</v>
      </c>
      <c r="AC622">
        <v>418</v>
      </c>
      <c r="AD622">
        <v>163</v>
      </c>
      <c r="AE622">
        <v>0</v>
      </c>
      <c r="AF622">
        <v>35</v>
      </c>
      <c r="AG622">
        <v>14</v>
      </c>
    </row>
    <row r="623" spans="1:33" x14ac:dyDescent="0.3">
      <c r="A623" t="s">
        <v>215</v>
      </c>
      <c r="B623" t="s">
        <v>220</v>
      </c>
      <c r="C623" t="s">
        <v>32</v>
      </c>
      <c r="D623" s="1">
        <v>9019</v>
      </c>
      <c r="E623">
        <v>0</v>
      </c>
      <c r="F623">
        <v>340</v>
      </c>
      <c r="G623">
        <v>2</v>
      </c>
      <c r="H623">
        <v>218</v>
      </c>
      <c r="I623">
        <v>0</v>
      </c>
      <c r="J623">
        <v>0</v>
      </c>
      <c r="K623">
        <v>2</v>
      </c>
      <c r="L623">
        <v>32</v>
      </c>
      <c r="M623">
        <v>5</v>
      </c>
      <c r="N623">
        <v>33</v>
      </c>
      <c r="O623">
        <v>0</v>
      </c>
      <c r="P623">
        <v>33</v>
      </c>
      <c r="Q623">
        <v>0</v>
      </c>
      <c r="R623">
        <v>0</v>
      </c>
      <c r="S623">
        <v>0</v>
      </c>
      <c r="T623">
        <v>17</v>
      </c>
      <c r="U623">
        <v>575</v>
      </c>
      <c r="V623">
        <v>492</v>
      </c>
      <c r="W623" s="1">
        <v>2897</v>
      </c>
      <c r="X623" s="1">
        <v>0</v>
      </c>
      <c r="Y623">
        <v>387</v>
      </c>
      <c r="Z623">
        <v>318</v>
      </c>
      <c r="AA623">
        <v>645</v>
      </c>
      <c r="AB623" s="1">
        <v>1061</v>
      </c>
      <c r="AC623">
        <v>882</v>
      </c>
      <c r="AD623">
        <v>493</v>
      </c>
      <c r="AE623">
        <v>1</v>
      </c>
      <c r="AF623">
        <v>473</v>
      </c>
      <c r="AG623">
        <v>113</v>
      </c>
    </row>
    <row r="624" spans="1:33" x14ac:dyDescent="0.3">
      <c r="A624" t="s">
        <v>215</v>
      </c>
      <c r="B624" t="s">
        <v>220</v>
      </c>
      <c r="C624" t="s">
        <v>35</v>
      </c>
      <c r="D624" s="1">
        <v>6018</v>
      </c>
      <c r="E624">
        <v>0</v>
      </c>
      <c r="F624">
        <v>259</v>
      </c>
      <c r="G624">
        <v>1</v>
      </c>
      <c r="H624">
        <v>165</v>
      </c>
      <c r="I624">
        <v>0</v>
      </c>
      <c r="J624">
        <v>0</v>
      </c>
      <c r="K624">
        <v>2</v>
      </c>
      <c r="L624">
        <v>23</v>
      </c>
      <c r="M624">
        <v>5</v>
      </c>
      <c r="N624">
        <v>18</v>
      </c>
      <c r="O624">
        <v>0</v>
      </c>
      <c r="P624">
        <v>10</v>
      </c>
      <c r="Q624">
        <v>0</v>
      </c>
      <c r="R624">
        <v>0</v>
      </c>
      <c r="S624">
        <v>0</v>
      </c>
      <c r="T624">
        <v>10</v>
      </c>
      <c r="U624">
        <v>563</v>
      </c>
      <c r="V624">
        <v>298</v>
      </c>
      <c r="W624" s="1">
        <v>2734</v>
      </c>
      <c r="X624" s="1">
        <v>0</v>
      </c>
      <c r="Y624">
        <v>154</v>
      </c>
      <c r="Z624">
        <v>120</v>
      </c>
      <c r="AA624">
        <v>206</v>
      </c>
      <c r="AB624">
        <v>594</v>
      </c>
      <c r="AC624">
        <v>98</v>
      </c>
      <c r="AD624">
        <v>372</v>
      </c>
      <c r="AE624">
        <v>0</v>
      </c>
      <c r="AF624">
        <v>292</v>
      </c>
      <c r="AG624">
        <v>94</v>
      </c>
    </row>
    <row r="625" spans="1:33" x14ac:dyDescent="0.3">
      <c r="A625" t="s">
        <v>215</v>
      </c>
      <c r="B625" t="s">
        <v>220</v>
      </c>
      <c r="C625" t="s">
        <v>36</v>
      </c>
      <c r="D625" s="1">
        <v>3001</v>
      </c>
      <c r="E625">
        <v>0</v>
      </c>
      <c r="F625">
        <v>81</v>
      </c>
      <c r="G625">
        <v>1</v>
      </c>
      <c r="H625">
        <v>53</v>
      </c>
      <c r="I625">
        <v>0</v>
      </c>
      <c r="J625">
        <v>0</v>
      </c>
      <c r="K625">
        <v>0</v>
      </c>
      <c r="L625">
        <v>9</v>
      </c>
      <c r="M625">
        <v>0</v>
      </c>
      <c r="N625">
        <v>15</v>
      </c>
      <c r="O625">
        <v>0</v>
      </c>
      <c r="P625">
        <v>23</v>
      </c>
      <c r="Q625">
        <v>0</v>
      </c>
      <c r="R625">
        <v>0</v>
      </c>
      <c r="S625">
        <v>0</v>
      </c>
      <c r="T625">
        <v>7</v>
      </c>
      <c r="U625">
        <v>12</v>
      </c>
      <c r="V625">
        <v>194</v>
      </c>
      <c r="W625">
        <v>163</v>
      </c>
      <c r="X625" s="1">
        <v>0</v>
      </c>
      <c r="Y625">
        <v>233</v>
      </c>
      <c r="Z625">
        <v>198</v>
      </c>
      <c r="AA625">
        <v>439</v>
      </c>
      <c r="AB625">
        <v>467</v>
      </c>
      <c r="AC625">
        <v>784</v>
      </c>
      <c r="AD625">
        <v>121</v>
      </c>
      <c r="AE625">
        <v>1</v>
      </c>
      <c r="AF625">
        <v>181</v>
      </c>
      <c r="AG625">
        <v>19</v>
      </c>
    </row>
    <row r="626" spans="1:33" x14ac:dyDescent="0.3">
      <c r="A626" t="s">
        <v>215</v>
      </c>
      <c r="B626" t="s">
        <v>221</v>
      </c>
      <c r="C626" t="s">
        <v>32</v>
      </c>
      <c r="D626" s="1">
        <v>5152</v>
      </c>
      <c r="E626">
        <v>0</v>
      </c>
      <c r="F626">
        <v>676</v>
      </c>
      <c r="G626">
        <v>14</v>
      </c>
      <c r="H626">
        <v>83</v>
      </c>
      <c r="I626">
        <v>0</v>
      </c>
      <c r="J626">
        <v>1</v>
      </c>
      <c r="K626">
        <v>0</v>
      </c>
      <c r="L626">
        <v>3</v>
      </c>
      <c r="M626">
        <v>0</v>
      </c>
      <c r="N626">
        <v>78</v>
      </c>
      <c r="O626">
        <v>0</v>
      </c>
      <c r="P626">
        <v>25</v>
      </c>
      <c r="Q626">
        <v>0</v>
      </c>
      <c r="R626">
        <v>0</v>
      </c>
      <c r="S626">
        <v>0</v>
      </c>
      <c r="T626">
        <v>1</v>
      </c>
      <c r="U626">
        <v>248</v>
      </c>
      <c r="V626">
        <v>195</v>
      </c>
      <c r="W626" s="1">
        <v>1792</v>
      </c>
      <c r="X626">
        <v>974</v>
      </c>
      <c r="Y626">
        <v>125</v>
      </c>
      <c r="Z626">
        <v>204</v>
      </c>
      <c r="AA626">
        <v>170</v>
      </c>
      <c r="AB626">
        <v>136</v>
      </c>
      <c r="AC626">
        <v>297</v>
      </c>
      <c r="AD626">
        <v>60</v>
      </c>
      <c r="AE626">
        <v>1</v>
      </c>
      <c r="AF626">
        <v>46</v>
      </c>
      <c r="AG626">
        <v>23</v>
      </c>
    </row>
    <row r="627" spans="1:33" x14ac:dyDescent="0.3">
      <c r="A627" t="s">
        <v>215</v>
      </c>
      <c r="B627" t="s">
        <v>221</v>
      </c>
      <c r="C627" t="s">
        <v>35</v>
      </c>
      <c r="D627" s="1">
        <v>4052</v>
      </c>
      <c r="E627">
        <v>0</v>
      </c>
      <c r="F627">
        <v>510</v>
      </c>
      <c r="G627">
        <v>14</v>
      </c>
      <c r="H627">
        <v>64</v>
      </c>
      <c r="I627">
        <v>0</v>
      </c>
      <c r="J627">
        <v>1</v>
      </c>
      <c r="K627">
        <v>0</v>
      </c>
      <c r="L627">
        <v>2</v>
      </c>
      <c r="M627">
        <v>0</v>
      </c>
      <c r="N627">
        <v>58</v>
      </c>
      <c r="O627">
        <v>0</v>
      </c>
      <c r="P627">
        <v>6</v>
      </c>
      <c r="Q627">
        <v>0</v>
      </c>
      <c r="R627">
        <v>0</v>
      </c>
      <c r="S627">
        <v>0</v>
      </c>
      <c r="T627">
        <v>0</v>
      </c>
      <c r="U627">
        <v>239</v>
      </c>
      <c r="V627">
        <v>127</v>
      </c>
      <c r="W627" s="1">
        <v>1651</v>
      </c>
      <c r="X627">
        <v>974</v>
      </c>
      <c r="Y627">
        <v>46</v>
      </c>
      <c r="Z627">
        <v>136</v>
      </c>
      <c r="AA627">
        <v>45</v>
      </c>
      <c r="AB627">
        <v>52</v>
      </c>
      <c r="AC627">
        <v>40</v>
      </c>
      <c r="AD627">
        <v>44</v>
      </c>
      <c r="AE627">
        <v>0</v>
      </c>
      <c r="AF627">
        <v>20</v>
      </c>
      <c r="AG627">
        <v>23</v>
      </c>
    </row>
    <row r="628" spans="1:33" x14ac:dyDescent="0.3">
      <c r="A628" t="s">
        <v>215</v>
      </c>
      <c r="B628" t="s">
        <v>221</v>
      </c>
      <c r="C628" t="s">
        <v>36</v>
      </c>
      <c r="D628" s="1">
        <v>1100</v>
      </c>
      <c r="E628">
        <v>0</v>
      </c>
      <c r="F628">
        <v>166</v>
      </c>
      <c r="G628">
        <v>0</v>
      </c>
      <c r="H628">
        <v>19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20</v>
      </c>
      <c r="O628">
        <v>0</v>
      </c>
      <c r="P628">
        <v>19</v>
      </c>
      <c r="Q628">
        <v>0</v>
      </c>
      <c r="R628">
        <v>0</v>
      </c>
      <c r="S628">
        <v>0</v>
      </c>
      <c r="T628">
        <v>1</v>
      </c>
      <c r="U628">
        <v>9</v>
      </c>
      <c r="V628">
        <v>68</v>
      </c>
      <c r="W628">
        <v>141</v>
      </c>
      <c r="X628" s="1">
        <v>0</v>
      </c>
      <c r="Y628">
        <v>79</v>
      </c>
      <c r="Z628">
        <v>68</v>
      </c>
      <c r="AA628">
        <v>125</v>
      </c>
      <c r="AB628">
        <v>84</v>
      </c>
      <c r="AC628">
        <v>257</v>
      </c>
      <c r="AD628">
        <v>16</v>
      </c>
      <c r="AE628">
        <v>1</v>
      </c>
      <c r="AF628">
        <v>26</v>
      </c>
      <c r="AG628">
        <v>0</v>
      </c>
    </row>
    <row r="629" spans="1:33" x14ac:dyDescent="0.3">
      <c r="A629" t="s">
        <v>215</v>
      </c>
      <c r="B629" t="s">
        <v>222</v>
      </c>
      <c r="C629" t="s">
        <v>32</v>
      </c>
      <c r="D629" s="1">
        <v>2145</v>
      </c>
      <c r="E629">
        <v>0</v>
      </c>
      <c r="F629">
        <v>36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2</v>
      </c>
      <c r="O629">
        <v>0</v>
      </c>
      <c r="P629">
        <v>12</v>
      </c>
      <c r="Q629">
        <v>0</v>
      </c>
      <c r="R629">
        <v>0</v>
      </c>
      <c r="S629">
        <v>0</v>
      </c>
      <c r="T629">
        <v>0</v>
      </c>
      <c r="U629">
        <v>113</v>
      </c>
      <c r="V629">
        <v>423</v>
      </c>
      <c r="W629" s="1">
        <v>1058</v>
      </c>
      <c r="X629" s="1">
        <v>0</v>
      </c>
      <c r="Y629">
        <v>76</v>
      </c>
      <c r="Z629">
        <v>11</v>
      </c>
      <c r="AA629">
        <v>25</v>
      </c>
      <c r="AB629">
        <v>49</v>
      </c>
      <c r="AC629">
        <v>230</v>
      </c>
      <c r="AD629">
        <v>81</v>
      </c>
      <c r="AE629">
        <v>0</v>
      </c>
      <c r="AF629">
        <v>19</v>
      </c>
      <c r="AG629">
        <v>9</v>
      </c>
    </row>
    <row r="630" spans="1:33" x14ac:dyDescent="0.3">
      <c r="A630" t="s">
        <v>215</v>
      </c>
      <c r="B630" t="s">
        <v>222</v>
      </c>
      <c r="C630" t="s">
        <v>35</v>
      </c>
      <c r="D630" s="1">
        <v>1203</v>
      </c>
      <c r="E630">
        <v>0</v>
      </c>
      <c r="F630">
        <v>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107</v>
      </c>
      <c r="V630">
        <v>195</v>
      </c>
      <c r="W630">
        <v>734</v>
      </c>
      <c r="X630" s="1">
        <v>0</v>
      </c>
      <c r="Y630">
        <v>30</v>
      </c>
      <c r="Z630">
        <v>5</v>
      </c>
      <c r="AA630">
        <v>3</v>
      </c>
      <c r="AB630">
        <v>9</v>
      </c>
      <c r="AC630">
        <v>13</v>
      </c>
      <c r="AD630">
        <v>68</v>
      </c>
      <c r="AE630">
        <v>0</v>
      </c>
      <c r="AF630">
        <v>7</v>
      </c>
      <c r="AG630">
        <v>4</v>
      </c>
    </row>
    <row r="631" spans="1:33" x14ac:dyDescent="0.3">
      <c r="A631" t="s">
        <v>215</v>
      </c>
      <c r="B631" t="s">
        <v>222</v>
      </c>
      <c r="C631" t="s">
        <v>36</v>
      </c>
      <c r="D631">
        <v>942</v>
      </c>
      <c r="E631">
        <v>0</v>
      </c>
      <c r="F631">
        <v>11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12</v>
      </c>
      <c r="Q631">
        <v>0</v>
      </c>
      <c r="R631">
        <v>0</v>
      </c>
      <c r="S631">
        <v>0</v>
      </c>
      <c r="T631">
        <v>0</v>
      </c>
      <c r="U631">
        <v>6</v>
      </c>
      <c r="V631">
        <v>228</v>
      </c>
      <c r="W631">
        <v>324</v>
      </c>
      <c r="X631" s="1">
        <v>0</v>
      </c>
      <c r="Y631">
        <v>46</v>
      </c>
      <c r="Z631">
        <v>6</v>
      </c>
      <c r="AA631">
        <v>22</v>
      </c>
      <c r="AB631">
        <v>40</v>
      </c>
      <c r="AC631">
        <v>217</v>
      </c>
      <c r="AD631">
        <v>13</v>
      </c>
      <c r="AE631">
        <v>0</v>
      </c>
      <c r="AF631">
        <v>12</v>
      </c>
      <c r="AG631">
        <v>5</v>
      </c>
    </row>
    <row r="632" spans="1:33" x14ac:dyDescent="0.3">
      <c r="A632" t="s">
        <v>215</v>
      </c>
      <c r="B632" t="s">
        <v>223</v>
      </c>
      <c r="C632" t="s">
        <v>32</v>
      </c>
      <c r="D632" s="1">
        <v>6217</v>
      </c>
      <c r="E632">
        <v>0</v>
      </c>
      <c r="F632">
        <v>324</v>
      </c>
      <c r="G632">
        <v>8</v>
      </c>
      <c r="H632">
        <v>245</v>
      </c>
      <c r="I632">
        <v>0</v>
      </c>
      <c r="J632">
        <v>2</v>
      </c>
      <c r="K632">
        <v>6</v>
      </c>
      <c r="L632">
        <v>12</v>
      </c>
      <c r="M632">
        <v>25</v>
      </c>
      <c r="N632">
        <v>38</v>
      </c>
      <c r="O632">
        <v>6</v>
      </c>
      <c r="P632">
        <v>49</v>
      </c>
      <c r="Q632">
        <v>0</v>
      </c>
      <c r="R632">
        <v>3</v>
      </c>
      <c r="S632">
        <v>0</v>
      </c>
      <c r="T632">
        <v>3</v>
      </c>
      <c r="U632">
        <v>251</v>
      </c>
      <c r="V632">
        <v>378</v>
      </c>
      <c r="W632" s="1">
        <v>1371</v>
      </c>
      <c r="X632">
        <v>4</v>
      </c>
      <c r="Y632">
        <v>352</v>
      </c>
      <c r="Z632">
        <v>239</v>
      </c>
      <c r="AA632">
        <v>235</v>
      </c>
      <c r="AB632" s="1">
        <v>1066</v>
      </c>
      <c r="AC632">
        <v>649</v>
      </c>
      <c r="AD632">
        <v>587</v>
      </c>
      <c r="AE632">
        <v>0</v>
      </c>
      <c r="AF632">
        <v>334</v>
      </c>
      <c r="AG632">
        <v>30</v>
      </c>
    </row>
    <row r="633" spans="1:33" x14ac:dyDescent="0.3">
      <c r="A633" t="s">
        <v>215</v>
      </c>
      <c r="B633" t="s">
        <v>223</v>
      </c>
      <c r="C633" t="s">
        <v>35</v>
      </c>
      <c r="D633" s="1">
        <v>3753</v>
      </c>
      <c r="E633">
        <v>0</v>
      </c>
      <c r="F633">
        <v>173</v>
      </c>
      <c r="G633">
        <v>8</v>
      </c>
      <c r="H633">
        <v>169</v>
      </c>
      <c r="I633">
        <v>0</v>
      </c>
      <c r="J633">
        <v>2</v>
      </c>
      <c r="K633">
        <v>6</v>
      </c>
      <c r="L633">
        <v>11</v>
      </c>
      <c r="M633">
        <v>25</v>
      </c>
      <c r="N633">
        <v>19</v>
      </c>
      <c r="O633">
        <v>5</v>
      </c>
      <c r="P633">
        <v>14</v>
      </c>
      <c r="Q633">
        <v>0</v>
      </c>
      <c r="R633">
        <v>3</v>
      </c>
      <c r="S633">
        <v>0</v>
      </c>
      <c r="T633">
        <v>1</v>
      </c>
      <c r="U633">
        <v>241</v>
      </c>
      <c r="V633">
        <v>211</v>
      </c>
      <c r="W633" s="1">
        <v>1188</v>
      </c>
      <c r="X633">
        <v>4</v>
      </c>
      <c r="Y633">
        <v>135</v>
      </c>
      <c r="Z633">
        <v>82</v>
      </c>
      <c r="AA633">
        <v>66</v>
      </c>
      <c r="AB633">
        <v>587</v>
      </c>
      <c r="AC633">
        <v>95</v>
      </c>
      <c r="AD633">
        <v>478</v>
      </c>
      <c r="AE633">
        <v>0</v>
      </c>
      <c r="AF633">
        <v>208</v>
      </c>
      <c r="AG633">
        <v>22</v>
      </c>
    </row>
    <row r="634" spans="1:33" x14ac:dyDescent="0.3">
      <c r="A634" t="s">
        <v>215</v>
      </c>
      <c r="B634" t="s">
        <v>223</v>
      </c>
      <c r="C634" t="s">
        <v>36</v>
      </c>
      <c r="D634" s="1">
        <v>2464</v>
      </c>
      <c r="E634">
        <v>0</v>
      </c>
      <c r="F634">
        <v>151</v>
      </c>
      <c r="G634">
        <v>0</v>
      </c>
      <c r="H634">
        <v>76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19</v>
      </c>
      <c r="O634">
        <v>1</v>
      </c>
      <c r="P634">
        <v>35</v>
      </c>
      <c r="Q634">
        <v>0</v>
      </c>
      <c r="R634">
        <v>0</v>
      </c>
      <c r="S634">
        <v>0</v>
      </c>
      <c r="T634">
        <v>2</v>
      </c>
      <c r="U634">
        <v>10</v>
      </c>
      <c r="V634">
        <v>167</v>
      </c>
      <c r="W634">
        <v>183</v>
      </c>
      <c r="X634" s="1">
        <v>0</v>
      </c>
      <c r="Y634">
        <v>217</v>
      </c>
      <c r="Z634">
        <v>157</v>
      </c>
      <c r="AA634">
        <v>169</v>
      </c>
      <c r="AB634">
        <v>479</v>
      </c>
      <c r="AC634">
        <v>554</v>
      </c>
      <c r="AD634">
        <v>109</v>
      </c>
      <c r="AE634">
        <v>0</v>
      </c>
      <c r="AF634">
        <v>126</v>
      </c>
      <c r="AG634">
        <v>8</v>
      </c>
    </row>
    <row r="635" spans="1:33" x14ac:dyDescent="0.3">
      <c r="A635" t="s">
        <v>215</v>
      </c>
      <c r="B635" t="s">
        <v>224</v>
      </c>
      <c r="C635" t="s">
        <v>32</v>
      </c>
      <c r="D635" s="1">
        <v>2788</v>
      </c>
      <c r="E635">
        <v>0</v>
      </c>
      <c r="F635">
        <v>0</v>
      </c>
      <c r="G635">
        <v>0</v>
      </c>
      <c r="H635">
        <v>2</v>
      </c>
      <c r="I635">
        <v>0</v>
      </c>
      <c r="J635">
        <v>3</v>
      </c>
      <c r="K635">
        <v>0</v>
      </c>
      <c r="L635">
        <v>2</v>
      </c>
      <c r="M635">
        <v>0</v>
      </c>
      <c r="N635">
        <v>3</v>
      </c>
      <c r="O635">
        <v>0</v>
      </c>
      <c r="P635">
        <v>9</v>
      </c>
      <c r="Q635">
        <v>0</v>
      </c>
      <c r="R635">
        <v>0</v>
      </c>
      <c r="S635">
        <v>0</v>
      </c>
      <c r="T635">
        <v>0</v>
      </c>
      <c r="U635">
        <v>117</v>
      </c>
      <c r="V635">
        <v>536</v>
      </c>
      <c r="W635" s="1">
        <v>1343</v>
      </c>
      <c r="X635">
        <v>373</v>
      </c>
      <c r="Y635">
        <v>54</v>
      </c>
      <c r="Z635">
        <v>56</v>
      </c>
      <c r="AA635">
        <v>35</v>
      </c>
      <c r="AB635">
        <v>61</v>
      </c>
      <c r="AC635">
        <v>164</v>
      </c>
      <c r="AD635">
        <v>15</v>
      </c>
      <c r="AE635">
        <v>0</v>
      </c>
      <c r="AF635">
        <v>5</v>
      </c>
      <c r="AG635">
        <v>10</v>
      </c>
    </row>
    <row r="636" spans="1:33" x14ac:dyDescent="0.3">
      <c r="A636" t="s">
        <v>215</v>
      </c>
      <c r="B636" t="s">
        <v>224</v>
      </c>
      <c r="C636" t="s">
        <v>35</v>
      </c>
      <c r="D636" s="1">
        <v>2054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3</v>
      </c>
      <c r="K636">
        <v>0</v>
      </c>
      <c r="L636">
        <v>2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94</v>
      </c>
      <c r="V636">
        <v>312</v>
      </c>
      <c r="W636" s="1">
        <v>1171</v>
      </c>
      <c r="X636">
        <v>373</v>
      </c>
      <c r="Y636">
        <v>19</v>
      </c>
      <c r="Z636">
        <v>17</v>
      </c>
      <c r="AA636">
        <v>9</v>
      </c>
      <c r="AB636">
        <v>20</v>
      </c>
      <c r="AC636">
        <v>5</v>
      </c>
      <c r="AD636">
        <v>13</v>
      </c>
      <c r="AE636">
        <v>0</v>
      </c>
      <c r="AF636">
        <v>3</v>
      </c>
      <c r="AG636">
        <v>10</v>
      </c>
    </row>
    <row r="637" spans="1:33" x14ac:dyDescent="0.3">
      <c r="A637" t="s">
        <v>215</v>
      </c>
      <c r="B637" t="s">
        <v>224</v>
      </c>
      <c r="C637" t="s">
        <v>36</v>
      </c>
      <c r="D637">
        <v>734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</v>
      </c>
      <c r="O637">
        <v>0</v>
      </c>
      <c r="P637">
        <v>8</v>
      </c>
      <c r="Q637">
        <v>0</v>
      </c>
      <c r="R637">
        <v>0</v>
      </c>
      <c r="S637">
        <v>0</v>
      </c>
      <c r="T637">
        <v>0</v>
      </c>
      <c r="U637">
        <v>23</v>
      </c>
      <c r="V637">
        <v>224</v>
      </c>
      <c r="W637">
        <v>172</v>
      </c>
      <c r="X637">
        <v>0</v>
      </c>
      <c r="Y637">
        <v>35</v>
      </c>
      <c r="Z637">
        <v>39</v>
      </c>
      <c r="AA637">
        <v>26</v>
      </c>
      <c r="AB637">
        <v>41</v>
      </c>
      <c r="AC637">
        <v>159</v>
      </c>
      <c r="AD637">
        <v>2</v>
      </c>
      <c r="AE637">
        <v>0</v>
      </c>
      <c r="AF637">
        <v>2</v>
      </c>
      <c r="AG637">
        <v>0</v>
      </c>
    </row>
    <row r="638" spans="1:33" x14ac:dyDescent="0.3">
      <c r="A638" t="s">
        <v>215</v>
      </c>
      <c r="B638" t="s">
        <v>225</v>
      </c>
      <c r="C638" t="s">
        <v>32</v>
      </c>
      <c r="D638" s="1">
        <v>25323</v>
      </c>
      <c r="E638">
        <v>0</v>
      </c>
      <c r="F638" s="1">
        <v>2153</v>
      </c>
      <c r="G638">
        <v>12</v>
      </c>
      <c r="H638" s="1">
        <v>1182</v>
      </c>
      <c r="I638">
        <v>0</v>
      </c>
      <c r="J638">
        <v>7</v>
      </c>
      <c r="K638">
        <v>1</v>
      </c>
      <c r="L638">
        <v>35</v>
      </c>
      <c r="M638">
        <v>24</v>
      </c>
      <c r="N638">
        <v>212</v>
      </c>
      <c r="O638">
        <v>13</v>
      </c>
      <c r="P638">
        <v>95</v>
      </c>
      <c r="Q638">
        <v>22</v>
      </c>
      <c r="R638">
        <v>1</v>
      </c>
      <c r="S638">
        <v>0</v>
      </c>
      <c r="T638">
        <v>8</v>
      </c>
      <c r="U638">
        <v>976</v>
      </c>
      <c r="V638">
        <v>80</v>
      </c>
      <c r="W638" s="1">
        <v>5702</v>
      </c>
      <c r="X638">
        <v>0</v>
      </c>
      <c r="Y638" s="1">
        <v>2363</v>
      </c>
      <c r="Z638" s="1">
        <v>1021</v>
      </c>
      <c r="AA638" s="1">
        <v>1667</v>
      </c>
      <c r="AB638" s="1">
        <v>2985</v>
      </c>
      <c r="AC638" s="1">
        <v>1755</v>
      </c>
      <c r="AD638" s="1">
        <v>1384</v>
      </c>
      <c r="AE638">
        <v>2</v>
      </c>
      <c r="AF638" s="1">
        <v>1976</v>
      </c>
      <c r="AG638" s="1">
        <v>1647</v>
      </c>
    </row>
    <row r="639" spans="1:33" x14ac:dyDescent="0.3">
      <c r="A639" t="s">
        <v>215</v>
      </c>
      <c r="B639" t="s">
        <v>225</v>
      </c>
      <c r="C639" t="s">
        <v>35</v>
      </c>
      <c r="D639" s="1">
        <v>15536</v>
      </c>
      <c r="E639">
        <v>0</v>
      </c>
      <c r="F639" s="1">
        <v>1119</v>
      </c>
      <c r="G639">
        <v>12</v>
      </c>
      <c r="H639">
        <v>562</v>
      </c>
      <c r="I639">
        <v>0</v>
      </c>
      <c r="J639">
        <v>6</v>
      </c>
      <c r="K639">
        <v>1</v>
      </c>
      <c r="L639">
        <v>32</v>
      </c>
      <c r="M639">
        <v>22</v>
      </c>
      <c r="N639">
        <v>126</v>
      </c>
      <c r="O639">
        <v>9</v>
      </c>
      <c r="P639">
        <v>23</v>
      </c>
      <c r="Q639">
        <v>14</v>
      </c>
      <c r="R639">
        <v>1</v>
      </c>
      <c r="S639">
        <v>0</v>
      </c>
      <c r="T639">
        <v>8</v>
      </c>
      <c r="U639">
        <v>938</v>
      </c>
      <c r="V639">
        <v>37</v>
      </c>
      <c r="W639" s="1">
        <v>5342</v>
      </c>
      <c r="X639">
        <v>0</v>
      </c>
      <c r="Y639" s="1">
        <v>1002</v>
      </c>
      <c r="Z639">
        <v>401</v>
      </c>
      <c r="AA639">
        <v>639</v>
      </c>
      <c r="AB639" s="1">
        <v>1802</v>
      </c>
      <c r="AC639">
        <v>338</v>
      </c>
      <c r="AD639" s="1">
        <v>1105</v>
      </c>
      <c r="AE639">
        <v>1</v>
      </c>
      <c r="AF639" s="1">
        <v>1121</v>
      </c>
      <c r="AG639">
        <v>875</v>
      </c>
    </row>
    <row r="640" spans="1:33" x14ac:dyDescent="0.3">
      <c r="A640" t="s">
        <v>215</v>
      </c>
      <c r="B640" t="s">
        <v>225</v>
      </c>
      <c r="C640" t="s">
        <v>36</v>
      </c>
      <c r="D640" s="1">
        <v>9787</v>
      </c>
      <c r="E640">
        <v>0</v>
      </c>
      <c r="F640" s="1">
        <v>1034</v>
      </c>
      <c r="G640">
        <v>0</v>
      </c>
      <c r="H640">
        <v>620</v>
      </c>
      <c r="I640">
        <v>0</v>
      </c>
      <c r="J640">
        <v>1</v>
      </c>
      <c r="K640">
        <v>0</v>
      </c>
      <c r="L640">
        <v>3</v>
      </c>
      <c r="M640">
        <v>2</v>
      </c>
      <c r="N640">
        <v>86</v>
      </c>
      <c r="O640">
        <v>4</v>
      </c>
      <c r="P640">
        <v>72</v>
      </c>
      <c r="Q640">
        <v>8</v>
      </c>
      <c r="R640">
        <v>0</v>
      </c>
      <c r="S640">
        <v>0</v>
      </c>
      <c r="T640">
        <v>0</v>
      </c>
      <c r="U640">
        <v>38</v>
      </c>
      <c r="V640">
        <v>43</v>
      </c>
      <c r="W640">
        <v>360</v>
      </c>
      <c r="X640">
        <v>0</v>
      </c>
      <c r="Y640" s="1">
        <v>1361</v>
      </c>
      <c r="Z640">
        <v>620</v>
      </c>
      <c r="AA640" s="1">
        <v>1028</v>
      </c>
      <c r="AB640" s="1">
        <v>1183</v>
      </c>
      <c r="AC640" s="1">
        <v>1417</v>
      </c>
      <c r="AD640">
        <v>279</v>
      </c>
      <c r="AE640">
        <v>1</v>
      </c>
      <c r="AF640">
        <v>855</v>
      </c>
      <c r="AG640">
        <v>772</v>
      </c>
    </row>
    <row r="641" spans="1:33" x14ac:dyDescent="0.3">
      <c r="A641" t="s">
        <v>215</v>
      </c>
      <c r="B641" t="s">
        <v>226</v>
      </c>
      <c r="C641" t="s">
        <v>32</v>
      </c>
      <c r="D641" s="1">
        <v>4007</v>
      </c>
      <c r="E641">
        <v>0</v>
      </c>
      <c r="F641">
        <v>33</v>
      </c>
      <c r="G641">
        <v>0</v>
      </c>
      <c r="H641">
        <v>4</v>
      </c>
      <c r="I641">
        <v>0</v>
      </c>
      <c r="J641">
        <v>3</v>
      </c>
      <c r="K641">
        <v>0</v>
      </c>
      <c r="L641">
        <v>2</v>
      </c>
      <c r="M641">
        <v>0</v>
      </c>
      <c r="N641">
        <v>4</v>
      </c>
      <c r="O641">
        <v>0</v>
      </c>
      <c r="P641">
        <v>14</v>
      </c>
      <c r="Q641">
        <v>1</v>
      </c>
      <c r="R641">
        <v>0</v>
      </c>
      <c r="S641">
        <v>0</v>
      </c>
      <c r="T641">
        <v>0</v>
      </c>
      <c r="U641">
        <v>347</v>
      </c>
      <c r="V641">
        <v>495</v>
      </c>
      <c r="W641" s="1">
        <v>1563</v>
      </c>
      <c r="X641">
        <v>13</v>
      </c>
      <c r="Y641">
        <v>190</v>
      </c>
      <c r="Z641">
        <v>255</v>
      </c>
      <c r="AA641">
        <v>233</v>
      </c>
      <c r="AB641">
        <v>257</v>
      </c>
      <c r="AC641">
        <v>305</v>
      </c>
      <c r="AD641">
        <v>194</v>
      </c>
      <c r="AE641">
        <v>0</v>
      </c>
      <c r="AF641">
        <v>78</v>
      </c>
      <c r="AG641">
        <v>16</v>
      </c>
    </row>
    <row r="642" spans="1:33" x14ac:dyDescent="0.3">
      <c r="A642" t="s">
        <v>215</v>
      </c>
      <c r="B642" t="s">
        <v>226</v>
      </c>
      <c r="C642" t="s">
        <v>35</v>
      </c>
      <c r="D642" s="1">
        <v>2775</v>
      </c>
      <c r="E642">
        <v>0</v>
      </c>
      <c r="F642">
        <v>16</v>
      </c>
      <c r="G642">
        <v>0</v>
      </c>
      <c r="H642">
        <v>2</v>
      </c>
      <c r="I642">
        <v>0</v>
      </c>
      <c r="J642">
        <v>3</v>
      </c>
      <c r="K642">
        <v>0</v>
      </c>
      <c r="L642">
        <v>2</v>
      </c>
      <c r="M642">
        <v>0</v>
      </c>
      <c r="N642">
        <v>1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339</v>
      </c>
      <c r="V642">
        <v>204</v>
      </c>
      <c r="W642" s="1">
        <v>1486</v>
      </c>
      <c r="X642">
        <v>13</v>
      </c>
      <c r="Y642">
        <v>78</v>
      </c>
      <c r="Z642">
        <v>155</v>
      </c>
      <c r="AA642">
        <v>74</v>
      </c>
      <c r="AB642">
        <v>145</v>
      </c>
      <c r="AC642">
        <v>38</v>
      </c>
      <c r="AD642">
        <v>159</v>
      </c>
      <c r="AE642">
        <v>0</v>
      </c>
      <c r="AF642">
        <v>47</v>
      </c>
      <c r="AG642">
        <v>11</v>
      </c>
    </row>
    <row r="643" spans="1:33" x14ac:dyDescent="0.3">
      <c r="A643" t="s">
        <v>215</v>
      </c>
      <c r="B643" t="s">
        <v>226</v>
      </c>
      <c r="C643" t="s">
        <v>36</v>
      </c>
      <c r="D643" s="1">
        <v>1232</v>
      </c>
      <c r="E643">
        <v>0</v>
      </c>
      <c r="F643">
        <v>17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</v>
      </c>
      <c r="O643">
        <v>0</v>
      </c>
      <c r="P643">
        <v>13</v>
      </c>
      <c r="Q643">
        <v>0</v>
      </c>
      <c r="R643">
        <v>0</v>
      </c>
      <c r="S643">
        <v>0</v>
      </c>
      <c r="T643">
        <v>0</v>
      </c>
      <c r="U643">
        <v>8</v>
      </c>
      <c r="V643">
        <v>291</v>
      </c>
      <c r="W643">
        <v>77</v>
      </c>
      <c r="X643">
        <v>0</v>
      </c>
      <c r="Y643">
        <v>112</v>
      </c>
      <c r="Z643">
        <v>100</v>
      </c>
      <c r="AA643">
        <v>159</v>
      </c>
      <c r="AB643">
        <v>112</v>
      </c>
      <c r="AC643">
        <v>267</v>
      </c>
      <c r="AD643">
        <v>35</v>
      </c>
      <c r="AE643">
        <v>0</v>
      </c>
      <c r="AF643">
        <v>31</v>
      </c>
      <c r="AG643">
        <v>5</v>
      </c>
    </row>
    <row r="644" spans="1:33" x14ac:dyDescent="0.3">
      <c r="A644" t="s">
        <v>215</v>
      </c>
      <c r="B644" t="s">
        <v>227</v>
      </c>
      <c r="C644" t="s">
        <v>32</v>
      </c>
      <c r="D644" s="1">
        <v>11889</v>
      </c>
      <c r="E644">
        <v>0</v>
      </c>
      <c r="F644" s="1">
        <v>1771</v>
      </c>
      <c r="G644">
        <v>3</v>
      </c>
      <c r="H644">
        <v>636</v>
      </c>
      <c r="I644">
        <v>0</v>
      </c>
      <c r="J644">
        <v>6</v>
      </c>
      <c r="K644">
        <v>0</v>
      </c>
      <c r="L644">
        <v>30</v>
      </c>
      <c r="M644">
        <v>4</v>
      </c>
      <c r="N644">
        <v>127</v>
      </c>
      <c r="O644">
        <v>7</v>
      </c>
      <c r="P644">
        <v>42</v>
      </c>
      <c r="Q644">
        <v>37</v>
      </c>
      <c r="R644">
        <v>0</v>
      </c>
      <c r="S644">
        <v>0</v>
      </c>
      <c r="T644">
        <v>6</v>
      </c>
      <c r="U644">
        <v>495</v>
      </c>
      <c r="V644">
        <v>53</v>
      </c>
      <c r="W644" s="1">
        <v>2923</v>
      </c>
      <c r="X644">
        <v>1</v>
      </c>
      <c r="Y644">
        <v>619</v>
      </c>
      <c r="Z644">
        <v>448</v>
      </c>
      <c r="AA644">
        <v>593</v>
      </c>
      <c r="AB644" s="1">
        <v>1741</v>
      </c>
      <c r="AC644" s="1">
        <v>1013</v>
      </c>
      <c r="AD644">
        <v>579</v>
      </c>
      <c r="AE644">
        <v>10</v>
      </c>
      <c r="AF644">
        <v>672</v>
      </c>
      <c r="AG644">
        <v>73</v>
      </c>
    </row>
    <row r="645" spans="1:33" x14ac:dyDescent="0.3">
      <c r="A645" t="s">
        <v>215</v>
      </c>
      <c r="B645" t="s">
        <v>227</v>
      </c>
      <c r="C645" t="s">
        <v>35</v>
      </c>
      <c r="D645" s="1">
        <v>7485</v>
      </c>
      <c r="E645">
        <v>0</v>
      </c>
      <c r="F645" s="1">
        <v>1063</v>
      </c>
      <c r="G645">
        <v>3</v>
      </c>
      <c r="H645">
        <v>352</v>
      </c>
      <c r="I645">
        <v>0</v>
      </c>
      <c r="J645">
        <v>5</v>
      </c>
      <c r="K645">
        <v>0</v>
      </c>
      <c r="L645">
        <v>24</v>
      </c>
      <c r="M645">
        <v>1</v>
      </c>
      <c r="N645">
        <v>75</v>
      </c>
      <c r="O645">
        <v>6</v>
      </c>
      <c r="P645">
        <v>9</v>
      </c>
      <c r="Q645">
        <v>23</v>
      </c>
      <c r="R645">
        <v>0</v>
      </c>
      <c r="S645">
        <v>0</v>
      </c>
      <c r="T645">
        <v>4</v>
      </c>
      <c r="U645">
        <v>464</v>
      </c>
      <c r="V645">
        <v>35</v>
      </c>
      <c r="W645" s="1">
        <v>2708</v>
      </c>
      <c r="X645">
        <v>1</v>
      </c>
      <c r="Y645">
        <v>250</v>
      </c>
      <c r="Z645">
        <v>172</v>
      </c>
      <c r="AA645">
        <v>196</v>
      </c>
      <c r="AB645">
        <v>966</v>
      </c>
      <c r="AC645">
        <v>202</v>
      </c>
      <c r="AD645">
        <v>473</v>
      </c>
      <c r="AE645">
        <v>0</v>
      </c>
      <c r="AF645">
        <v>389</v>
      </c>
      <c r="AG645">
        <v>64</v>
      </c>
    </row>
    <row r="646" spans="1:33" x14ac:dyDescent="0.3">
      <c r="A646" t="s">
        <v>215</v>
      </c>
      <c r="B646" t="s">
        <v>227</v>
      </c>
      <c r="C646" t="s">
        <v>36</v>
      </c>
      <c r="D646" s="1">
        <v>4404</v>
      </c>
      <c r="E646">
        <v>0</v>
      </c>
      <c r="F646">
        <v>708</v>
      </c>
      <c r="G646">
        <v>0</v>
      </c>
      <c r="H646">
        <v>284</v>
      </c>
      <c r="I646">
        <v>0</v>
      </c>
      <c r="J646">
        <v>1</v>
      </c>
      <c r="K646">
        <v>0</v>
      </c>
      <c r="L646">
        <v>6</v>
      </c>
      <c r="M646">
        <v>3</v>
      </c>
      <c r="N646">
        <v>52</v>
      </c>
      <c r="O646">
        <v>1</v>
      </c>
      <c r="P646">
        <v>33</v>
      </c>
      <c r="Q646">
        <v>14</v>
      </c>
      <c r="R646">
        <v>0</v>
      </c>
      <c r="S646">
        <v>0</v>
      </c>
      <c r="T646">
        <v>2</v>
      </c>
      <c r="U646">
        <v>31</v>
      </c>
      <c r="V646">
        <v>18</v>
      </c>
      <c r="W646">
        <v>215</v>
      </c>
      <c r="X646">
        <v>0</v>
      </c>
      <c r="Y646">
        <v>369</v>
      </c>
      <c r="Z646">
        <v>276</v>
      </c>
      <c r="AA646">
        <v>397</v>
      </c>
      <c r="AB646">
        <v>775</v>
      </c>
      <c r="AC646">
        <v>811</v>
      </c>
      <c r="AD646">
        <v>106</v>
      </c>
      <c r="AE646">
        <v>10</v>
      </c>
      <c r="AF646">
        <v>283</v>
      </c>
      <c r="AG646">
        <v>9</v>
      </c>
    </row>
    <row r="647" spans="1:33" x14ac:dyDescent="0.3">
      <c r="A647" t="s">
        <v>215</v>
      </c>
      <c r="B647" t="s">
        <v>228</v>
      </c>
      <c r="C647" t="s">
        <v>32</v>
      </c>
      <c r="D647" s="1">
        <v>17859</v>
      </c>
      <c r="E647">
        <v>0</v>
      </c>
      <c r="F647" s="1">
        <v>3127</v>
      </c>
      <c r="G647">
        <v>8</v>
      </c>
      <c r="H647" s="1">
        <v>2255</v>
      </c>
      <c r="I647">
        <v>0</v>
      </c>
      <c r="J647">
        <v>6</v>
      </c>
      <c r="K647">
        <v>1</v>
      </c>
      <c r="L647">
        <v>94</v>
      </c>
      <c r="M647">
        <v>86</v>
      </c>
      <c r="N647">
        <v>459</v>
      </c>
      <c r="O647">
        <v>26</v>
      </c>
      <c r="P647">
        <v>136</v>
      </c>
      <c r="Q647">
        <v>29</v>
      </c>
      <c r="R647">
        <v>0</v>
      </c>
      <c r="S647">
        <v>0</v>
      </c>
      <c r="T647">
        <v>8</v>
      </c>
      <c r="U647">
        <v>712</v>
      </c>
      <c r="V647">
        <v>94</v>
      </c>
      <c r="W647" s="1">
        <v>3597</v>
      </c>
      <c r="X647">
        <v>1</v>
      </c>
      <c r="Y647">
        <v>820</v>
      </c>
      <c r="Z647">
        <v>646</v>
      </c>
      <c r="AA647">
        <v>673</v>
      </c>
      <c r="AB647" s="1">
        <v>2208</v>
      </c>
      <c r="AC647" s="1">
        <v>1419</v>
      </c>
      <c r="AD647">
        <v>616</v>
      </c>
      <c r="AE647">
        <v>11</v>
      </c>
      <c r="AF647">
        <v>701</v>
      </c>
      <c r="AG647">
        <v>126</v>
      </c>
    </row>
    <row r="648" spans="1:33" x14ac:dyDescent="0.3">
      <c r="A648" t="s">
        <v>215</v>
      </c>
      <c r="B648" t="s">
        <v>228</v>
      </c>
      <c r="C648" t="s">
        <v>35</v>
      </c>
      <c r="D648" s="1">
        <v>10173</v>
      </c>
      <c r="E648">
        <v>0</v>
      </c>
      <c r="F648" s="1">
        <v>1492</v>
      </c>
      <c r="G648">
        <v>4</v>
      </c>
      <c r="H648">
        <v>995</v>
      </c>
      <c r="I648">
        <v>0</v>
      </c>
      <c r="J648">
        <v>3</v>
      </c>
      <c r="K648">
        <v>1</v>
      </c>
      <c r="L648">
        <v>75</v>
      </c>
      <c r="M648">
        <v>82</v>
      </c>
      <c r="N648">
        <v>170</v>
      </c>
      <c r="O648">
        <v>15</v>
      </c>
      <c r="P648">
        <v>33</v>
      </c>
      <c r="Q648">
        <v>25</v>
      </c>
      <c r="R648">
        <v>0</v>
      </c>
      <c r="S648">
        <v>0</v>
      </c>
      <c r="T648">
        <v>7</v>
      </c>
      <c r="U648">
        <v>657</v>
      </c>
      <c r="V648">
        <v>54</v>
      </c>
      <c r="W648" s="1">
        <v>3289</v>
      </c>
      <c r="X648">
        <v>1</v>
      </c>
      <c r="Y648">
        <v>311</v>
      </c>
      <c r="Z648">
        <v>284</v>
      </c>
      <c r="AA648">
        <v>222</v>
      </c>
      <c r="AB648" s="1">
        <v>1215</v>
      </c>
      <c r="AC648">
        <v>268</v>
      </c>
      <c r="AD648">
        <v>474</v>
      </c>
      <c r="AE648">
        <v>0</v>
      </c>
      <c r="AF648">
        <v>418</v>
      </c>
      <c r="AG648">
        <v>78</v>
      </c>
    </row>
    <row r="649" spans="1:33" x14ac:dyDescent="0.3">
      <c r="A649" t="s">
        <v>215</v>
      </c>
      <c r="B649" t="s">
        <v>228</v>
      </c>
      <c r="C649" t="s">
        <v>36</v>
      </c>
      <c r="D649" s="1">
        <v>7686</v>
      </c>
      <c r="E649">
        <v>0</v>
      </c>
      <c r="F649" s="1">
        <v>1635</v>
      </c>
      <c r="G649">
        <v>4</v>
      </c>
      <c r="H649" s="1">
        <v>1260</v>
      </c>
      <c r="I649">
        <v>0</v>
      </c>
      <c r="J649">
        <v>3</v>
      </c>
      <c r="K649">
        <v>0</v>
      </c>
      <c r="L649">
        <v>19</v>
      </c>
      <c r="M649">
        <v>4</v>
      </c>
      <c r="N649">
        <v>289</v>
      </c>
      <c r="O649">
        <v>11</v>
      </c>
      <c r="P649">
        <v>103</v>
      </c>
      <c r="Q649">
        <v>4</v>
      </c>
      <c r="R649">
        <v>0</v>
      </c>
      <c r="S649">
        <v>0</v>
      </c>
      <c r="T649">
        <v>1</v>
      </c>
      <c r="U649">
        <v>55</v>
      </c>
      <c r="V649">
        <v>40</v>
      </c>
      <c r="W649">
        <v>308</v>
      </c>
      <c r="X649">
        <v>0</v>
      </c>
      <c r="Y649">
        <v>509</v>
      </c>
      <c r="Z649">
        <v>362</v>
      </c>
      <c r="AA649">
        <v>451</v>
      </c>
      <c r="AB649">
        <v>993</v>
      </c>
      <c r="AC649" s="1">
        <v>1151</v>
      </c>
      <c r="AD649">
        <v>142</v>
      </c>
      <c r="AE649">
        <v>11</v>
      </c>
      <c r="AF649">
        <v>283</v>
      </c>
      <c r="AG649">
        <v>48</v>
      </c>
    </row>
    <row r="650" spans="1:33" x14ac:dyDescent="0.3">
      <c r="A650" t="s">
        <v>215</v>
      </c>
      <c r="B650" t="s">
        <v>229</v>
      </c>
      <c r="C650" t="s">
        <v>32</v>
      </c>
      <c r="D650" s="1">
        <v>1108</v>
      </c>
      <c r="E650">
        <v>0</v>
      </c>
      <c r="F650">
        <v>3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5</v>
      </c>
      <c r="Q650">
        <v>0</v>
      </c>
      <c r="R650">
        <v>0</v>
      </c>
      <c r="S650">
        <v>0</v>
      </c>
      <c r="T650">
        <v>0</v>
      </c>
      <c r="U650">
        <v>119</v>
      </c>
      <c r="V650">
        <v>186</v>
      </c>
      <c r="W650">
        <v>473</v>
      </c>
      <c r="X650">
        <v>0</v>
      </c>
      <c r="Y650">
        <v>55</v>
      </c>
      <c r="Z650">
        <v>43</v>
      </c>
      <c r="AA650">
        <v>32</v>
      </c>
      <c r="AB650">
        <v>44</v>
      </c>
      <c r="AC650">
        <v>124</v>
      </c>
      <c r="AD650">
        <v>6</v>
      </c>
      <c r="AE650">
        <v>0</v>
      </c>
      <c r="AF650">
        <v>10</v>
      </c>
      <c r="AG650">
        <v>5</v>
      </c>
    </row>
    <row r="651" spans="1:33" x14ac:dyDescent="0.3">
      <c r="A651" t="s">
        <v>215</v>
      </c>
      <c r="B651" t="s">
        <v>229</v>
      </c>
      <c r="C651" t="s">
        <v>35</v>
      </c>
      <c r="D651">
        <v>652</v>
      </c>
      <c r="E651">
        <v>0</v>
      </c>
      <c r="F651">
        <v>1</v>
      </c>
      <c r="G651">
        <v>0</v>
      </c>
      <c r="H651" s="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102</v>
      </c>
      <c r="V651">
        <v>96</v>
      </c>
      <c r="W651">
        <v>359</v>
      </c>
      <c r="X651">
        <v>0</v>
      </c>
      <c r="Y651">
        <v>24</v>
      </c>
      <c r="Z651">
        <v>24</v>
      </c>
      <c r="AA651">
        <v>7</v>
      </c>
      <c r="AB651">
        <v>16</v>
      </c>
      <c r="AC651">
        <v>5</v>
      </c>
      <c r="AD651">
        <v>5</v>
      </c>
      <c r="AE651">
        <v>0</v>
      </c>
      <c r="AF651">
        <v>8</v>
      </c>
      <c r="AG651">
        <v>4</v>
      </c>
    </row>
    <row r="652" spans="1:33" x14ac:dyDescent="0.3">
      <c r="A652" t="s">
        <v>215</v>
      </c>
      <c r="B652" t="s">
        <v>229</v>
      </c>
      <c r="C652" t="s">
        <v>36</v>
      </c>
      <c r="D652">
        <v>456</v>
      </c>
      <c r="E652">
        <v>0</v>
      </c>
      <c r="F652">
        <v>2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5</v>
      </c>
      <c r="Q652">
        <v>0</v>
      </c>
      <c r="R652">
        <v>0</v>
      </c>
      <c r="S652">
        <v>0</v>
      </c>
      <c r="T652">
        <v>0</v>
      </c>
      <c r="U652">
        <v>17</v>
      </c>
      <c r="V652">
        <v>90</v>
      </c>
      <c r="W652">
        <v>114</v>
      </c>
      <c r="X652">
        <v>0</v>
      </c>
      <c r="Y652">
        <v>31</v>
      </c>
      <c r="Z652">
        <v>19</v>
      </c>
      <c r="AA652">
        <v>25</v>
      </c>
      <c r="AB652">
        <v>28</v>
      </c>
      <c r="AC652">
        <v>119</v>
      </c>
      <c r="AD652">
        <v>1</v>
      </c>
      <c r="AE652">
        <v>0</v>
      </c>
      <c r="AF652">
        <v>2</v>
      </c>
      <c r="AG652">
        <v>1</v>
      </c>
    </row>
    <row r="653" spans="1:33" x14ac:dyDescent="0.3">
      <c r="A653" t="s">
        <v>215</v>
      </c>
      <c r="B653" t="s">
        <v>230</v>
      </c>
      <c r="C653" t="s">
        <v>32</v>
      </c>
      <c r="D653" s="1">
        <v>2469</v>
      </c>
      <c r="E653">
        <v>0</v>
      </c>
      <c r="F653">
        <v>0</v>
      </c>
      <c r="G653">
        <v>0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</v>
      </c>
      <c r="O653">
        <v>0</v>
      </c>
      <c r="P653">
        <v>16</v>
      </c>
      <c r="Q653">
        <v>0</v>
      </c>
      <c r="R653">
        <v>0</v>
      </c>
      <c r="S653">
        <v>0</v>
      </c>
      <c r="T653">
        <v>1</v>
      </c>
      <c r="U653">
        <v>72</v>
      </c>
      <c r="V653">
        <v>175</v>
      </c>
      <c r="W653">
        <v>976</v>
      </c>
      <c r="X653">
        <v>667</v>
      </c>
      <c r="Y653">
        <v>76</v>
      </c>
      <c r="Z653">
        <v>29</v>
      </c>
      <c r="AA653">
        <v>35</v>
      </c>
      <c r="AB653">
        <v>108</v>
      </c>
      <c r="AC653">
        <v>191</v>
      </c>
      <c r="AD653">
        <v>35</v>
      </c>
      <c r="AE653">
        <v>0</v>
      </c>
      <c r="AF653">
        <v>65</v>
      </c>
      <c r="AG653">
        <v>18</v>
      </c>
    </row>
    <row r="654" spans="1:33" x14ac:dyDescent="0.3">
      <c r="A654" t="s">
        <v>215</v>
      </c>
      <c r="B654" t="s">
        <v>230</v>
      </c>
      <c r="C654" t="s">
        <v>35</v>
      </c>
      <c r="D654" s="1">
        <v>1954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</v>
      </c>
      <c r="O654">
        <v>0</v>
      </c>
      <c r="P654">
        <v>2</v>
      </c>
      <c r="Q654">
        <v>0</v>
      </c>
      <c r="R654">
        <v>0</v>
      </c>
      <c r="S654">
        <v>0</v>
      </c>
      <c r="T654">
        <v>0</v>
      </c>
      <c r="U654">
        <v>65</v>
      </c>
      <c r="V654">
        <v>92</v>
      </c>
      <c r="W654">
        <v>955</v>
      </c>
      <c r="X654">
        <v>667</v>
      </c>
      <c r="Y654">
        <v>30</v>
      </c>
      <c r="Z654">
        <v>14</v>
      </c>
      <c r="AA654">
        <v>11</v>
      </c>
      <c r="AB654">
        <v>38</v>
      </c>
      <c r="AC654">
        <v>10</v>
      </c>
      <c r="AD654">
        <v>23</v>
      </c>
      <c r="AE654">
        <v>0</v>
      </c>
      <c r="AF654">
        <v>30</v>
      </c>
      <c r="AG654">
        <v>15</v>
      </c>
    </row>
    <row r="655" spans="1:33" x14ac:dyDescent="0.3">
      <c r="A655" t="s">
        <v>215</v>
      </c>
      <c r="B655" t="s">
        <v>230</v>
      </c>
      <c r="C655" t="s">
        <v>36</v>
      </c>
      <c r="D655">
        <v>515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14</v>
      </c>
      <c r="Q655">
        <v>0</v>
      </c>
      <c r="R655">
        <v>0</v>
      </c>
      <c r="S655">
        <v>0</v>
      </c>
      <c r="T655">
        <v>1</v>
      </c>
      <c r="U655">
        <v>7</v>
      </c>
      <c r="V655">
        <v>83</v>
      </c>
      <c r="W655">
        <v>21</v>
      </c>
      <c r="X655">
        <v>0</v>
      </c>
      <c r="Y655">
        <v>46</v>
      </c>
      <c r="Z655">
        <v>15</v>
      </c>
      <c r="AA655">
        <v>24</v>
      </c>
      <c r="AB655">
        <v>70</v>
      </c>
      <c r="AC655">
        <v>181</v>
      </c>
      <c r="AD655">
        <v>12</v>
      </c>
      <c r="AE655">
        <v>0</v>
      </c>
      <c r="AF655">
        <v>35</v>
      </c>
      <c r="AG655">
        <v>3</v>
      </c>
    </row>
    <row r="656" spans="1:33" x14ac:dyDescent="0.3">
      <c r="A656" t="s">
        <v>215</v>
      </c>
      <c r="B656" t="s">
        <v>231</v>
      </c>
      <c r="C656" t="s">
        <v>32</v>
      </c>
      <c r="D656" s="1">
        <v>4340</v>
      </c>
      <c r="E656">
        <v>0</v>
      </c>
      <c r="F656">
        <v>373</v>
      </c>
      <c r="G656">
        <v>0</v>
      </c>
      <c r="H656">
        <v>474</v>
      </c>
      <c r="I656">
        <v>0</v>
      </c>
      <c r="J656">
        <v>2</v>
      </c>
      <c r="K656">
        <v>0</v>
      </c>
      <c r="L656">
        <v>1</v>
      </c>
      <c r="M656">
        <v>0</v>
      </c>
      <c r="N656">
        <v>33</v>
      </c>
      <c r="O656">
        <v>0</v>
      </c>
      <c r="P656">
        <v>36</v>
      </c>
      <c r="Q656">
        <v>0</v>
      </c>
      <c r="R656">
        <v>0</v>
      </c>
      <c r="S656">
        <v>0</v>
      </c>
      <c r="T656">
        <v>0</v>
      </c>
      <c r="U656">
        <v>186</v>
      </c>
      <c r="V656">
        <v>240</v>
      </c>
      <c r="W656" s="1">
        <v>1717</v>
      </c>
      <c r="X656">
        <v>18</v>
      </c>
      <c r="Y656">
        <v>177</v>
      </c>
      <c r="Z656">
        <v>65</v>
      </c>
      <c r="AA656">
        <v>125</v>
      </c>
      <c r="AB656">
        <v>252</v>
      </c>
      <c r="AC656">
        <v>370</v>
      </c>
      <c r="AD656">
        <v>180</v>
      </c>
      <c r="AE656">
        <v>0</v>
      </c>
      <c r="AF656">
        <v>70</v>
      </c>
      <c r="AG656">
        <v>21</v>
      </c>
    </row>
    <row r="657" spans="1:33" x14ac:dyDescent="0.3">
      <c r="A657" t="s">
        <v>215</v>
      </c>
      <c r="B657" t="s">
        <v>231</v>
      </c>
      <c r="C657" t="s">
        <v>35</v>
      </c>
      <c r="D657" s="1">
        <v>2922</v>
      </c>
      <c r="E657">
        <v>0</v>
      </c>
      <c r="F657">
        <v>205</v>
      </c>
      <c r="G657">
        <v>0</v>
      </c>
      <c r="H657">
        <v>317</v>
      </c>
      <c r="I657">
        <v>0</v>
      </c>
      <c r="J657">
        <v>2</v>
      </c>
      <c r="K657">
        <v>0</v>
      </c>
      <c r="L657">
        <v>1</v>
      </c>
      <c r="M657">
        <v>0</v>
      </c>
      <c r="N657">
        <v>19</v>
      </c>
      <c r="O657">
        <v>0</v>
      </c>
      <c r="P657">
        <v>12</v>
      </c>
      <c r="Q657">
        <v>0</v>
      </c>
      <c r="R657">
        <v>0</v>
      </c>
      <c r="S657">
        <v>0</v>
      </c>
      <c r="T657">
        <v>0</v>
      </c>
      <c r="U657">
        <v>179</v>
      </c>
      <c r="V657">
        <v>129</v>
      </c>
      <c r="W657" s="1">
        <v>1526</v>
      </c>
      <c r="X657">
        <v>18</v>
      </c>
      <c r="Y657">
        <v>74</v>
      </c>
      <c r="Z657">
        <v>38</v>
      </c>
      <c r="AA657">
        <v>32</v>
      </c>
      <c r="AB657">
        <v>118</v>
      </c>
      <c r="AC657">
        <v>51</v>
      </c>
      <c r="AD657">
        <v>135</v>
      </c>
      <c r="AE657">
        <v>0</v>
      </c>
      <c r="AF657">
        <v>47</v>
      </c>
      <c r="AG657">
        <v>19</v>
      </c>
    </row>
    <row r="658" spans="1:33" x14ac:dyDescent="0.3">
      <c r="A658" t="s">
        <v>215</v>
      </c>
      <c r="B658" t="s">
        <v>231</v>
      </c>
      <c r="C658" t="s">
        <v>36</v>
      </c>
      <c r="D658" s="1">
        <v>1418</v>
      </c>
      <c r="E658">
        <v>0</v>
      </c>
      <c r="F658">
        <v>168</v>
      </c>
      <c r="G658">
        <v>0</v>
      </c>
      <c r="H658">
        <v>157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14</v>
      </c>
      <c r="O658">
        <v>0</v>
      </c>
      <c r="P658">
        <v>24</v>
      </c>
      <c r="Q658">
        <v>0</v>
      </c>
      <c r="R658">
        <v>0</v>
      </c>
      <c r="S658">
        <v>0</v>
      </c>
      <c r="T658">
        <v>0</v>
      </c>
      <c r="U658">
        <v>7</v>
      </c>
      <c r="V658">
        <v>111</v>
      </c>
      <c r="W658">
        <v>191</v>
      </c>
      <c r="X658">
        <v>0</v>
      </c>
      <c r="Y658">
        <v>103</v>
      </c>
      <c r="Z658">
        <v>27</v>
      </c>
      <c r="AA658">
        <v>93</v>
      </c>
      <c r="AB658">
        <v>134</v>
      </c>
      <c r="AC658">
        <v>319</v>
      </c>
      <c r="AD658">
        <v>45</v>
      </c>
      <c r="AE658">
        <v>0</v>
      </c>
      <c r="AF658">
        <v>23</v>
      </c>
      <c r="AG658">
        <v>2</v>
      </c>
    </row>
    <row r="659" spans="1:33" x14ac:dyDescent="0.3">
      <c r="A659" t="s">
        <v>232</v>
      </c>
      <c r="B659" t="s">
        <v>32</v>
      </c>
      <c r="C659" t="s">
        <v>32</v>
      </c>
      <c r="D659" s="1">
        <v>62213</v>
      </c>
      <c r="E659">
        <v>14</v>
      </c>
      <c r="F659" s="1">
        <v>8837</v>
      </c>
      <c r="G659">
        <v>47</v>
      </c>
      <c r="H659" s="1">
        <v>2534</v>
      </c>
      <c r="I659">
        <v>1</v>
      </c>
      <c r="J659">
        <v>40</v>
      </c>
      <c r="K659">
        <v>34</v>
      </c>
      <c r="L659">
        <v>238</v>
      </c>
      <c r="M659">
        <v>48</v>
      </c>
      <c r="N659">
        <v>398</v>
      </c>
      <c r="O659">
        <v>26</v>
      </c>
      <c r="P659">
        <v>285</v>
      </c>
      <c r="Q659">
        <v>76</v>
      </c>
      <c r="R659">
        <v>0</v>
      </c>
      <c r="S659">
        <v>0</v>
      </c>
      <c r="T659">
        <v>22</v>
      </c>
      <c r="U659" s="1">
        <v>3480</v>
      </c>
      <c r="V659">
        <v>543</v>
      </c>
      <c r="W659" s="1">
        <v>20834</v>
      </c>
      <c r="X659">
        <v>0</v>
      </c>
      <c r="Y659" s="1">
        <v>3244</v>
      </c>
      <c r="Z659" s="1">
        <v>1975</v>
      </c>
      <c r="AA659" s="1">
        <v>3206</v>
      </c>
      <c r="AB659" s="1">
        <v>4968</v>
      </c>
      <c r="AC659" s="1">
        <v>5352</v>
      </c>
      <c r="AD659" s="1">
        <v>3392</v>
      </c>
      <c r="AE659">
        <v>29</v>
      </c>
      <c r="AF659" s="1">
        <v>2185</v>
      </c>
      <c r="AG659">
        <v>405</v>
      </c>
    </row>
    <row r="660" spans="1:33" x14ac:dyDescent="0.3">
      <c r="A660" t="s">
        <v>232</v>
      </c>
      <c r="B660" t="s">
        <v>32</v>
      </c>
      <c r="C660" t="s">
        <v>35</v>
      </c>
      <c r="D660" s="1">
        <f>D663+D666+D669+D672+D675+D678+D681+D684+D687+D690+D693+D696+D699+D702</f>
        <v>40187</v>
      </c>
      <c r="E660" s="1">
        <f t="shared" ref="E660:AG660" si="28">E663+E666+E669+E672+E675+E678+E681+E684+E687+E690+E693+E696+E699+E702</f>
        <v>13</v>
      </c>
      <c r="F660" s="1">
        <f t="shared" si="28"/>
        <v>5272</v>
      </c>
      <c r="G660" s="1">
        <f t="shared" si="28"/>
        <v>28</v>
      </c>
      <c r="H660" s="1">
        <f t="shared" si="28"/>
        <v>1527</v>
      </c>
      <c r="I660" s="1">
        <f t="shared" si="28"/>
        <v>0</v>
      </c>
      <c r="J660" s="1">
        <f t="shared" si="28"/>
        <v>17</v>
      </c>
      <c r="K660" s="1">
        <f t="shared" si="28"/>
        <v>33</v>
      </c>
      <c r="L660" s="1">
        <f t="shared" si="28"/>
        <v>195</v>
      </c>
      <c r="M660" s="1">
        <f t="shared" si="28"/>
        <v>43</v>
      </c>
      <c r="N660" s="1">
        <f t="shared" si="28"/>
        <v>214</v>
      </c>
      <c r="O660" s="1">
        <f t="shared" si="28"/>
        <v>20</v>
      </c>
      <c r="P660" s="1">
        <f t="shared" si="28"/>
        <v>75</v>
      </c>
      <c r="Q660" s="1">
        <f t="shared" si="28"/>
        <v>54</v>
      </c>
      <c r="R660" s="1">
        <f t="shared" si="28"/>
        <v>0</v>
      </c>
      <c r="S660" s="1">
        <f t="shared" si="28"/>
        <v>0</v>
      </c>
      <c r="T660" s="1">
        <f t="shared" si="28"/>
        <v>11</v>
      </c>
      <c r="U660" s="1">
        <f t="shared" si="28"/>
        <v>3274</v>
      </c>
      <c r="V660" s="1">
        <f t="shared" si="28"/>
        <v>352</v>
      </c>
      <c r="W660" s="1">
        <f t="shared" si="28"/>
        <v>18316</v>
      </c>
      <c r="X660" s="1">
        <f t="shared" si="28"/>
        <v>0</v>
      </c>
      <c r="Y660" s="1">
        <f t="shared" si="28"/>
        <v>1272</v>
      </c>
      <c r="Z660" s="1">
        <f t="shared" si="28"/>
        <v>923</v>
      </c>
      <c r="AA660" s="1">
        <f t="shared" si="28"/>
        <v>1046</v>
      </c>
      <c r="AB660" s="1">
        <f t="shared" si="28"/>
        <v>2651</v>
      </c>
      <c r="AC660" s="1">
        <f t="shared" si="28"/>
        <v>845</v>
      </c>
      <c r="AD660" s="1">
        <f t="shared" si="28"/>
        <v>2412</v>
      </c>
      <c r="AE660" s="1">
        <f t="shared" si="28"/>
        <v>2</v>
      </c>
      <c r="AF660" s="1">
        <f t="shared" si="28"/>
        <v>1272</v>
      </c>
      <c r="AG660" s="1">
        <f t="shared" si="28"/>
        <v>320</v>
      </c>
    </row>
    <row r="661" spans="1:33" x14ac:dyDescent="0.3">
      <c r="A661" t="s">
        <v>232</v>
      </c>
      <c r="B661" t="s">
        <v>32</v>
      </c>
      <c r="C661" t="s">
        <v>36</v>
      </c>
      <c r="D661" s="1">
        <f>D664+D667+D670+D673+D676+D679+D682+D685+D688+D691+D694+D697+D700+D703</f>
        <v>22026</v>
      </c>
      <c r="E661" s="1">
        <f t="shared" ref="E661:AG661" si="29">E664+E667+E670+E673+E676+E679+E682+E685+E688+E691+E694+E697+E700+E703</f>
        <v>1</v>
      </c>
      <c r="F661" s="1">
        <f t="shared" si="29"/>
        <v>3565</v>
      </c>
      <c r="G661" s="1">
        <f t="shared" si="29"/>
        <v>19</v>
      </c>
      <c r="H661" s="1">
        <f t="shared" si="29"/>
        <v>1007</v>
      </c>
      <c r="I661" s="1">
        <f t="shared" si="29"/>
        <v>1</v>
      </c>
      <c r="J661" s="1">
        <f t="shared" si="29"/>
        <v>23</v>
      </c>
      <c r="K661" s="1">
        <f t="shared" si="29"/>
        <v>1</v>
      </c>
      <c r="L661" s="1">
        <f t="shared" si="29"/>
        <v>43</v>
      </c>
      <c r="M661" s="1">
        <f t="shared" si="29"/>
        <v>5</v>
      </c>
      <c r="N661" s="1">
        <f t="shared" si="29"/>
        <v>184</v>
      </c>
      <c r="O661" s="1">
        <f t="shared" si="29"/>
        <v>6</v>
      </c>
      <c r="P661" s="1">
        <f t="shared" si="29"/>
        <v>210</v>
      </c>
      <c r="Q661" s="1">
        <f t="shared" si="29"/>
        <v>22</v>
      </c>
      <c r="R661" s="1">
        <f t="shared" si="29"/>
        <v>0</v>
      </c>
      <c r="S661" s="1">
        <f t="shared" si="29"/>
        <v>0</v>
      </c>
      <c r="T661" s="1">
        <f t="shared" si="29"/>
        <v>11</v>
      </c>
      <c r="U661" s="1">
        <f t="shared" si="29"/>
        <v>206</v>
      </c>
      <c r="V661" s="1">
        <f t="shared" si="29"/>
        <v>191</v>
      </c>
      <c r="W661" s="1">
        <f t="shared" si="29"/>
        <v>2518</v>
      </c>
      <c r="X661" s="1">
        <f t="shared" si="29"/>
        <v>0</v>
      </c>
      <c r="Y661" s="1">
        <f t="shared" si="29"/>
        <v>1972</v>
      </c>
      <c r="Z661" s="1">
        <f t="shared" si="29"/>
        <v>1052</v>
      </c>
      <c r="AA661" s="1">
        <f t="shared" si="29"/>
        <v>2160</v>
      </c>
      <c r="AB661" s="1">
        <f t="shared" si="29"/>
        <v>2317</v>
      </c>
      <c r="AC661" s="1">
        <f t="shared" si="29"/>
        <v>4507</v>
      </c>
      <c r="AD661" s="1">
        <f t="shared" si="29"/>
        <v>980</v>
      </c>
      <c r="AE661" s="1">
        <f t="shared" si="29"/>
        <v>27</v>
      </c>
      <c r="AF661" s="1">
        <f t="shared" si="29"/>
        <v>913</v>
      </c>
      <c r="AG661" s="1">
        <f t="shared" si="29"/>
        <v>85</v>
      </c>
    </row>
    <row r="662" spans="1:33" x14ac:dyDescent="0.3">
      <c r="A662" t="s">
        <v>232</v>
      </c>
      <c r="B662" t="s">
        <v>233</v>
      </c>
      <c r="C662" t="s">
        <v>32</v>
      </c>
      <c r="D662" s="1">
        <v>1164</v>
      </c>
      <c r="E662">
        <v>0</v>
      </c>
      <c r="F662">
        <v>126</v>
      </c>
      <c r="G662">
        <v>0</v>
      </c>
      <c r="H662">
        <v>65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1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90</v>
      </c>
      <c r="V662">
        <v>25</v>
      </c>
      <c r="W662">
        <v>530</v>
      </c>
      <c r="X662">
        <v>0</v>
      </c>
      <c r="Y662">
        <v>45</v>
      </c>
      <c r="Z662">
        <v>20</v>
      </c>
      <c r="AA662">
        <v>36</v>
      </c>
      <c r="AB662">
        <v>42</v>
      </c>
      <c r="AC662">
        <v>141</v>
      </c>
      <c r="AD662">
        <v>18</v>
      </c>
      <c r="AE662">
        <v>0</v>
      </c>
      <c r="AF662">
        <v>18</v>
      </c>
      <c r="AG662">
        <v>3</v>
      </c>
    </row>
    <row r="663" spans="1:33" x14ac:dyDescent="0.3">
      <c r="A663" t="s">
        <v>232</v>
      </c>
      <c r="B663" t="s">
        <v>233</v>
      </c>
      <c r="C663" t="s">
        <v>35</v>
      </c>
      <c r="D663">
        <v>792</v>
      </c>
      <c r="E663">
        <v>0</v>
      </c>
      <c r="F663">
        <v>63</v>
      </c>
      <c r="G663">
        <v>0</v>
      </c>
      <c r="H663">
        <v>50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82</v>
      </c>
      <c r="V663">
        <v>25</v>
      </c>
      <c r="W663">
        <v>474</v>
      </c>
      <c r="X663">
        <v>0</v>
      </c>
      <c r="Y663">
        <v>17</v>
      </c>
      <c r="Z663">
        <v>14</v>
      </c>
      <c r="AA663">
        <v>7</v>
      </c>
      <c r="AB663">
        <v>17</v>
      </c>
      <c r="AC663">
        <v>15</v>
      </c>
      <c r="AD663">
        <v>13</v>
      </c>
      <c r="AE663">
        <v>0</v>
      </c>
      <c r="AF663">
        <v>9</v>
      </c>
      <c r="AG663">
        <v>3</v>
      </c>
    </row>
    <row r="664" spans="1:33" x14ac:dyDescent="0.3">
      <c r="A664" t="s">
        <v>232</v>
      </c>
      <c r="B664" t="s">
        <v>233</v>
      </c>
      <c r="C664" t="s">
        <v>36</v>
      </c>
      <c r="D664">
        <v>372</v>
      </c>
      <c r="E664">
        <v>0</v>
      </c>
      <c r="F664">
        <v>63</v>
      </c>
      <c r="G664">
        <v>0</v>
      </c>
      <c r="H664">
        <v>15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8</v>
      </c>
      <c r="V664">
        <v>0</v>
      </c>
      <c r="W664">
        <v>56</v>
      </c>
      <c r="X664">
        <v>0</v>
      </c>
      <c r="Y664">
        <v>28</v>
      </c>
      <c r="Z664">
        <v>6</v>
      </c>
      <c r="AA664">
        <v>29</v>
      </c>
      <c r="AB664">
        <v>25</v>
      </c>
      <c r="AC664">
        <v>126</v>
      </c>
      <c r="AD664">
        <v>5</v>
      </c>
      <c r="AE664">
        <v>0</v>
      </c>
      <c r="AF664">
        <v>9</v>
      </c>
      <c r="AG664">
        <v>0</v>
      </c>
    </row>
    <row r="665" spans="1:33" x14ac:dyDescent="0.3">
      <c r="A665" t="s">
        <v>232</v>
      </c>
      <c r="B665" t="s">
        <v>234</v>
      </c>
      <c r="C665" t="s">
        <v>32</v>
      </c>
      <c r="D665">
        <v>439</v>
      </c>
      <c r="E665">
        <v>0</v>
      </c>
      <c r="F665">
        <v>4</v>
      </c>
      <c r="G665">
        <v>0</v>
      </c>
      <c r="H665">
        <v>0</v>
      </c>
      <c r="I665">
        <v>0</v>
      </c>
      <c r="J665">
        <v>4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5</v>
      </c>
      <c r="Q665">
        <v>0</v>
      </c>
      <c r="R665">
        <v>0</v>
      </c>
      <c r="S665">
        <v>0</v>
      </c>
      <c r="T665">
        <v>0</v>
      </c>
      <c r="U665">
        <v>23</v>
      </c>
      <c r="V665">
        <v>57</v>
      </c>
      <c r="W665">
        <v>79</v>
      </c>
      <c r="X665">
        <v>0</v>
      </c>
      <c r="Y665">
        <v>24</v>
      </c>
      <c r="Z665">
        <v>65</v>
      </c>
      <c r="AA665">
        <v>43</v>
      </c>
      <c r="AB665">
        <v>34</v>
      </c>
      <c r="AC665">
        <v>87</v>
      </c>
      <c r="AD665">
        <v>10</v>
      </c>
      <c r="AE665">
        <v>1</v>
      </c>
      <c r="AF665">
        <v>2</v>
      </c>
      <c r="AG665">
        <v>0</v>
      </c>
    </row>
    <row r="666" spans="1:33" x14ac:dyDescent="0.3">
      <c r="A666" t="s">
        <v>232</v>
      </c>
      <c r="B666" t="s">
        <v>234</v>
      </c>
      <c r="C666" t="s">
        <v>35</v>
      </c>
      <c r="D666">
        <v>242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22</v>
      </c>
      <c r="V666">
        <v>37</v>
      </c>
      <c r="W666">
        <v>77</v>
      </c>
      <c r="X666">
        <v>0</v>
      </c>
      <c r="Y666">
        <v>10</v>
      </c>
      <c r="Z666">
        <v>35</v>
      </c>
      <c r="AA666">
        <v>21</v>
      </c>
      <c r="AB666">
        <v>11</v>
      </c>
      <c r="AC666">
        <v>13</v>
      </c>
      <c r="AD666">
        <v>8</v>
      </c>
      <c r="AE666">
        <v>0</v>
      </c>
      <c r="AF666">
        <v>2</v>
      </c>
      <c r="AG666">
        <v>0</v>
      </c>
    </row>
    <row r="667" spans="1:33" x14ac:dyDescent="0.3">
      <c r="A667" t="s">
        <v>232</v>
      </c>
      <c r="B667" t="s">
        <v>234</v>
      </c>
      <c r="C667" t="s">
        <v>36</v>
      </c>
      <c r="D667">
        <v>197</v>
      </c>
      <c r="E667">
        <v>0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4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20</v>
      </c>
      <c r="W667">
        <v>2</v>
      </c>
      <c r="X667">
        <v>0</v>
      </c>
      <c r="Y667">
        <v>14</v>
      </c>
      <c r="Z667">
        <v>30</v>
      </c>
      <c r="AA667">
        <v>22</v>
      </c>
      <c r="AB667">
        <v>23</v>
      </c>
      <c r="AC667">
        <v>74</v>
      </c>
      <c r="AD667">
        <v>2</v>
      </c>
      <c r="AE667">
        <v>1</v>
      </c>
      <c r="AF667">
        <v>0</v>
      </c>
      <c r="AG667">
        <v>0</v>
      </c>
    </row>
    <row r="668" spans="1:33" x14ac:dyDescent="0.3">
      <c r="A668" t="s">
        <v>232</v>
      </c>
      <c r="B668" t="s">
        <v>235</v>
      </c>
      <c r="C668" t="s">
        <v>32</v>
      </c>
      <c r="D668">
        <v>830</v>
      </c>
      <c r="E668">
        <v>0</v>
      </c>
      <c r="F668">
        <v>3</v>
      </c>
      <c r="G668">
        <v>1</v>
      </c>
      <c r="H668">
        <v>1</v>
      </c>
      <c r="I668">
        <v>0</v>
      </c>
      <c r="J668">
        <v>5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4</v>
      </c>
      <c r="Q668">
        <v>0</v>
      </c>
      <c r="R668">
        <v>0</v>
      </c>
      <c r="S668">
        <v>0</v>
      </c>
      <c r="T668">
        <v>0</v>
      </c>
      <c r="U668">
        <v>92</v>
      </c>
      <c r="V668">
        <v>33</v>
      </c>
      <c r="W668">
        <v>309</v>
      </c>
      <c r="X668">
        <v>0</v>
      </c>
      <c r="Y668">
        <v>62</v>
      </c>
      <c r="Z668">
        <v>53</v>
      </c>
      <c r="AA668">
        <v>75</v>
      </c>
      <c r="AB668">
        <v>47</v>
      </c>
      <c r="AC668">
        <v>121</v>
      </c>
      <c r="AD668">
        <v>11</v>
      </c>
      <c r="AE668">
        <v>0</v>
      </c>
      <c r="AF668">
        <v>11</v>
      </c>
      <c r="AG668">
        <v>0</v>
      </c>
    </row>
    <row r="669" spans="1:33" x14ac:dyDescent="0.3">
      <c r="A669" t="s">
        <v>232</v>
      </c>
      <c r="B669" t="s">
        <v>235</v>
      </c>
      <c r="C669" t="s">
        <v>35</v>
      </c>
      <c r="D669">
        <v>489</v>
      </c>
      <c r="E669">
        <v>0</v>
      </c>
      <c r="F669">
        <v>3</v>
      </c>
      <c r="G669">
        <v>1</v>
      </c>
      <c r="H669">
        <v>0</v>
      </c>
      <c r="I669">
        <v>0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90</v>
      </c>
      <c r="V669">
        <v>19</v>
      </c>
      <c r="W669">
        <v>260</v>
      </c>
      <c r="X669">
        <v>0</v>
      </c>
      <c r="Y669">
        <v>26</v>
      </c>
      <c r="Z669">
        <v>35</v>
      </c>
      <c r="AA669">
        <v>18</v>
      </c>
      <c r="AB669">
        <v>12</v>
      </c>
      <c r="AC669">
        <v>11</v>
      </c>
      <c r="AD669">
        <v>8</v>
      </c>
      <c r="AE669">
        <v>0</v>
      </c>
      <c r="AF669">
        <v>4</v>
      </c>
      <c r="AG669">
        <v>0</v>
      </c>
    </row>
    <row r="670" spans="1:33" x14ac:dyDescent="0.3">
      <c r="A670" t="s">
        <v>232</v>
      </c>
      <c r="B670" t="s">
        <v>235</v>
      </c>
      <c r="C670" t="s">
        <v>36</v>
      </c>
      <c r="D670">
        <v>341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4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4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14</v>
      </c>
      <c r="W670">
        <v>49</v>
      </c>
      <c r="X670">
        <v>0</v>
      </c>
      <c r="Y670">
        <v>36</v>
      </c>
      <c r="Z670">
        <v>18</v>
      </c>
      <c r="AA670">
        <v>57</v>
      </c>
      <c r="AB670">
        <v>35</v>
      </c>
      <c r="AC670">
        <v>110</v>
      </c>
      <c r="AD670">
        <v>3</v>
      </c>
      <c r="AE670">
        <v>0</v>
      </c>
      <c r="AF670">
        <v>7</v>
      </c>
      <c r="AG670">
        <v>0</v>
      </c>
    </row>
    <row r="671" spans="1:33" x14ac:dyDescent="0.3">
      <c r="A671" t="s">
        <v>232</v>
      </c>
      <c r="B671" t="s">
        <v>236</v>
      </c>
      <c r="C671" t="s">
        <v>32</v>
      </c>
      <c r="D671" s="1">
        <v>1057</v>
      </c>
      <c r="E671">
        <v>0</v>
      </c>
      <c r="F671">
        <v>104</v>
      </c>
      <c r="G671">
        <v>0</v>
      </c>
      <c r="H671">
        <v>173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22</v>
      </c>
      <c r="O671">
        <v>0</v>
      </c>
      <c r="P671">
        <v>5</v>
      </c>
      <c r="Q671">
        <v>0</v>
      </c>
      <c r="R671">
        <v>0</v>
      </c>
      <c r="S671">
        <v>0</v>
      </c>
      <c r="T671">
        <v>1</v>
      </c>
      <c r="U671">
        <v>79</v>
      </c>
      <c r="V671">
        <v>17</v>
      </c>
      <c r="W671">
        <v>293</v>
      </c>
      <c r="X671">
        <v>0</v>
      </c>
      <c r="Y671">
        <v>73</v>
      </c>
      <c r="Z671">
        <v>24</v>
      </c>
      <c r="AA671">
        <v>35</v>
      </c>
      <c r="AB671">
        <v>41</v>
      </c>
      <c r="AC671">
        <v>143</v>
      </c>
      <c r="AD671">
        <v>23</v>
      </c>
      <c r="AE671">
        <v>0</v>
      </c>
      <c r="AF671">
        <v>18</v>
      </c>
      <c r="AG671">
        <v>6</v>
      </c>
    </row>
    <row r="672" spans="1:33" x14ac:dyDescent="0.3">
      <c r="A672" t="s">
        <v>232</v>
      </c>
      <c r="B672" t="s">
        <v>236</v>
      </c>
      <c r="C672" t="s">
        <v>35</v>
      </c>
      <c r="D672">
        <v>673</v>
      </c>
      <c r="E672">
        <v>0</v>
      </c>
      <c r="F672">
        <v>83</v>
      </c>
      <c r="G672">
        <v>0</v>
      </c>
      <c r="H672">
        <v>111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21</v>
      </c>
      <c r="O672">
        <v>0</v>
      </c>
      <c r="P672">
        <v>2</v>
      </c>
      <c r="Q672">
        <v>0</v>
      </c>
      <c r="R672">
        <v>0</v>
      </c>
      <c r="S672">
        <v>0</v>
      </c>
      <c r="T672">
        <v>0</v>
      </c>
      <c r="U672">
        <v>76</v>
      </c>
      <c r="V672">
        <v>7</v>
      </c>
      <c r="W672">
        <v>258</v>
      </c>
      <c r="X672">
        <v>0</v>
      </c>
      <c r="Y672">
        <v>29</v>
      </c>
      <c r="Z672">
        <v>14</v>
      </c>
      <c r="AA672">
        <v>10</v>
      </c>
      <c r="AB672">
        <v>16</v>
      </c>
      <c r="AC672">
        <v>11</v>
      </c>
      <c r="AD672">
        <v>22</v>
      </c>
      <c r="AE672">
        <v>0</v>
      </c>
      <c r="AF672">
        <v>9</v>
      </c>
      <c r="AG672">
        <v>4</v>
      </c>
    </row>
    <row r="673" spans="1:33" x14ac:dyDescent="0.3">
      <c r="A673" t="s">
        <v>232</v>
      </c>
      <c r="B673" t="s">
        <v>236</v>
      </c>
      <c r="C673" t="s">
        <v>36</v>
      </c>
      <c r="D673">
        <v>384</v>
      </c>
      <c r="E673">
        <v>0</v>
      </c>
      <c r="F673">
        <v>21</v>
      </c>
      <c r="G673">
        <v>0</v>
      </c>
      <c r="H673">
        <v>62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3</v>
      </c>
      <c r="Q673">
        <v>0</v>
      </c>
      <c r="R673">
        <v>0</v>
      </c>
      <c r="S673">
        <v>0</v>
      </c>
      <c r="T673">
        <v>1</v>
      </c>
      <c r="U673">
        <v>3</v>
      </c>
      <c r="V673">
        <v>10</v>
      </c>
      <c r="W673">
        <v>35</v>
      </c>
      <c r="X673">
        <v>0</v>
      </c>
      <c r="Y673">
        <v>44</v>
      </c>
      <c r="Z673">
        <v>10</v>
      </c>
      <c r="AA673">
        <v>25</v>
      </c>
      <c r="AB673">
        <v>25</v>
      </c>
      <c r="AC673">
        <v>132</v>
      </c>
      <c r="AD673">
        <v>1</v>
      </c>
      <c r="AE673">
        <v>0</v>
      </c>
      <c r="AF673">
        <v>9</v>
      </c>
      <c r="AG673">
        <v>2</v>
      </c>
    </row>
    <row r="674" spans="1:33" x14ac:dyDescent="0.3">
      <c r="A674" t="s">
        <v>232</v>
      </c>
      <c r="B674" t="s">
        <v>237</v>
      </c>
      <c r="C674" t="s">
        <v>32</v>
      </c>
      <c r="D674" s="1">
        <v>1383</v>
      </c>
      <c r="E674">
        <v>0</v>
      </c>
      <c r="F674">
        <v>77</v>
      </c>
      <c r="G674">
        <v>1</v>
      </c>
      <c r="H674">
        <v>17</v>
      </c>
      <c r="I674">
        <v>0</v>
      </c>
      <c r="J674">
        <v>0</v>
      </c>
      <c r="K674">
        <v>0</v>
      </c>
      <c r="L674">
        <v>4</v>
      </c>
      <c r="M674">
        <v>0</v>
      </c>
      <c r="N674">
        <v>3</v>
      </c>
      <c r="O674">
        <v>1</v>
      </c>
      <c r="P674">
        <v>5</v>
      </c>
      <c r="Q674">
        <v>0</v>
      </c>
      <c r="R674">
        <v>0</v>
      </c>
      <c r="S674">
        <v>0</v>
      </c>
      <c r="T674">
        <v>0</v>
      </c>
      <c r="U674">
        <v>120</v>
      </c>
      <c r="V674">
        <v>31</v>
      </c>
      <c r="W674">
        <v>649</v>
      </c>
      <c r="X674">
        <v>0</v>
      </c>
      <c r="Y674">
        <v>87</v>
      </c>
      <c r="Z674">
        <v>45</v>
      </c>
      <c r="AA674">
        <v>73</v>
      </c>
      <c r="AB674">
        <v>58</v>
      </c>
      <c r="AC674">
        <v>161</v>
      </c>
      <c r="AD674">
        <v>28</v>
      </c>
      <c r="AE674">
        <v>2</v>
      </c>
      <c r="AF674">
        <v>16</v>
      </c>
      <c r="AG674">
        <v>5</v>
      </c>
    </row>
    <row r="675" spans="1:33" x14ac:dyDescent="0.3">
      <c r="A675" t="s">
        <v>232</v>
      </c>
      <c r="B675" t="s">
        <v>237</v>
      </c>
      <c r="C675" t="s">
        <v>35</v>
      </c>
      <c r="D675">
        <v>962</v>
      </c>
      <c r="E675">
        <v>0</v>
      </c>
      <c r="F675">
        <v>60</v>
      </c>
      <c r="G675">
        <v>1</v>
      </c>
      <c r="H675">
        <v>14</v>
      </c>
      <c r="I675">
        <v>0</v>
      </c>
      <c r="J675">
        <v>0</v>
      </c>
      <c r="K675">
        <v>0</v>
      </c>
      <c r="L675">
        <v>4</v>
      </c>
      <c r="M675">
        <v>0</v>
      </c>
      <c r="N675">
        <v>3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116</v>
      </c>
      <c r="V675">
        <v>19</v>
      </c>
      <c r="W675">
        <v>572</v>
      </c>
      <c r="X675">
        <v>0</v>
      </c>
      <c r="Y675">
        <v>31</v>
      </c>
      <c r="Z675">
        <v>29</v>
      </c>
      <c r="AA675">
        <v>24</v>
      </c>
      <c r="AB675">
        <v>29</v>
      </c>
      <c r="AC675">
        <v>25</v>
      </c>
      <c r="AD675">
        <v>20</v>
      </c>
      <c r="AE675">
        <v>0</v>
      </c>
      <c r="AF675">
        <v>10</v>
      </c>
      <c r="AG675">
        <v>4</v>
      </c>
    </row>
    <row r="676" spans="1:33" x14ac:dyDescent="0.3">
      <c r="A676" t="s">
        <v>232</v>
      </c>
      <c r="B676" t="s">
        <v>237</v>
      </c>
      <c r="C676" t="s">
        <v>36</v>
      </c>
      <c r="D676">
        <v>421</v>
      </c>
      <c r="E676">
        <v>0</v>
      </c>
      <c r="F676">
        <v>17</v>
      </c>
      <c r="G676">
        <v>0</v>
      </c>
      <c r="H676">
        <v>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</v>
      </c>
      <c r="Q676">
        <v>0</v>
      </c>
      <c r="R676">
        <v>0</v>
      </c>
      <c r="S676">
        <v>0</v>
      </c>
      <c r="T676">
        <v>0</v>
      </c>
      <c r="U676">
        <v>4</v>
      </c>
      <c r="V676">
        <v>12</v>
      </c>
      <c r="W676">
        <v>77</v>
      </c>
      <c r="X676">
        <v>0</v>
      </c>
      <c r="Y676">
        <v>56</v>
      </c>
      <c r="Z676">
        <v>16</v>
      </c>
      <c r="AA676">
        <v>49</v>
      </c>
      <c r="AB676">
        <v>29</v>
      </c>
      <c r="AC676">
        <v>136</v>
      </c>
      <c r="AD676">
        <v>8</v>
      </c>
      <c r="AE676">
        <v>2</v>
      </c>
      <c r="AF676">
        <v>6</v>
      </c>
      <c r="AG676">
        <v>1</v>
      </c>
    </row>
    <row r="677" spans="1:33" x14ac:dyDescent="0.3">
      <c r="A677" t="s">
        <v>232</v>
      </c>
      <c r="B677" t="s">
        <v>238</v>
      </c>
      <c r="C677" t="s">
        <v>32</v>
      </c>
      <c r="D677" s="1">
        <v>15313</v>
      </c>
      <c r="E677">
        <v>12</v>
      </c>
      <c r="F677">
        <v>658</v>
      </c>
      <c r="G677">
        <v>4</v>
      </c>
      <c r="H677">
        <v>237</v>
      </c>
      <c r="I677">
        <v>0</v>
      </c>
      <c r="J677">
        <v>13</v>
      </c>
      <c r="K677">
        <v>4</v>
      </c>
      <c r="L677">
        <v>26</v>
      </c>
      <c r="M677">
        <v>6</v>
      </c>
      <c r="N677">
        <v>25</v>
      </c>
      <c r="O677">
        <v>0</v>
      </c>
      <c r="P677">
        <v>12</v>
      </c>
      <c r="Q677">
        <v>1</v>
      </c>
      <c r="R677">
        <v>0</v>
      </c>
      <c r="S677">
        <v>0</v>
      </c>
      <c r="T677">
        <v>1</v>
      </c>
      <c r="U677" s="1">
        <v>1124</v>
      </c>
      <c r="V677">
        <v>147</v>
      </c>
      <c r="W677" s="1">
        <v>8062</v>
      </c>
      <c r="X677">
        <v>0</v>
      </c>
      <c r="Y677">
        <v>450</v>
      </c>
      <c r="Z677">
        <v>369</v>
      </c>
      <c r="AA677">
        <v>672</v>
      </c>
      <c r="AB677" s="1">
        <v>1125</v>
      </c>
      <c r="AC677">
        <v>680</v>
      </c>
      <c r="AD677" s="1">
        <v>1078</v>
      </c>
      <c r="AE677">
        <v>0</v>
      </c>
      <c r="AF677">
        <v>507</v>
      </c>
      <c r="AG677">
        <v>100</v>
      </c>
    </row>
    <row r="678" spans="1:33" x14ac:dyDescent="0.3">
      <c r="A678" t="s">
        <v>232</v>
      </c>
      <c r="B678" t="s">
        <v>238</v>
      </c>
      <c r="C678" t="s">
        <v>35</v>
      </c>
      <c r="D678" s="1">
        <v>11378</v>
      </c>
      <c r="E678">
        <v>12</v>
      </c>
      <c r="F678">
        <v>449</v>
      </c>
      <c r="G678">
        <v>2</v>
      </c>
      <c r="H678">
        <v>179</v>
      </c>
      <c r="I678">
        <v>0</v>
      </c>
      <c r="J678">
        <v>5</v>
      </c>
      <c r="K678">
        <v>4</v>
      </c>
      <c r="L678">
        <v>22</v>
      </c>
      <c r="M678">
        <v>6</v>
      </c>
      <c r="N678">
        <v>16</v>
      </c>
      <c r="O678">
        <v>0</v>
      </c>
      <c r="P678">
        <v>4</v>
      </c>
      <c r="Q678">
        <v>1</v>
      </c>
      <c r="R678">
        <v>0</v>
      </c>
      <c r="S678">
        <v>0</v>
      </c>
      <c r="T678">
        <v>1</v>
      </c>
      <c r="U678" s="1">
        <v>1062</v>
      </c>
      <c r="V678">
        <v>110</v>
      </c>
      <c r="W678" s="1">
        <v>7096</v>
      </c>
      <c r="X678">
        <v>0</v>
      </c>
      <c r="Y678">
        <v>163</v>
      </c>
      <c r="Z678">
        <v>126</v>
      </c>
      <c r="AA678">
        <v>171</v>
      </c>
      <c r="AB678">
        <v>702</v>
      </c>
      <c r="AC678">
        <v>111</v>
      </c>
      <c r="AD678">
        <v>752</v>
      </c>
      <c r="AE678">
        <v>0</v>
      </c>
      <c r="AF678">
        <v>300</v>
      </c>
      <c r="AG678">
        <v>84</v>
      </c>
    </row>
    <row r="679" spans="1:33" x14ac:dyDescent="0.3">
      <c r="A679" t="s">
        <v>232</v>
      </c>
      <c r="B679" t="s">
        <v>238</v>
      </c>
      <c r="C679" t="s">
        <v>36</v>
      </c>
      <c r="D679" s="1">
        <v>3935</v>
      </c>
      <c r="E679">
        <v>0</v>
      </c>
      <c r="F679">
        <v>209</v>
      </c>
      <c r="G679">
        <v>2</v>
      </c>
      <c r="H679">
        <v>58</v>
      </c>
      <c r="I679">
        <v>0</v>
      </c>
      <c r="J679">
        <v>8</v>
      </c>
      <c r="K679">
        <v>0</v>
      </c>
      <c r="L679">
        <v>4</v>
      </c>
      <c r="M679">
        <v>0</v>
      </c>
      <c r="N679">
        <v>9</v>
      </c>
      <c r="O679">
        <v>0</v>
      </c>
      <c r="P679">
        <v>8</v>
      </c>
      <c r="Q679">
        <v>0</v>
      </c>
      <c r="R679">
        <v>0</v>
      </c>
      <c r="S679">
        <v>0</v>
      </c>
      <c r="T679">
        <v>0</v>
      </c>
      <c r="U679">
        <v>62</v>
      </c>
      <c r="V679">
        <v>37</v>
      </c>
      <c r="W679">
        <v>966</v>
      </c>
      <c r="X679">
        <v>0</v>
      </c>
      <c r="Y679">
        <v>287</v>
      </c>
      <c r="Z679">
        <v>243</v>
      </c>
      <c r="AA679">
        <v>501</v>
      </c>
      <c r="AB679">
        <v>423</v>
      </c>
      <c r="AC679">
        <v>569</v>
      </c>
      <c r="AD679">
        <v>326</v>
      </c>
      <c r="AE679">
        <v>0</v>
      </c>
      <c r="AF679">
        <v>207</v>
      </c>
      <c r="AG679">
        <v>16</v>
      </c>
    </row>
    <row r="680" spans="1:33" x14ac:dyDescent="0.3">
      <c r="A680" t="s">
        <v>232</v>
      </c>
      <c r="B680" t="s">
        <v>239</v>
      </c>
      <c r="C680" t="s">
        <v>32</v>
      </c>
      <c r="D680" s="1">
        <v>3474</v>
      </c>
      <c r="E680">
        <v>0</v>
      </c>
      <c r="F680">
        <v>918</v>
      </c>
      <c r="G680">
        <v>0</v>
      </c>
      <c r="H680">
        <v>433</v>
      </c>
      <c r="I680">
        <v>1</v>
      </c>
      <c r="J680">
        <v>1</v>
      </c>
      <c r="K680">
        <v>0</v>
      </c>
      <c r="L680">
        <v>3</v>
      </c>
      <c r="M680">
        <v>5</v>
      </c>
      <c r="N680">
        <v>32</v>
      </c>
      <c r="O680">
        <v>6</v>
      </c>
      <c r="P680">
        <v>20</v>
      </c>
      <c r="Q680">
        <v>0</v>
      </c>
      <c r="R680">
        <v>0</v>
      </c>
      <c r="S680">
        <v>0</v>
      </c>
      <c r="T680">
        <v>1</v>
      </c>
      <c r="U680">
        <v>134</v>
      </c>
      <c r="V680">
        <v>1</v>
      </c>
      <c r="W680">
        <v>503</v>
      </c>
      <c r="X680">
        <v>0</v>
      </c>
      <c r="Y680">
        <v>193</v>
      </c>
      <c r="Z680">
        <v>248</v>
      </c>
      <c r="AA680">
        <v>305</v>
      </c>
      <c r="AB680">
        <v>183</v>
      </c>
      <c r="AC680">
        <v>345</v>
      </c>
      <c r="AD680">
        <v>100</v>
      </c>
      <c r="AE680">
        <v>0</v>
      </c>
      <c r="AF680">
        <v>31</v>
      </c>
      <c r="AG680">
        <v>11</v>
      </c>
    </row>
    <row r="681" spans="1:33" x14ac:dyDescent="0.3">
      <c r="A681" t="s">
        <v>232</v>
      </c>
      <c r="B681" t="s">
        <v>239</v>
      </c>
      <c r="C681" t="s">
        <v>35</v>
      </c>
      <c r="D681" s="1">
        <v>1980</v>
      </c>
      <c r="E681">
        <v>0</v>
      </c>
      <c r="F681">
        <v>523</v>
      </c>
      <c r="G681">
        <v>0</v>
      </c>
      <c r="H681">
        <v>257</v>
      </c>
      <c r="I681">
        <v>0</v>
      </c>
      <c r="J681">
        <v>0</v>
      </c>
      <c r="K681">
        <v>0</v>
      </c>
      <c r="L681">
        <v>2</v>
      </c>
      <c r="M681">
        <v>5</v>
      </c>
      <c r="N681">
        <v>14</v>
      </c>
      <c r="O681">
        <v>5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129</v>
      </c>
      <c r="V681">
        <v>0</v>
      </c>
      <c r="W681">
        <v>456</v>
      </c>
      <c r="X681">
        <v>0</v>
      </c>
      <c r="Y681">
        <v>73</v>
      </c>
      <c r="Z681">
        <v>175</v>
      </c>
      <c r="AA681">
        <v>114</v>
      </c>
      <c r="AB681">
        <v>86</v>
      </c>
      <c r="AC681">
        <v>41</v>
      </c>
      <c r="AD681">
        <v>74</v>
      </c>
      <c r="AE681">
        <v>0</v>
      </c>
      <c r="AF681">
        <v>17</v>
      </c>
      <c r="AG681">
        <v>7</v>
      </c>
    </row>
    <row r="682" spans="1:33" x14ac:dyDescent="0.3">
      <c r="A682" t="s">
        <v>232</v>
      </c>
      <c r="B682" t="s">
        <v>239</v>
      </c>
      <c r="C682" t="s">
        <v>36</v>
      </c>
      <c r="D682" s="1">
        <v>1494</v>
      </c>
      <c r="E682">
        <v>0</v>
      </c>
      <c r="F682">
        <v>395</v>
      </c>
      <c r="G682">
        <v>0</v>
      </c>
      <c r="H682">
        <v>176</v>
      </c>
      <c r="I682">
        <v>1</v>
      </c>
      <c r="J682">
        <v>1</v>
      </c>
      <c r="K682">
        <v>0</v>
      </c>
      <c r="L682">
        <v>1</v>
      </c>
      <c r="M682">
        <v>0</v>
      </c>
      <c r="N682">
        <v>18</v>
      </c>
      <c r="O682">
        <v>1</v>
      </c>
      <c r="P682">
        <v>18</v>
      </c>
      <c r="Q682">
        <v>0</v>
      </c>
      <c r="R682">
        <v>0</v>
      </c>
      <c r="S682">
        <v>0</v>
      </c>
      <c r="T682">
        <v>1</v>
      </c>
      <c r="U682">
        <v>5</v>
      </c>
      <c r="V682">
        <v>1</v>
      </c>
      <c r="W682">
        <v>47</v>
      </c>
      <c r="X682">
        <v>0</v>
      </c>
      <c r="Y682">
        <v>120</v>
      </c>
      <c r="Z682">
        <v>73</v>
      </c>
      <c r="AA682">
        <v>191</v>
      </c>
      <c r="AB682">
        <v>97</v>
      </c>
      <c r="AC682">
        <v>304</v>
      </c>
      <c r="AD682">
        <v>26</v>
      </c>
      <c r="AE682">
        <v>0</v>
      </c>
      <c r="AF682">
        <v>14</v>
      </c>
      <c r="AG682">
        <v>4</v>
      </c>
    </row>
    <row r="683" spans="1:33" x14ac:dyDescent="0.3">
      <c r="A683" t="s">
        <v>232</v>
      </c>
      <c r="B683" t="s">
        <v>240</v>
      </c>
      <c r="C683" t="s">
        <v>32</v>
      </c>
      <c r="D683" s="1">
        <v>1450</v>
      </c>
      <c r="E683">
        <v>0</v>
      </c>
      <c r="F683">
        <v>119</v>
      </c>
      <c r="G683">
        <v>0</v>
      </c>
      <c r="H683">
        <v>12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10</v>
      </c>
      <c r="O683">
        <v>0</v>
      </c>
      <c r="P683">
        <v>4</v>
      </c>
      <c r="Q683">
        <v>0</v>
      </c>
      <c r="R683">
        <v>0</v>
      </c>
      <c r="S683">
        <v>0</v>
      </c>
      <c r="T683">
        <v>0</v>
      </c>
      <c r="U683">
        <v>99</v>
      </c>
      <c r="V683">
        <v>9</v>
      </c>
      <c r="W683">
        <v>399</v>
      </c>
      <c r="X683">
        <v>0</v>
      </c>
      <c r="Y683">
        <v>88</v>
      </c>
      <c r="Z683">
        <v>45</v>
      </c>
      <c r="AA683">
        <v>121</v>
      </c>
      <c r="AB683">
        <v>154</v>
      </c>
      <c r="AC683">
        <v>179</v>
      </c>
      <c r="AD683">
        <v>136</v>
      </c>
      <c r="AE683">
        <v>1</v>
      </c>
      <c r="AF683">
        <v>55</v>
      </c>
      <c r="AG683">
        <v>12</v>
      </c>
    </row>
    <row r="684" spans="1:33" x14ac:dyDescent="0.3">
      <c r="A684" t="s">
        <v>232</v>
      </c>
      <c r="B684" t="s">
        <v>240</v>
      </c>
      <c r="C684" t="s">
        <v>35</v>
      </c>
      <c r="D684">
        <v>935</v>
      </c>
      <c r="E684">
        <v>0</v>
      </c>
      <c r="F684">
        <v>110</v>
      </c>
      <c r="G684">
        <v>0</v>
      </c>
      <c r="H684">
        <v>10</v>
      </c>
      <c r="I684">
        <v>0</v>
      </c>
      <c r="J684">
        <v>0</v>
      </c>
      <c r="K684">
        <v>0</v>
      </c>
      <c r="L684">
        <v>4</v>
      </c>
      <c r="M684">
        <v>2</v>
      </c>
      <c r="N684">
        <v>9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96</v>
      </c>
      <c r="V684">
        <v>5</v>
      </c>
      <c r="W684">
        <v>345</v>
      </c>
      <c r="X684">
        <v>0</v>
      </c>
      <c r="Y684">
        <v>35</v>
      </c>
      <c r="Z684">
        <v>19</v>
      </c>
      <c r="AA684">
        <v>37</v>
      </c>
      <c r="AB684">
        <v>68</v>
      </c>
      <c r="AC684">
        <v>39</v>
      </c>
      <c r="AD684">
        <v>105</v>
      </c>
      <c r="AE684">
        <v>0</v>
      </c>
      <c r="AF684">
        <v>42</v>
      </c>
      <c r="AG684">
        <v>9</v>
      </c>
    </row>
    <row r="685" spans="1:33" x14ac:dyDescent="0.3">
      <c r="A685" t="s">
        <v>232</v>
      </c>
      <c r="B685" t="s">
        <v>240</v>
      </c>
      <c r="C685" t="s">
        <v>36</v>
      </c>
      <c r="D685">
        <v>515</v>
      </c>
      <c r="E685">
        <v>0</v>
      </c>
      <c r="F685">
        <v>9</v>
      </c>
      <c r="G685">
        <v>0</v>
      </c>
      <c r="H685">
        <v>2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4</v>
      </c>
      <c r="Q685">
        <v>0</v>
      </c>
      <c r="R685">
        <v>0</v>
      </c>
      <c r="S685">
        <v>0</v>
      </c>
      <c r="T685">
        <v>0</v>
      </c>
      <c r="U685">
        <v>3</v>
      </c>
      <c r="V685">
        <v>4</v>
      </c>
      <c r="W685">
        <v>54</v>
      </c>
      <c r="X685">
        <v>0</v>
      </c>
      <c r="Y685">
        <v>53</v>
      </c>
      <c r="Z685">
        <v>26</v>
      </c>
      <c r="AA685">
        <v>84</v>
      </c>
      <c r="AB685">
        <v>86</v>
      </c>
      <c r="AC685">
        <v>140</v>
      </c>
      <c r="AD685">
        <v>31</v>
      </c>
      <c r="AE685">
        <v>1</v>
      </c>
      <c r="AF685">
        <v>13</v>
      </c>
      <c r="AG685">
        <v>3</v>
      </c>
    </row>
    <row r="686" spans="1:33" x14ac:dyDescent="0.3">
      <c r="A686" t="s">
        <v>232</v>
      </c>
      <c r="B686" t="s">
        <v>241</v>
      </c>
      <c r="C686" t="s">
        <v>32</v>
      </c>
      <c r="D686" s="1">
        <v>9014</v>
      </c>
      <c r="E686">
        <v>0</v>
      </c>
      <c r="F686">
        <v>157</v>
      </c>
      <c r="G686">
        <v>12</v>
      </c>
      <c r="H686">
        <v>11</v>
      </c>
      <c r="I686">
        <v>0</v>
      </c>
      <c r="J686">
        <v>0</v>
      </c>
      <c r="K686">
        <v>0</v>
      </c>
      <c r="L686">
        <v>8</v>
      </c>
      <c r="M686">
        <v>3</v>
      </c>
      <c r="N686">
        <v>17</v>
      </c>
      <c r="O686">
        <v>1</v>
      </c>
      <c r="P686">
        <v>15</v>
      </c>
      <c r="Q686">
        <v>0</v>
      </c>
      <c r="R686">
        <v>0</v>
      </c>
      <c r="S686">
        <v>0</v>
      </c>
      <c r="T686">
        <v>4</v>
      </c>
      <c r="U686">
        <v>652</v>
      </c>
      <c r="V686">
        <v>87</v>
      </c>
      <c r="W686" s="1">
        <v>3797</v>
      </c>
      <c r="X686">
        <v>0</v>
      </c>
      <c r="Y686">
        <v>510</v>
      </c>
      <c r="Z686">
        <v>337</v>
      </c>
      <c r="AA686">
        <v>523</v>
      </c>
      <c r="AB686">
        <v>930</v>
      </c>
      <c r="AC686">
        <v>561</v>
      </c>
      <c r="AD686">
        <v>803</v>
      </c>
      <c r="AE686">
        <v>0</v>
      </c>
      <c r="AF686">
        <v>464</v>
      </c>
      <c r="AG686">
        <v>122</v>
      </c>
    </row>
    <row r="687" spans="1:33" x14ac:dyDescent="0.3">
      <c r="A687" t="s">
        <v>232</v>
      </c>
      <c r="B687" t="s">
        <v>241</v>
      </c>
      <c r="C687" t="s">
        <v>35</v>
      </c>
      <c r="D687" s="1">
        <v>6362</v>
      </c>
      <c r="E687">
        <v>0</v>
      </c>
      <c r="F687">
        <v>115</v>
      </c>
      <c r="G687">
        <v>12</v>
      </c>
      <c r="H687">
        <v>6</v>
      </c>
      <c r="I687">
        <v>0</v>
      </c>
      <c r="J687">
        <v>0</v>
      </c>
      <c r="K687">
        <v>0</v>
      </c>
      <c r="L687">
        <v>8</v>
      </c>
      <c r="M687">
        <v>2</v>
      </c>
      <c r="N687">
        <v>11</v>
      </c>
      <c r="O687">
        <v>1</v>
      </c>
      <c r="P687">
        <v>2</v>
      </c>
      <c r="Q687">
        <v>0</v>
      </c>
      <c r="R687">
        <v>0</v>
      </c>
      <c r="S687">
        <v>0</v>
      </c>
      <c r="T687">
        <v>3</v>
      </c>
      <c r="U687">
        <v>626</v>
      </c>
      <c r="V687">
        <v>52</v>
      </c>
      <c r="W687" s="1">
        <v>3461</v>
      </c>
      <c r="X687">
        <v>0</v>
      </c>
      <c r="Y687">
        <v>203</v>
      </c>
      <c r="Z687">
        <v>136</v>
      </c>
      <c r="AA687">
        <v>158</v>
      </c>
      <c r="AB687">
        <v>518</v>
      </c>
      <c r="AC687">
        <v>118</v>
      </c>
      <c r="AD687">
        <v>562</v>
      </c>
      <c r="AE687">
        <v>0</v>
      </c>
      <c r="AF687">
        <v>273</v>
      </c>
      <c r="AG687">
        <v>95</v>
      </c>
    </row>
    <row r="688" spans="1:33" x14ac:dyDescent="0.3">
      <c r="A688" t="s">
        <v>232</v>
      </c>
      <c r="B688" t="s">
        <v>241</v>
      </c>
      <c r="C688" t="s">
        <v>36</v>
      </c>
      <c r="D688" s="1">
        <v>2652</v>
      </c>
      <c r="E688">
        <v>0</v>
      </c>
      <c r="F688">
        <v>42</v>
      </c>
      <c r="G688">
        <v>0</v>
      </c>
      <c r="H688">
        <v>5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6</v>
      </c>
      <c r="O688">
        <v>0</v>
      </c>
      <c r="P688">
        <v>13</v>
      </c>
      <c r="Q688">
        <v>0</v>
      </c>
      <c r="R688">
        <v>0</v>
      </c>
      <c r="S688">
        <v>0</v>
      </c>
      <c r="T688">
        <v>1</v>
      </c>
      <c r="U688">
        <v>26</v>
      </c>
      <c r="V688">
        <v>35</v>
      </c>
      <c r="W688">
        <v>336</v>
      </c>
      <c r="X688">
        <v>0</v>
      </c>
      <c r="Y688">
        <v>307</v>
      </c>
      <c r="Z688">
        <v>201</v>
      </c>
      <c r="AA688">
        <v>365</v>
      </c>
      <c r="AB688">
        <v>412</v>
      </c>
      <c r="AC688">
        <v>443</v>
      </c>
      <c r="AD688">
        <v>241</v>
      </c>
      <c r="AE688">
        <v>0</v>
      </c>
      <c r="AF688">
        <v>191</v>
      </c>
      <c r="AG688">
        <v>27</v>
      </c>
    </row>
    <row r="689" spans="1:33" x14ac:dyDescent="0.3">
      <c r="A689" t="s">
        <v>232</v>
      </c>
      <c r="B689" t="s">
        <v>242</v>
      </c>
      <c r="C689" t="s">
        <v>32</v>
      </c>
      <c r="D689" s="1">
        <v>1720</v>
      </c>
      <c r="E689">
        <v>0</v>
      </c>
      <c r="F689">
        <v>282</v>
      </c>
      <c r="G689">
        <v>0</v>
      </c>
      <c r="H689">
        <v>42</v>
      </c>
      <c r="I689">
        <v>0</v>
      </c>
      <c r="J689">
        <v>0</v>
      </c>
      <c r="K689">
        <v>0</v>
      </c>
      <c r="L689">
        <v>3</v>
      </c>
      <c r="M689">
        <v>1</v>
      </c>
      <c r="N689">
        <v>6</v>
      </c>
      <c r="O689">
        <v>1</v>
      </c>
      <c r="P689">
        <v>25</v>
      </c>
      <c r="Q689">
        <v>0</v>
      </c>
      <c r="R689">
        <v>0</v>
      </c>
      <c r="S689">
        <v>0</v>
      </c>
      <c r="T689">
        <v>1</v>
      </c>
      <c r="U689">
        <v>48</v>
      </c>
      <c r="V689">
        <v>19</v>
      </c>
      <c r="W689">
        <v>204</v>
      </c>
      <c r="X689">
        <v>0</v>
      </c>
      <c r="Y689">
        <v>179</v>
      </c>
      <c r="Z689">
        <v>61</v>
      </c>
      <c r="AA689">
        <v>50</v>
      </c>
      <c r="AB689">
        <v>233</v>
      </c>
      <c r="AC689">
        <v>436</v>
      </c>
      <c r="AD689">
        <v>46</v>
      </c>
      <c r="AE689">
        <v>1</v>
      </c>
      <c r="AF689">
        <v>70</v>
      </c>
      <c r="AG689">
        <v>12</v>
      </c>
    </row>
    <row r="690" spans="1:33" x14ac:dyDescent="0.3">
      <c r="A690" t="s">
        <v>232</v>
      </c>
      <c r="B690" t="s">
        <v>242</v>
      </c>
      <c r="C690" t="s">
        <v>35</v>
      </c>
      <c r="D690">
        <v>790</v>
      </c>
      <c r="E690">
        <v>0</v>
      </c>
      <c r="F690">
        <v>171</v>
      </c>
      <c r="G690">
        <v>0</v>
      </c>
      <c r="H690">
        <v>32</v>
      </c>
      <c r="I690">
        <v>0</v>
      </c>
      <c r="J690">
        <v>0</v>
      </c>
      <c r="K690">
        <v>0</v>
      </c>
      <c r="L690">
        <v>3</v>
      </c>
      <c r="M690">
        <v>1</v>
      </c>
      <c r="N690">
        <v>1</v>
      </c>
      <c r="O690">
        <v>1</v>
      </c>
      <c r="P690">
        <v>10</v>
      </c>
      <c r="Q690">
        <v>0</v>
      </c>
      <c r="R690">
        <v>0</v>
      </c>
      <c r="S690">
        <v>0</v>
      </c>
      <c r="T690">
        <v>0</v>
      </c>
      <c r="U690">
        <v>41</v>
      </c>
      <c r="V690">
        <v>11</v>
      </c>
      <c r="W690">
        <v>178</v>
      </c>
      <c r="X690">
        <v>0</v>
      </c>
      <c r="Y690">
        <v>68</v>
      </c>
      <c r="Z690">
        <v>37</v>
      </c>
      <c r="AA690">
        <v>14</v>
      </c>
      <c r="AB690">
        <v>83</v>
      </c>
      <c r="AC690">
        <v>68</v>
      </c>
      <c r="AD690">
        <v>27</v>
      </c>
      <c r="AE690">
        <v>1</v>
      </c>
      <c r="AF690">
        <v>35</v>
      </c>
      <c r="AG690">
        <v>8</v>
      </c>
    </row>
    <row r="691" spans="1:33" x14ac:dyDescent="0.3">
      <c r="A691" t="s">
        <v>232</v>
      </c>
      <c r="B691" t="s">
        <v>242</v>
      </c>
      <c r="C691" t="s">
        <v>36</v>
      </c>
      <c r="D691">
        <v>930</v>
      </c>
      <c r="E691">
        <v>0</v>
      </c>
      <c r="F691">
        <v>111</v>
      </c>
      <c r="G691">
        <v>0</v>
      </c>
      <c r="H691">
        <v>10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5</v>
      </c>
      <c r="O691">
        <v>0</v>
      </c>
      <c r="P691">
        <v>15</v>
      </c>
      <c r="Q691">
        <v>0</v>
      </c>
      <c r="R691">
        <v>0</v>
      </c>
      <c r="S691">
        <v>0</v>
      </c>
      <c r="T691">
        <v>1</v>
      </c>
      <c r="U691">
        <v>7</v>
      </c>
      <c r="V691">
        <v>8</v>
      </c>
      <c r="W691">
        <v>26</v>
      </c>
      <c r="X691">
        <v>0</v>
      </c>
      <c r="Y691">
        <v>111</v>
      </c>
      <c r="Z691">
        <v>24</v>
      </c>
      <c r="AA691">
        <v>36</v>
      </c>
      <c r="AB691">
        <v>150</v>
      </c>
      <c r="AC691">
        <v>368</v>
      </c>
      <c r="AD691">
        <v>19</v>
      </c>
      <c r="AE691">
        <v>0</v>
      </c>
      <c r="AF691">
        <v>35</v>
      </c>
      <c r="AG691">
        <v>4</v>
      </c>
    </row>
    <row r="692" spans="1:33" x14ac:dyDescent="0.3">
      <c r="A692" t="s">
        <v>232</v>
      </c>
      <c r="B692" t="s">
        <v>243</v>
      </c>
      <c r="C692" t="s">
        <v>32</v>
      </c>
      <c r="D692" s="1">
        <v>4322</v>
      </c>
      <c r="E692">
        <v>2</v>
      </c>
      <c r="F692" s="1">
        <v>1307</v>
      </c>
      <c r="G692">
        <v>0</v>
      </c>
      <c r="H692">
        <v>271</v>
      </c>
      <c r="I692">
        <v>0</v>
      </c>
      <c r="J692">
        <v>2</v>
      </c>
      <c r="K692">
        <v>0</v>
      </c>
      <c r="L692">
        <v>4</v>
      </c>
      <c r="M692">
        <v>3</v>
      </c>
      <c r="N692">
        <v>53</v>
      </c>
      <c r="O692">
        <v>6</v>
      </c>
      <c r="P692">
        <v>40</v>
      </c>
      <c r="Q692">
        <v>32</v>
      </c>
      <c r="R692">
        <v>0</v>
      </c>
      <c r="S692">
        <v>0</v>
      </c>
      <c r="T692">
        <v>0</v>
      </c>
      <c r="U692">
        <v>97</v>
      </c>
      <c r="V692">
        <v>7</v>
      </c>
      <c r="W692">
        <v>422</v>
      </c>
      <c r="X692">
        <v>0</v>
      </c>
      <c r="Y692">
        <v>399</v>
      </c>
      <c r="Z692">
        <v>115</v>
      </c>
      <c r="AA692">
        <v>283</v>
      </c>
      <c r="AB692">
        <v>416</v>
      </c>
      <c r="AC692">
        <v>429</v>
      </c>
      <c r="AD692">
        <v>193</v>
      </c>
      <c r="AE692">
        <v>4</v>
      </c>
      <c r="AF692">
        <v>218</v>
      </c>
      <c r="AG692">
        <v>19</v>
      </c>
    </row>
    <row r="693" spans="1:33" x14ac:dyDescent="0.3">
      <c r="A693" t="s">
        <v>232</v>
      </c>
      <c r="B693" t="s">
        <v>243</v>
      </c>
      <c r="C693" t="s">
        <v>35</v>
      </c>
      <c r="D693" s="1">
        <v>2334</v>
      </c>
      <c r="E693">
        <v>1</v>
      </c>
      <c r="F693">
        <v>757</v>
      </c>
      <c r="G693">
        <v>0</v>
      </c>
      <c r="H693">
        <v>121</v>
      </c>
      <c r="I693">
        <v>0</v>
      </c>
      <c r="J693">
        <v>2</v>
      </c>
      <c r="K693">
        <v>0</v>
      </c>
      <c r="L693">
        <v>2</v>
      </c>
      <c r="M693">
        <v>2</v>
      </c>
      <c r="N693">
        <v>31</v>
      </c>
      <c r="O693">
        <v>4</v>
      </c>
      <c r="P693">
        <v>16</v>
      </c>
      <c r="Q693">
        <v>23</v>
      </c>
      <c r="R693">
        <v>0</v>
      </c>
      <c r="S693">
        <v>0</v>
      </c>
      <c r="T693">
        <v>0</v>
      </c>
      <c r="U693">
        <v>87</v>
      </c>
      <c r="V693">
        <v>2</v>
      </c>
      <c r="W693">
        <v>405</v>
      </c>
      <c r="X693">
        <v>0</v>
      </c>
      <c r="Y693">
        <v>178</v>
      </c>
      <c r="Z693">
        <v>47</v>
      </c>
      <c r="AA693">
        <v>131</v>
      </c>
      <c r="AB693">
        <v>199</v>
      </c>
      <c r="AC693">
        <v>67</v>
      </c>
      <c r="AD693">
        <v>130</v>
      </c>
      <c r="AE693">
        <v>1</v>
      </c>
      <c r="AF693">
        <v>114</v>
      </c>
      <c r="AG693">
        <v>14</v>
      </c>
    </row>
    <row r="694" spans="1:33" x14ac:dyDescent="0.3">
      <c r="A694" t="s">
        <v>232</v>
      </c>
      <c r="B694" t="s">
        <v>243</v>
      </c>
      <c r="C694" t="s">
        <v>36</v>
      </c>
      <c r="D694" s="1">
        <v>1988</v>
      </c>
      <c r="E694">
        <v>1</v>
      </c>
      <c r="F694">
        <v>550</v>
      </c>
      <c r="G694">
        <v>0</v>
      </c>
      <c r="H694">
        <v>150</v>
      </c>
      <c r="I694">
        <v>0</v>
      </c>
      <c r="J694">
        <v>0</v>
      </c>
      <c r="K694">
        <v>0</v>
      </c>
      <c r="L694">
        <v>2</v>
      </c>
      <c r="M694">
        <v>1</v>
      </c>
      <c r="N694">
        <v>22</v>
      </c>
      <c r="O694">
        <v>2</v>
      </c>
      <c r="P694">
        <v>24</v>
      </c>
      <c r="Q694">
        <v>9</v>
      </c>
      <c r="R694">
        <v>0</v>
      </c>
      <c r="S694">
        <v>0</v>
      </c>
      <c r="T694">
        <v>0</v>
      </c>
      <c r="U694">
        <v>10</v>
      </c>
      <c r="V694">
        <v>5</v>
      </c>
      <c r="W694">
        <v>17</v>
      </c>
      <c r="X694">
        <v>0</v>
      </c>
      <c r="Y694">
        <v>221</v>
      </c>
      <c r="Z694">
        <v>68</v>
      </c>
      <c r="AA694">
        <v>152</v>
      </c>
      <c r="AB694">
        <v>217</v>
      </c>
      <c r="AC694">
        <v>362</v>
      </c>
      <c r="AD694">
        <v>63</v>
      </c>
      <c r="AE694">
        <v>3</v>
      </c>
      <c r="AF694">
        <v>104</v>
      </c>
      <c r="AG694">
        <v>5</v>
      </c>
    </row>
    <row r="695" spans="1:33" x14ac:dyDescent="0.3">
      <c r="A695" t="s">
        <v>232</v>
      </c>
      <c r="B695" t="s">
        <v>244</v>
      </c>
      <c r="C695" t="s">
        <v>32</v>
      </c>
      <c r="D695" s="1">
        <v>7899</v>
      </c>
      <c r="E695">
        <v>0</v>
      </c>
      <c r="F695" s="1">
        <v>3034</v>
      </c>
      <c r="G695">
        <v>13</v>
      </c>
      <c r="H695">
        <v>460</v>
      </c>
      <c r="I695">
        <v>0</v>
      </c>
      <c r="J695">
        <v>11</v>
      </c>
      <c r="K695">
        <v>6</v>
      </c>
      <c r="L695">
        <v>48</v>
      </c>
      <c r="M695">
        <v>17</v>
      </c>
      <c r="N695">
        <v>59</v>
      </c>
      <c r="O695">
        <v>7</v>
      </c>
      <c r="P695">
        <v>47</v>
      </c>
      <c r="Q695">
        <v>12</v>
      </c>
      <c r="R695">
        <v>0</v>
      </c>
      <c r="S695">
        <v>0</v>
      </c>
      <c r="T695">
        <v>1</v>
      </c>
      <c r="U695">
        <v>311</v>
      </c>
      <c r="V695">
        <v>6</v>
      </c>
      <c r="W695" s="1">
        <v>1746</v>
      </c>
      <c r="X695">
        <v>0</v>
      </c>
      <c r="Y695">
        <v>257</v>
      </c>
      <c r="Z695">
        <v>184</v>
      </c>
      <c r="AA695">
        <v>239</v>
      </c>
      <c r="AB695">
        <v>515</v>
      </c>
      <c r="AC695">
        <v>566</v>
      </c>
      <c r="AD695">
        <v>154</v>
      </c>
      <c r="AE695">
        <v>9</v>
      </c>
      <c r="AF695">
        <v>173</v>
      </c>
      <c r="AG695">
        <v>24</v>
      </c>
    </row>
    <row r="696" spans="1:33" x14ac:dyDescent="0.3">
      <c r="A696" t="s">
        <v>232</v>
      </c>
      <c r="B696" t="s">
        <v>244</v>
      </c>
      <c r="C696" t="s">
        <v>35</v>
      </c>
      <c r="D696" s="1">
        <v>4810</v>
      </c>
      <c r="E696">
        <v>0</v>
      </c>
      <c r="F696" s="1">
        <v>1748</v>
      </c>
      <c r="G696">
        <v>1</v>
      </c>
      <c r="H696">
        <v>252</v>
      </c>
      <c r="I696">
        <v>0</v>
      </c>
      <c r="J696">
        <v>2</v>
      </c>
      <c r="K696">
        <v>6</v>
      </c>
      <c r="L696">
        <v>40</v>
      </c>
      <c r="M696">
        <v>16</v>
      </c>
      <c r="N696">
        <v>22</v>
      </c>
      <c r="O696">
        <v>4</v>
      </c>
      <c r="P696">
        <v>10</v>
      </c>
      <c r="Q696">
        <v>7</v>
      </c>
      <c r="R696">
        <v>0</v>
      </c>
      <c r="S696">
        <v>0</v>
      </c>
      <c r="T696">
        <v>0</v>
      </c>
      <c r="U696">
        <v>296</v>
      </c>
      <c r="V696">
        <v>3</v>
      </c>
      <c r="W696" s="1">
        <v>1569</v>
      </c>
      <c r="X696">
        <v>0</v>
      </c>
      <c r="Y696">
        <v>95</v>
      </c>
      <c r="Z696">
        <v>87</v>
      </c>
      <c r="AA696">
        <v>62</v>
      </c>
      <c r="AB696">
        <v>268</v>
      </c>
      <c r="AC696">
        <v>79</v>
      </c>
      <c r="AD696">
        <v>123</v>
      </c>
      <c r="AE696">
        <v>0</v>
      </c>
      <c r="AF696">
        <v>103</v>
      </c>
      <c r="AG696">
        <v>17</v>
      </c>
    </row>
    <row r="697" spans="1:33" x14ac:dyDescent="0.3">
      <c r="A697" t="s">
        <v>232</v>
      </c>
      <c r="B697" t="s">
        <v>244</v>
      </c>
      <c r="C697" t="s">
        <v>36</v>
      </c>
      <c r="D697" s="1">
        <v>3089</v>
      </c>
      <c r="E697">
        <v>0</v>
      </c>
      <c r="F697" s="1">
        <v>1286</v>
      </c>
      <c r="G697">
        <v>12</v>
      </c>
      <c r="H697">
        <v>208</v>
      </c>
      <c r="I697">
        <v>0</v>
      </c>
      <c r="J697">
        <v>9</v>
      </c>
      <c r="K697">
        <v>0</v>
      </c>
      <c r="L697">
        <v>8</v>
      </c>
      <c r="M697">
        <v>1</v>
      </c>
      <c r="N697">
        <v>37</v>
      </c>
      <c r="O697">
        <v>3</v>
      </c>
      <c r="P697">
        <v>37</v>
      </c>
      <c r="Q697">
        <v>5</v>
      </c>
      <c r="R697">
        <v>0</v>
      </c>
      <c r="S697">
        <v>0</v>
      </c>
      <c r="T697">
        <v>1</v>
      </c>
      <c r="U697">
        <v>15</v>
      </c>
      <c r="V697">
        <v>3</v>
      </c>
      <c r="W697">
        <v>177</v>
      </c>
      <c r="X697">
        <v>0</v>
      </c>
      <c r="Y697">
        <v>162</v>
      </c>
      <c r="Z697">
        <v>97</v>
      </c>
      <c r="AA697">
        <v>177</v>
      </c>
      <c r="AB697">
        <v>247</v>
      </c>
      <c r="AC697">
        <v>487</v>
      </c>
      <c r="AD697">
        <v>31</v>
      </c>
      <c r="AE697">
        <v>9</v>
      </c>
      <c r="AF697">
        <v>70</v>
      </c>
      <c r="AG697">
        <v>7</v>
      </c>
    </row>
    <row r="698" spans="1:33" x14ac:dyDescent="0.3">
      <c r="A698" t="s">
        <v>232</v>
      </c>
      <c r="B698" t="s">
        <v>245</v>
      </c>
      <c r="C698" t="s">
        <v>32</v>
      </c>
      <c r="D698" s="1">
        <v>7598</v>
      </c>
      <c r="E698">
        <v>0</v>
      </c>
      <c r="F698" s="1">
        <v>1468</v>
      </c>
      <c r="G698">
        <v>10</v>
      </c>
      <c r="H698">
        <v>454</v>
      </c>
      <c r="I698">
        <v>0</v>
      </c>
      <c r="J698">
        <v>3</v>
      </c>
      <c r="K698">
        <v>16</v>
      </c>
      <c r="L698">
        <v>23</v>
      </c>
      <c r="M698">
        <v>11</v>
      </c>
      <c r="N698">
        <v>133</v>
      </c>
      <c r="O698">
        <v>1</v>
      </c>
      <c r="P698">
        <v>78</v>
      </c>
      <c r="Q698">
        <v>16</v>
      </c>
      <c r="R698">
        <v>0</v>
      </c>
      <c r="S698">
        <v>0</v>
      </c>
      <c r="T698">
        <v>8</v>
      </c>
      <c r="U698">
        <v>222</v>
      </c>
      <c r="V698">
        <v>96</v>
      </c>
      <c r="W698" s="1">
        <v>1245</v>
      </c>
      <c r="X698">
        <v>0</v>
      </c>
      <c r="Y698">
        <v>597</v>
      </c>
      <c r="Z698">
        <v>266</v>
      </c>
      <c r="AA698">
        <v>497</v>
      </c>
      <c r="AB698">
        <v>735</v>
      </c>
      <c r="AC698">
        <v>810</v>
      </c>
      <c r="AD698">
        <v>417</v>
      </c>
      <c r="AE698">
        <v>7</v>
      </c>
      <c r="AF698">
        <v>437</v>
      </c>
      <c r="AG698">
        <v>48</v>
      </c>
    </row>
    <row r="699" spans="1:33" x14ac:dyDescent="0.3">
      <c r="A699" t="s">
        <v>232</v>
      </c>
      <c r="B699" t="s">
        <v>245</v>
      </c>
      <c r="C699" t="s">
        <v>35</v>
      </c>
      <c r="D699" s="1">
        <v>4266</v>
      </c>
      <c r="E699">
        <v>0</v>
      </c>
      <c r="F699">
        <v>880</v>
      </c>
      <c r="G699">
        <v>5</v>
      </c>
      <c r="H699">
        <v>238</v>
      </c>
      <c r="I699">
        <v>0</v>
      </c>
      <c r="J699">
        <v>2</v>
      </c>
      <c r="K699">
        <v>15</v>
      </c>
      <c r="L699">
        <v>18</v>
      </c>
      <c r="M699">
        <v>9</v>
      </c>
      <c r="N699">
        <v>66</v>
      </c>
      <c r="O699">
        <v>1</v>
      </c>
      <c r="P699">
        <v>24</v>
      </c>
      <c r="Q699">
        <v>11</v>
      </c>
      <c r="R699">
        <v>0</v>
      </c>
      <c r="S699">
        <v>0</v>
      </c>
      <c r="T699">
        <v>6</v>
      </c>
      <c r="U699">
        <v>189</v>
      </c>
      <c r="V699">
        <v>56</v>
      </c>
      <c r="W699" s="1">
        <v>1070</v>
      </c>
      <c r="X699">
        <v>0</v>
      </c>
      <c r="Y699">
        <v>245</v>
      </c>
      <c r="Z699">
        <v>112</v>
      </c>
      <c r="AA699">
        <v>205</v>
      </c>
      <c r="AB699">
        <v>386</v>
      </c>
      <c r="AC699">
        <v>129</v>
      </c>
      <c r="AD699">
        <v>304</v>
      </c>
      <c r="AE699">
        <v>0</v>
      </c>
      <c r="AF699">
        <v>256</v>
      </c>
      <c r="AG699">
        <v>39</v>
      </c>
    </row>
    <row r="700" spans="1:33" x14ac:dyDescent="0.3">
      <c r="A700" t="s">
        <v>232</v>
      </c>
      <c r="B700" t="s">
        <v>245</v>
      </c>
      <c r="C700" t="s">
        <v>36</v>
      </c>
      <c r="D700" s="1">
        <v>3332</v>
      </c>
      <c r="E700">
        <v>0</v>
      </c>
      <c r="F700">
        <v>588</v>
      </c>
      <c r="G700">
        <v>5</v>
      </c>
      <c r="H700">
        <v>216</v>
      </c>
      <c r="I700">
        <v>0</v>
      </c>
      <c r="J700">
        <v>1</v>
      </c>
      <c r="K700">
        <v>1</v>
      </c>
      <c r="L700">
        <v>5</v>
      </c>
      <c r="M700">
        <v>2</v>
      </c>
      <c r="N700">
        <v>67</v>
      </c>
      <c r="O700">
        <v>0</v>
      </c>
      <c r="P700">
        <v>54</v>
      </c>
      <c r="Q700">
        <v>5</v>
      </c>
      <c r="R700">
        <v>0</v>
      </c>
      <c r="S700">
        <v>0</v>
      </c>
      <c r="T700">
        <v>2</v>
      </c>
      <c r="U700">
        <v>33</v>
      </c>
      <c r="V700">
        <v>40</v>
      </c>
      <c r="W700">
        <v>175</v>
      </c>
      <c r="X700">
        <v>0</v>
      </c>
      <c r="Y700">
        <v>352</v>
      </c>
      <c r="Z700">
        <v>154</v>
      </c>
      <c r="AA700">
        <v>292</v>
      </c>
      <c r="AB700">
        <v>349</v>
      </c>
      <c r="AC700">
        <v>681</v>
      </c>
      <c r="AD700">
        <v>113</v>
      </c>
      <c r="AE700">
        <v>7</v>
      </c>
      <c r="AF700">
        <v>181</v>
      </c>
      <c r="AG700">
        <v>9</v>
      </c>
    </row>
    <row r="701" spans="1:33" x14ac:dyDescent="0.3">
      <c r="A701" t="s">
        <v>232</v>
      </c>
      <c r="B701" t="s">
        <v>246</v>
      </c>
      <c r="C701" t="s">
        <v>32</v>
      </c>
      <c r="D701" s="1">
        <v>6550</v>
      </c>
      <c r="E701">
        <v>0</v>
      </c>
      <c r="F701">
        <v>580</v>
      </c>
      <c r="G701">
        <v>6</v>
      </c>
      <c r="H701">
        <v>358</v>
      </c>
      <c r="I701">
        <v>0</v>
      </c>
      <c r="J701">
        <v>0</v>
      </c>
      <c r="K701">
        <v>8</v>
      </c>
      <c r="L701">
        <v>111</v>
      </c>
      <c r="M701">
        <v>0</v>
      </c>
      <c r="N701">
        <v>36</v>
      </c>
      <c r="O701">
        <v>3</v>
      </c>
      <c r="P701">
        <v>23</v>
      </c>
      <c r="Q701">
        <v>15</v>
      </c>
      <c r="R701">
        <v>0</v>
      </c>
      <c r="S701">
        <v>0</v>
      </c>
      <c r="T701">
        <v>5</v>
      </c>
      <c r="U701">
        <v>389</v>
      </c>
      <c r="V701">
        <v>8</v>
      </c>
      <c r="W701" s="1">
        <v>2596</v>
      </c>
      <c r="X701">
        <v>0</v>
      </c>
      <c r="Y701">
        <v>280</v>
      </c>
      <c r="Z701">
        <v>143</v>
      </c>
      <c r="AA701">
        <v>254</v>
      </c>
      <c r="AB701">
        <v>455</v>
      </c>
      <c r="AC701">
        <v>693</v>
      </c>
      <c r="AD701">
        <v>375</v>
      </c>
      <c r="AE701">
        <v>4</v>
      </c>
      <c r="AF701">
        <v>165</v>
      </c>
      <c r="AG701">
        <v>43</v>
      </c>
    </row>
    <row r="702" spans="1:33" x14ac:dyDescent="0.3">
      <c r="A702" t="s">
        <v>232</v>
      </c>
      <c r="B702" t="s">
        <v>246</v>
      </c>
      <c r="C702" t="s">
        <v>35</v>
      </c>
      <c r="D702" s="1">
        <v>4174</v>
      </c>
      <c r="E702">
        <v>0</v>
      </c>
      <c r="F702">
        <v>309</v>
      </c>
      <c r="G702">
        <v>6</v>
      </c>
      <c r="H702">
        <v>257</v>
      </c>
      <c r="I702">
        <v>0</v>
      </c>
      <c r="J702">
        <v>0</v>
      </c>
      <c r="K702">
        <v>8</v>
      </c>
      <c r="L702">
        <v>90</v>
      </c>
      <c r="M702">
        <v>0</v>
      </c>
      <c r="N702">
        <v>19</v>
      </c>
      <c r="O702">
        <v>3</v>
      </c>
      <c r="P702">
        <v>4</v>
      </c>
      <c r="Q702">
        <v>12</v>
      </c>
      <c r="R702">
        <v>0</v>
      </c>
      <c r="S702">
        <v>0</v>
      </c>
      <c r="T702">
        <v>1</v>
      </c>
      <c r="U702">
        <v>362</v>
      </c>
      <c r="V702">
        <v>6</v>
      </c>
      <c r="W702" s="1">
        <v>2095</v>
      </c>
      <c r="X702">
        <v>0</v>
      </c>
      <c r="Y702">
        <v>99</v>
      </c>
      <c r="Z702">
        <v>57</v>
      </c>
      <c r="AA702">
        <v>74</v>
      </c>
      <c r="AB702">
        <v>256</v>
      </c>
      <c r="AC702">
        <v>118</v>
      </c>
      <c r="AD702">
        <v>264</v>
      </c>
      <c r="AE702">
        <v>0</v>
      </c>
      <c r="AF702">
        <v>98</v>
      </c>
      <c r="AG702">
        <v>36</v>
      </c>
    </row>
    <row r="703" spans="1:33" x14ac:dyDescent="0.3">
      <c r="A703" t="s">
        <v>232</v>
      </c>
      <c r="B703" t="s">
        <v>246</v>
      </c>
      <c r="C703" t="s">
        <v>36</v>
      </c>
      <c r="D703" s="1">
        <v>2376</v>
      </c>
      <c r="E703">
        <v>0</v>
      </c>
      <c r="F703">
        <v>271</v>
      </c>
      <c r="G703">
        <v>0</v>
      </c>
      <c r="H703">
        <v>101</v>
      </c>
      <c r="I703">
        <v>0</v>
      </c>
      <c r="J703">
        <v>0</v>
      </c>
      <c r="K703">
        <v>0</v>
      </c>
      <c r="L703">
        <v>21</v>
      </c>
      <c r="M703">
        <v>0</v>
      </c>
      <c r="N703">
        <v>17</v>
      </c>
      <c r="O703">
        <v>0</v>
      </c>
      <c r="P703">
        <v>19</v>
      </c>
      <c r="Q703">
        <v>3</v>
      </c>
      <c r="R703">
        <v>0</v>
      </c>
      <c r="S703">
        <v>0</v>
      </c>
      <c r="T703">
        <v>4</v>
      </c>
      <c r="U703">
        <v>27</v>
      </c>
      <c r="V703">
        <v>2</v>
      </c>
      <c r="W703">
        <v>501</v>
      </c>
      <c r="X703">
        <v>0</v>
      </c>
      <c r="Y703">
        <v>181</v>
      </c>
      <c r="Z703">
        <v>86</v>
      </c>
      <c r="AA703">
        <v>180</v>
      </c>
      <c r="AB703">
        <v>199</v>
      </c>
      <c r="AC703">
        <v>575</v>
      </c>
      <c r="AD703">
        <v>111</v>
      </c>
      <c r="AE703">
        <v>4</v>
      </c>
      <c r="AF703">
        <v>67</v>
      </c>
      <c r="AG703">
        <v>7</v>
      </c>
    </row>
    <row r="704" spans="1:33" x14ac:dyDescent="0.3">
      <c r="A704" t="s">
        <v>247</v>
      </c>
      <c r="B704" t="s">
        <v>32</v>
      </c>
      <c r="C704" t="s">
        <v>32</v>
      </c>
      <c r="D704" s="1">
        <v>29495</v>
      </c>
      <c r="E704">
        <v>0</v>
      </c>
      <c r="F704" s="1">
        <v>7241</v>
      </c>
      <c r="G704">
        <v>21</v>
      </c>
      <c r="H704" s="1">
        <v>2123</v>
      </c>
      <c r="I704">
        <v>0</v>
      </c>
      <c r="J704">
        <v>37</v>
      </c>
      <c r="K704">
        <v>2</v>
      </c>
      <c r="L704">
        <v>60</v>
      </c>
      <c r="M704">
        <v>16</v>
      </c>
      <c r="N704">
        <v>334</v>
      </c>
      <c r="O704">
        <v>30</v>
      </c>
      <c r="P704">
        <v>409</v>
      </c>
      <c r="Q704">
        <v>79</v>
      </c>
      <c r="R704">
        <v>0</v>
      </c>
      <c r="S704">
        <v>0</v>
      </c>
      <c r="T704">
        <v>47</v>
      </c>
      <c r="U704">
        <v>838</v>
      </c>
      <c r="V704" s="1">
        <v>1092</v>
      </c>
      <c r="W704" s="1">
        <v>6396</v>
      </c>
      <c r="X704" s="1">
        <v>1014</v>
      </c>
      <c r="Y704" s="1">
        <v>1388</v>
      </c>
      <c r="Z704">
        <v>445</v>
      </c>
      <c r="AA704">
        <v>711</v>
      </c>
      <c r="AB704" s="1">
        <v>1744</v>
      </c>
      <c r="AC704" s="1">
        <v>3542</v>
      </c>
      <c r="AD704" s="1">
        <v>1391</v>
      </c>
      <c r="AE704">
        <v>17</v>
      </c>
      <c r="AF704">
        <v>393</v>
      </c>
      <c r="AG704">
        <v>125</v>
      </c>
    </row>
    <row r="705" spans="1:33" x14ac:dyDescent="0.3">
      <c r="A705" t="s">
        <v>247</v>
      </c>
      <c r="B705" t="s">
        <v>32</v>
      </c>
      <c r="C705" t="s">
        <v>35</v>
      </c>
      <c r="D705" s="1">
        <f>D708+D711+D714+D717+D720+D723+D726+D729+D732+D735+D738+D741+D744+D747+D750+D753+D756+D759</f>
        <v>17160</v>
      </c>
      <c r="E705" s="1">
        <f t="shared" ref="E705:AG705" si="30">E708+E711+E714+E717+E720+E723+E726+E729+E732+E735+E738+E741+E744+E747+E750+E753+E756+E759</f>
        <v>0</v>
      </c>
      <c r="F705" s="1">
        <f t="shared" si="30"/>
        <v>4040</v>
      </c>
      <c r="G705" s="1">
        <f t="shared" si="30"/>
        <v>18</v>
      </c>
      <c r="H705" s="1">
        <f t="shared" si="30"/>
        <v>1357</v>
      </c>
      <c r="I705" s="1">
        <f t="shared" si="30"/>
        <v>0</v>
      </c>
      <c r="J705" s="1">
        <f t="shared" si="30"/>
        <v>18</v>
      </c>
      <c r="K705" s="1">
        <f t="shared" si="30"/>
        <v>1</v>
      </c>
      <c r="L705" s="1">
        <f t="shared" si="30"/>
        <v>49</v>
      </c>
      <c r="M705" s="1">
        <f t="shared" si="30"/>
        <v>16</v>
      </c>
      <c r="N705" s="1">
        <f t="shared" si="30"/>
        <v>190</v>
      </c>
      <c r="O705" s="1">
        <f t="shared" si="30"/>
        <v>22</v>
      </c>
      <c r="P705" s="1">
        <f t="shared" si="30"/>
        <v>100</v>
      </c>
      <c r="Q705" s="1">
        <f t="shared" si="30"/>
        <v>62</v>
      </c>
      <c r="R705" s="1">
        <f t="shared" si="30"/>
        <v>0</v>
      </c>
      <c r="S705" s="1">
        <f t="shared" si="30"/>
        <v>0</v>
      </c>
      <c r="T705" s="1">
        <f t="shared" si="30"/>
        <v>21</v>
      </c>
      <c r="U705" s="1">
        <f t="shared" si="30"/>
        <v>777</v>
      </c>
      <c r="V705" s="1">
        <f t="shared" si="30"/>
        <v>819</v>
      </c>
      <c r="W705" s="1">
        <f t="shared" si="30"/>
        <v>5301</v>
      </c>
      <c r="X705" s="1">
        <f t="shared" si="30"/>
        <v>1014</v>
      </c>
      <c r="Y705" s="1">
        <f t="shared" si="30"/>
        <v>529</v>
      </c>
      <c r="Z705" s="1">
        <f t="shared" si="30"/>
        <v>205</v>
      </c>
      <c r="AA705" s="1">
        <f t="shared" si="30"/>
        <v>239</v>
      </c>
      <c r="AB705" s="1">
        <f t="shared" si="30"/>
        <v>588</v>
      </c>
      <c r="AC705" s="1">
        <f t="shared" si="30"/>
        <v>454</v>
      </c>
      <c r="AD705" s="1">
        <f t="shared" si="30"/>
        <v>1028</v>
      </c>
      <c r="AE705" s="1">
        <f t="shared" si="30"/>
        <v>2</v>
      </c>
      <c r="AF705" s="1">
        <f t="shared" si="30"/>
        <v>223</v>
      </c>
      <c r="AG705" s="1">
        <f t="shared" si="30"/>
        <v>87</v>
      </c>
    </row>
    <row r="706" spans="1:33" x14ac:dyDescent="0.3">
      <c r="A706" t="s">
        <v>247</v>
      </c>
      <c r="B706" t="s">
        <v>32</v>
      </c>
      <c r="C706" t="s">
        <v>36</v>
      </c>
      <c r="D706" s="1">
        <f>D709+D712+D715+D718+D721+D724+D727+D730+D733+D736+D739+D742+D745+D748+D751+D754+D757+D760</f>
        <v>12335</v>
      </c>
      <c r="E706" s="1">
        <f t="shared" ref="E706:AG706" si="31">E709+E712+E715+E718+E721+E724+E727+E730+E733+E736+E739+E742+E745+E748+E751+E754+E757+E760</f>
        <v>0</v>
      </c>
      <c r="F706" s="1">
        <f t="shared" si="31"/>
        <v>3201</v>
      </c>
      <c r="G706" s="1">
        <f t="shared" si="31"/>
        <v>3</v>
      </c>
      <c r="H706" s="1">
        <f t="shared" si="31"/>
        <v>766</v>
      </c>
      <c r="I706" s="1">
        <f t="shared" si="31"/>
        <v>0</v>
      </c>
      <c r="J706" s="1">
        <f t="shared" si="31"/>
        <v>19</v>
      </c>
      <c r="K706" s="1">
        <f t="shared" si="31"/>
        <v>1</v>
      </c>
      <c r="L706" s="1">
        <f t="shared" si="31"/>
        <v>11</v>
      </c>
      <c r="M706" s="1">
        <f t="shared" si="31"/>
        <v>0</v>
      </c>
      <c r="N706" s="1">
        <f t="shared" si="31"/>
        <v>144</v>
      </c>
      <c r="O706" s="1">
        <f t="shared" si="31"/>
        <v>8</v>
      </c>
      <c r="P706" s="1">
        <f t="shared" si="31"/>
        <v>309</v>
      </c>
      <c r="Q706" s="1">
        <f t="shared" si="31"/>
        <v>17</v>
      </c>
      <c r="R706" s="1">
        <f t="shared" si="31"/>
        <v>0</v>
      </c>
      <c r="S706" s="1">
        <f t="shared" si="31"/>
        <v>0</v>
      </c>
      <c r="T706" s="1">
        <f t="shared" si="31"/>
        <v>26</v>
      </c>
      <c r="U706" s="1">
        <f t="shared" si="31"/>
        <v>61</v>
      </c>
      <c r="V706" s="1">
        <f t="shared" si="31"/>
        <v>273</v>
      </c>
      <c r="W706" s="1">
        <f t="shared" si="31"/>
        <v>1095</v>
      </c>
      <c r="X706" s="1">
        <f t="shared" si="31"/>
        <v>0</v>
      </c>
      <c r="Y706" s="1">
        <f t="shared" si="31"/>
        <v>859</v>
      </c>
      <c r="Z706" s="1">
        <f t="shared" si="31"/>
        <v>240</v>
      </c>
      <c r="AA706" s="1">
        <f t="shared" si="31"/>
        <v>472</v>
      </c>
      <c r="AB706" s="1">
        <f t="shared" si="31"/>
        <v>1156</v>
      </c>
      <c r="AC706" s="1">
        <f t="shared" si="31"/>
        <v>3088</v>
      </c>
      <c r="AD706" s="1">
        <f t="shared" si="31"/>
        <v>363</v>
      </c>
      <c r="AE706" s="1">
        <f t="shared" si="31"/>
        <v>15</v>
      </c>
      <c r="AF706" s="1">
        <f t="shared" si="31"/>
        <v>170</v>
      </c>
      <c r="AG706" s="1">
        <f t="shared" si="31"/>
        <v>38</v>
      </c>
    </row>
    <row r="707" spans="1:33" x14ac:dyDescent="0.3">
      <c r="A707" t="s">
        <v>247</v>
      </c>
      <c r="B707" t="s">
        <v>248</v>
      </c>
      <c r="C707" t="s">
        <v>32</v>
      </c>
      <c r="D707" s="1">
        <v>4157</v>
      </c>
      <c r="E707">
        <v>0</v>
      </c>
      <c r="F707">
        <v>820</v>
      </c>
      <c r="G707">
        <v>0</v>
      </c>
      <c r="H707">
        <v>697</v>
      </c>
      <c r="I707">
        <v>0</v>
      </c>
      <c r="J707">
        <v>1</v>
      </c>
      <c r="K707">
        <v>0</v>
      </c>
      <c r="L707">
        <v>6</v>
      </c>
      <c r="M707">
        <v>6</v>
      </c>
      <c r="N707">
        <v>61</v>
      </c>
      <c r="O707">
        <v>4</v>
      </c>
      <c r="P707">
        <v>38</v>
      </c>
      <c r="Q707">
        <v>17</v>
      </c>
      <c r="R707">
        <v>0</v>
      </c>
      <c r="S707">
        <v>0</v>
      </c>
      <c r="T707">
        <v>10</v>
      </c>
      <c r="U707">
        <v>81</v>
      </c>
      <c r="V707">
        <v>13</v>
      </c>
      <c r="W707">
        <v>607</v>
      </c>
      <c r="X707">
        <v>175</v>
      </c>
      <c r="Y707">
        <v>233</v>
      </c>
      <c r="Z707">
        <v>51</v>
      </c>
      <c r="AA707">
        <v>101</v>
      </c>
      <c r="AB707">
        <v>209</v>
      </c>
      <c r="AC707">
        <v>423</v>
      </c>
      <c r="AD707">
        <v>521</v>
      </c>
      <c r="AE707">
        <v>0</v>
      </c>
      <c r="AF707">
        <v>56</v>
      </c>
      <c r="AG707">
        <v>27</v>
      </c>
    </row>
    <row r="708" spans="1:33" x14ac:dyDescent="0.3">
      <c r="A708" t="s">
        <v>247</v>
      </c>
      <c r="B708" t="s">
        <v>248</v>
      </c>
      <c r="C708" t="s">
        <v>35</v>
      </c>
      <c r="D708" s="1">
        <v>2323</v>
      </c>
      <c r="E708">
        <v>0</v>
      </c>
      <c r="F708">
        <v>390</v>
      </c>
      <c r="G708">
        <v>0</v>
      </c>
      <c r="H708">
        <v>395</v>
      </c>
      <c r="I708">
        <v>0</v>
      </c>
      <c r="J708">
        <v>1</v>
      </c>
      <c r="K708">
        <v>0</v>
      </c>
      <c r="L708">
        <v>3</v>
      </c>
      <c r="M708">
        <v>6</v>
      </c>
      <c r="N708">
        <v>31</v>
      </c>
      <c r="O708">
        <v>3</v>
      </c>
      <c r="P708">
        <v>11</v>
      </c>
      <c r="Q708">
        <v>13</v>
      </c>
      <c r="R708">
        <v>0</v>
      </c>
      <c r="S708">
        <v>0</v>
      </c>
      <c r="T708">
        <v>8</v>
      </c>
      <c r="U708">
        <v>74</v>
      </c>
      <c r="V708">
        <v>6</v>
      </c>
      <c r="W708">
        <v>524</v>
      </c>
      <c r="X708">
        <v>175</v>
      </c>
      <c r="Y708">
        <v>96</v>
      </c>
      <c r="Z708">
        <v>20</v>
      </c>
      <c r="AA708">
        <v>35</v>
      </c>
      <c r="AB708">
        <v>80</v>
      </c>
      <c r="AC708">
        <v>53</v>
      </c>
      <c r="AD708">
        <v>350</v>
      </c>
      <c r="AE708">
        <v>0</v>
      </c>
      <c r="AF708">
        <v>32</v>
      </c>
      <c r="AG708">
        <v>17</v>
      </c>
    </row>
    <row r="709" spans="1:33" x14ac:dyDescent="0.3">
      <c r="A709" t="s">
        <v>247</v>
      </c>
      <c r="B709" t="s">
        <v>248</v>
      </c>
      <c r="C709" t="s">
        <v>36</v>
      </c>
      <c r="D709" s="1">
        <v>1834</v>
      </c>
      <c r="E709">
        <v>0</v>
      </c>
      <c r="F709">
        <v>430</v>
      </c>
      <c r="G709">
        <v>0</v>
      </c>
      <c r="H709">
        <v>302</v>
      </c>
      <c r="I709">
        <v>0</v>
      </c>
      <c r="J709">
        <v>0</v>
      </c>
      <c r="K709">
        <v>0</v>
      </c>
      <c r="L709">
        <v>3</v>
      </c>
      <c r="M709">
        <v>0</v>
      </c>
      <c r="N709">
        <v>30</v>
      </c>
      <c r="O709">
        <v>1</v>
      </c>
      <c r="P709">
        <v>27</v>
      </c>
      <c r="Q709">
        <v>4</v>
      </c>
      <c r="R709">
        <v>0</v>
      </c>
      <c r="S709">
        <v>0</v>
      </c>
      <c r="T709">
        <v>2</v>
      </c>
      <c r="U709">
        <v>7</v>
      </c>
      <c r="V709">
        <v>7</v>
      </c>
      <c r="W709">
        <v>83</v>
      </c>
      <c r="X709" s="1">
        <v>0</v>
      </c>
      <c r="Y709">
        <v>137</v>
      </c>
      <c r="Z709">
        <v>31</v>
      </c>
      <c r="AA709">
        <v>66</v>
      </c>
      <c r="AB709">
        <v>129</v>
      </c>
      <c r="AC709">
        <v>370</v>
      </c>
      <c r="AD709">
        <v>171</v>
      </c>
      <c r="AE709">
        <v>0</v>
      </c>
      <c r="AF709">
        <v>24</v>
      </c>
      <c r="AG709">
        <v>10</v>
      </c>
    </row>
    <row r="710" spans="1:33" x14ac:dyDescent="0.3">
      <c r="A710" t="s">
        <v>247</v>
      </c>
      <c r="B710" t="s">
        <v>83</v>
      </c>
      <c r="C710" t="s">
        <v>32</v>
      </c>
      <c r="D710" s="1">
        <v>2181</v>
      </c>
      <c r="E710">
        <v>0</v>
      </c>
      <c r="F710" s="1">
        <v>1240</v>
      </c>
      <c r="G710">
        <v>0</v>
      </c>
      <c r="H710">
        <v>198</v>
      </c>
      <c r="I710">
        <v>0</v>
      </c>
      <c r="J710">
        <v>0</v>
      </c>
      <c r="K710">
        <v>0</v>
      </c>
      <c r="L710">
        <v>0</v>
      </c>
      <c r="M710">
        <v>4</v>
      </c>
      <c r="N710">
        <v>27</v>
      </c>
      <c r="O710">
        <v>8</v>
      </c>
      <c r="P710">
        <v>10</v>
      </c>
      <c r="Q710">
        <v>0</v>
      </c>
      <c r="R710">
        <v>0</v>
      </c>
      <c r="S710">
        <v>0</v>
      </c>
      <c r="T710">
        <v>0</v>
      </c>
      <c r="U710">
        <v>34</v>
      </c>
      <c r="V710">
        <v>13</v>
      </c>
      <c r="W710">
        <v>243</v>
      </c>
      <c r="X710">
        <v>210</v>
      </c>
      <c r="Y710">
        <v>26</v>
      </c>
      <c r="Z710">
        <v>22</v>
      </c>
      <c r="AA710">
        <v>12</v>
      </c>
      <c r="AB710">
        <v>23</v>
      </c>
      <c r="AC710">
        <v>62</v>
      </c>
      <c r="AD710">
        <v>35</v>
      </c>
      <c r="AE710">
        <v>0</v>
      </c>
      <c r="AF710">
        <v>9</v>
      </c>
      <c r="AG710">
        <v>5</v>
      </c>
    </row>
    <row r="711" spans="1:33" x14ac:dyDescent="0.3">
      <c r="A711" t="s">
        <v>247</v>
      </c>
      <c r="B711" t="s">
        <v>83</v>
      </c>
      <c r="C711" t="s">
        <v>35</v>
      </c>
      <c r="D711" s="1">
        <v>1581</v>
      </c>
      <c r="E711">
        <v>0</v>
      </c>
      <c r="F711">
        <v>848</v>
      </c>
      <c r="G711">
        <v>0</v>
      </c>
      <c r="H711">
        <v>128</v>
      </c>
      <c r="I711">
        <v>0</v>
      </c>
      <c r="J711">
        <v>0</v>
      </c>
      <c r="K711">
        <v>0</v>
      </c>
      <c r="L711">
        <v>0</v>
      </c>
      <c r="M711">
        <v>4</v>
      </c>
      <c r="N711">
        <v>22</v>
      </c>
      <c r="O711">
        <v>5</v>
      </c>
      <c r="P711">
        <v>3</v>
      </c>
      <c r="Q711">
        <v>0</v>
      </c>
      <c r="R711">
        <v>0</v>
      </c>
      <c r="S711">
        <v>0</v>
      </c>
      <c r="T711">
        <v>0</v>
      </c>
      <c r="U711">
        <v>34</v>
      </c>
      <c r="V711">
        <v>6</v>
      </c>
      <c r="W711">
        <v>239</v>
      </c>
      <c r="X711">
        <v>210</v>
      </c>
      <c r="Y711">
        <v>11</v>
      </c>
      <c r="Z711">
        <v>10</v>
      </c>
      <c r="AA711">
        <v>1</v>
      </c>
      <c r="AB711">
        <v>7</v>
      </c>
      <c r="AC711">
        <v>15</v>
      </c>
      <c r="AD711">
        <v>32</v>
      </c>
      <c r="AE711">
        <v>0</v>
      </c>
      <c r="AF711">
        <v>2</v>
      </c>
      <c r="AG711">
        <v>4</v>
      </c>
    </row>
    <row r="712" spans="1:33" x14ac:dyDescent="0.3">
      <c r="A712" t="s">
        <v>247</v>
      </c>
      <c r="B712" t="s">
        <v>83</v>
      </c>
      <c r="C712" t="s">
        <v>36</v>
      </c>
      <c r="D712">
        <v>600</v>
      </c>
      <c r="E712">
        <v>0</v>
      </c>
      <c r="F712">
        <v>392</v>
      </c>
      <c r="G712">
        <v>0</v>
      </c>
      <c r="H712">
        <v>70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5</v>
      </c>
      <c r="O712">
        <v>3</v>
      </c>
      <c r="P712">
        <v>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7</v>
      </c>
      <c r="W712">
        <v>4</v>
      </c>
      <c r="X712">
        <v>0</v>
      </c>
      <c r="Y712">
        <v>15</v>
      </c>
      <c r="Z712">
        <v>12</v>
      </c>
      <c r="AA712">
        <v>11</v>
      </c>
      <c r="AB712">
        <v>16</v>
      </c>
      <c r="AC712">
        <v>47</v>
      </c>
      <c r="AD712">
        <v>3</v>
      </c>
      <c r="AE712">
        <v>0</v>
      </c>
      <c r="AF712">
        <v>7</v>
      </c>
      <c r="AG712">
        <v>1</v>
      </c>
    </row>
    <row r="713" spans="1:33" x14ac:dyDescent="0.3">
      <c r="A713" t="s">
        <v>247</v>
      </c>
      <c r="B713" t="s">
        <v>249</v>
      </c>
      <c r="C713" t="s">
        <v>32</v>
      </c>
      <c r="D713">
        <v>973</v>
      </c>
      <c r="E713">
        <v>0</v>
      </c>
      <c r="F713">
        <v>11</v>
      </c>
      <c r="G713">
        <v>0</v>
      </c>
      <c r="H713">
        <v>6</v>
      </c>
      <c r="I713">
        <v>0</v>
      </c>
      <c r="J713">
        <v>1</v>
      </c>
      <c r="K713">
        <v>0</v>
      </c>
      <c r="L713">
        <v>7</v>
      </c>
      <c r="M713">
        <v>0</v>
      </c>
      <c r="N713">
        <v>2</v>
      </c>
      <c r="O713">
        <v>0</v>
      </c>
      <c r="P713">
        <v>28</v>
      </c>
      <c r="Q713">
        <v>0</v>
      </c>
      <c r="R713">
        <v>0</v>
      </c>
      <c r="S713">
        <v>0</v>
      </c>
      <c r="T713">
        <v>1</v>
      </c>
      <c r="U713">
        <v>29</v>
      </c>
      <c r="V713">
        <v>4</v>
      </c>
      <c r="W713">
        <v>339</v>
      </c>
      <c r="X713">
        <v>93</v>
      </c>
      <c r="Y713">
        <v>79</v>
      </c>
      <c r="Z713">
        <v>15</v>
      </c>
      <c r="AA713">
        <v>16</v>
      </c>
      <c r="AB713">
        <v>66</v>
      </c>
      <c r="AC713">
        <v>201</v>
      </c>
      <c r="AD713">
        <v>60</v>
      </c>
      <c r="AE713">
        <v>0</v>
      </c>
      <c r="AF713">
        <v>12</v>
      </c>
      <c r="AG713">
        <v>3</v>
      </c>
    </row>
    <row r="714" spans="1:33" x14ac:dyDescent="0.3">
      <c r="A714" t="s">
        <v>247</v>
      </c>
      <c r="B714" t="s">
        <v>249</v>
      </c>
      <c r="C714" t="s">
        <v>35</v>
      </c>
      <c r="D714">
        <v>586</v>
      </c>
      <c r="E714">
        <v>0</v>
      </c>
      <c r="F714">
        <v>6</v>
      </c>
      <c r="G714">
        <v>0</v>
      </c>
      <c r="H714">
        <v>3</v>
      </c>
      <c r="I714">
        <v>0</v>
      </c>
      <c r="J714">
        <v>0</v>
      </c>
      <c r="K714">
        <v>0</v>
      </c>
      <c r="L714">
        <v>6</v>
      </c>
      <c r="M714">
        <v>0</v>
      </c>
      <c r="N714">
        <v>2</v>
      </c>
      <c r="O714">
        <v>0</v>
      </c>
      <c r="P714">
        <v>6</v>
      </c>
      <c r="Q714">
        <v>0</v>
      </c>
      <c r="R714">
        <v>0</v>
      </c>
      <c r="S714">
        <v>0</v>
      </c>
      <c r="T714">
        <v>0</v>
      </c>
      <c r="U714">
        <v>28</v>
      </c>
      <c r="V714">
        <v>4</v>
      </c>
      <c r="W714">
        <v>312</v>
      </c>
      <c r="X714">
        <v>93</v>
      </c>
      <c r="Y714">
        <v>28</v>
      </c>
      <c r="Z714">
        <v>6</v>
      </c>
      <c r="AA714">
        <v>8</v>
      </c>
      <c r="AB714">
        <v>20</v>
      </c>
      <c r="AC714">
        <v>18</v>
      </c>
      <c r="AD714">
        <v>38</v>
      </c>
      <c r="AE714">
        <v>0</v>
      </c>
      <c r="AF714">
        <v>6</v>
      </c>
      <c r="AG714">
        <v>2</v>
      </c>
    </row>
    <row r="715" spans="1:33" x14ac:dyDescent="0.3">
      <c r="A715" t="s">
        <v>247</v>
      </c>
      <c r="B715" t="s">
        <v>249</v>
      </c>
      <c r="C715" t="s">
        <v>36</v>
      </c>
      <c r="D715">
        <v>387</v>
      </c>
      <c r="E715">
        <v>0</v>
      </c>
      <c r="F715">
        <v>5</v>
      </c>
      <c r="G715">
        <v>0</v>
      </c>
      <c r="H715">
        <v>3</v>
      </c>
      <c r="I715">
        <v>0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22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0</v>
      </c>
      <c r="W715">
        <v>27</v>
      </c>
      <c r="X715">
        <v>0</v>
      </c>
      <c r="Y715">
        <v>51</v>
      </c>
      <c r="Z715">
        <v>9</v>
      </c>
      <c r="AA715">
        <v>8</v>
      </c>
      <c r="AB715">
        <v>46</v>
      </c>
      <c r="AC715">
        <v>183</v>
      </c>
      <c r="AD715">
        <v>22</v>
      </c>
      <c r="AE715">
        <v>0</v>
      </c>
      <c r="AF715">
        <v>6</v>
      </c>
      <c r="AG715">
        <v>1</v>
      </c>
    </row>
    <row r="716" spans="1:33" x14ac:dyDescent="0.3">
      <c r="A716" t="s">
        <v>247</v>
      </c>
      <c r="B716" t="s">
        <v>250</v>
      </c>
      <c r="C716" t="s">
        <v>32</v>
      </c>
      <c r="D716" s="1">
        <v>1298</v>
      </c>
      <c r="E716">
        <v>0</v>
      </c>
      <c r="F716">
        <v>542</v>
      </c>
      <c r="G716">
        <v>0</v>
      </c>
      <c r="H716">
        <v>11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8</v>
      </c>
      <c r="O716">
        <v>1</v>
      </c>
      <c r="P716">
        <v>17</v>
      </c>
      <c r="Q716">
        <v>0</v>
      </c>
      <c r="R716">
        <v>0</v>
      </c>
      <c r="S716">
        <v>0</v>
      </c>
      <c r="T716">
        <v>1</v>
      </c>
      <c r="U716">
        <v>25</v>
      </c>
      <c r="V716">
        <v>35</v>
      </c>
      <c r="W716">
        <v>180</v>
      </c>
      <c r="X716">
        <v>163</v>
      </c>
      <c r="Y716">
        <v>64</v>
      </c>
      <c r="Z716">
        <v>16</v>
      </c>
      <c r="AA716">
        <v>10</v>
      </c>
      <c r="AB716">
        <v>55</v>
      </c>
      <c r="AC716">
        <v>140</v>
      </c>
      <c r="AD716">
        <v>16</v>
      </c>
      <c r="AE716">
        <v>0</v>
      </c>
      <c r="AF716">
        <v>8</v>
      </c>
      <c r="AG716">
        <v>6</v>
      </c>
    </row>
    <row r="717" spans="1:33" x14ac:dyDescent="0.3">
      <c r="A717" t="s">
        <v>247</v>
      </c>
      <c r="B717" t="s">
        <v>250</v>
      </c>
      <c r="C717" t="s">
        <v>35</v>
      </c>
      <c r="D717">
        <v>763</v>
      </c>
      <c r="E717">
        <v>0</v>
      </c>
      <c r="F717">
        <v>275</v>
      </c>
      <c r="G717">
        <v>0</v>
      </c>
      <c r="H717">
        <v>11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</v>
      </c>
      <c r="O717">
        <v>1</v>
      </c>
      <c r="P717">
        <v>3</v>
      </c>
      <c r="Q717">
        <v>0</v>
      </c>
      <c r="R717">
        <v>0</v>
      </c>
      <c r="S717">
        <v>0</v>
      </c>
      <c r="T717">
        <v>0</v>
      </c>
      <c r="U717">
        <v>25</v>
      </c>
      <c r="V717">
        <v>18</v>
      </c>
      <c r="W717">
        <v>175</v>
      </c>
      <c r="X717">
        <v>163</v>
      </c>
      <c r="Y717">
        <v>25</v>
      </c>
      <c r="Z717">
        <v>6</v>
      </c>
      <c r="AA717">
        <v>2</v>
      </c>
      <c r="AB717">
        <v>13</v>
      </c>
      <c r="AC717">
        <v>13</v>
      </c>
      <c r="AD717">
        <v>15</v>
      </c>
      <c r="AE717">
        <v>0</v>
      </c>
      <c r="AF717">
        <v>5</v>
      </c>
      <c r="AG717">
        <v>6</v>
      </c>
    </row>
    <row r="718" spans="1:33" x14ac:dyDescent="0.3">
      <c r="A718" t="s">
        <v>247</v>
      </c>
      <c r="B718" t="s">
        <v>250</v>
      </c>
      <c r="C718" t="s">
        <v>36</v>
      </c>
      <c r="D718">
        <v>535</v>
      </c>
      <c r="E718">
        <v>0</v>
      </c>
      <c r="F718">
        <v>267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14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17</v>
      </c>
      <c r="W718">
        <v>5</v>
      </c>
      <c r="X718">
        <v>0</v>
      </c>
      <c r="Y718">
        <v>39</v>
      </c>
      <c r="Z718">
        <v>10</v>
      </c>
      <c r="AA718">
        <v>8</v>
      </c>
      <c r="AB718">
        <v>42</v>
      </c>
      <c r="AC718">
        <v>127</v>
      </c>
      <c r="AD718">
        <v>1</v>
      </c>
      <c r="AE718">
        <v>0</v>
      </c>
      <c r="AF718">
        <v>3</v>
      </c>
      <c r="AG718">
        <v>0</v>
      </c>
    </row>
    <row r="719" spans="1:33" x14ac:dyDescent="0.3">
      <c r="A719" t="s">
        <v>247</v>
      </c>
      <c r="B719" t="s">
        <v>251</v>
      </c>
      <c r="C719" t="s">
        <v>32</v>
      </c>
      <c r="D719" s="1">
        <v>1873</v>
      </c>
      <c r="E719">
        <v>0</v>
      </c>
      <c r="F719">
        <v>400</v>
      </c>
      <c r="G719">
        <v>0</v>
      </c>
      <c r="H719">
        <v>46</v>
      </c>
      <c r="I719">
        <v>0</v>
      </c>
      <c r="J719">
        <v>0</v>
      </c>
      <c r="K719">
        <v>0</v>
      </c>
      <c r="L719">
        <v>2</v>
      </c>
      <c r="M719">
        <v>0</v>
      </c>
      <c r="N719">
        <v>41</v>
      </c>
      <c r="O719">
        <v>1</v>
      </c>
      <c r="P719">
        <v>23</v>
      </c>
      <c r="Q719">
        <v>0</v>
      </c>
      <c r="R719">
        <v>0</v>
      </c>
      <c r="S719">
        <v>0</v>
      </c>
      <c r="T719">
        <v>0</v>
      </c>
      <c r="U719">
        <v>35</v>
      </c>
      <c r="V719">
        <v>32</v>
      </c>
      <c r="W719">
        <v>398</v>
      </c>
      <c r="X719">
        <v>300</v>
      </c>
      <c r="Y719">
        <v>49</v>
      </c>
      <c r="Z719">
        <v>27</v>
      </c>
      <c r="AA719">
        <v>26</v>
      </c>
      <c r="AB719">
        <v>114</v>
      </c>
      <c r="AC719">
        <v>203</v>
      </c>
      <c r="AD719">
        <v>128</v>
      </c>
      <c r="AE719">
        <v>1</v>
      </c>
      <c r="AF719">
        <v>37</v>
      </c>
      <c r="AG719">
        <v>10</v>
      </c>
    </row>
    <row r="720" spans="1:33" x14ac:dyDescent="0.3">
      <c r="A720" t="s">
        <v>247</v>
      </c>
      <c r="B720" t="s">
        <v>251</v>
      </c>
      <c r="C720" t="s">
        <v>35</v>
      </c>
      <c r="D720" s="1">
        <v>1247</v>
      </c>
      <c r="E720">
        <v>0</v>
      </c>
      <c r="F720">
        <v>256</v>
      </c>
      <c r="G720">
        <v>0</v>
      </c>
      <c r="H720">
        <v>33</v>
      </c>
      <c r="I720">
        <v>0</v>
      </c>
      <c r="J720">
        <v>0</v>
      </c>
      <c r="K720">
        <v>0</v>
      </c>
      <c r="L720">
        <v>2</v>
      </c>
      <c r="M720">
        <v>0</v>
      </c>
      <c r="N720">
        <v>24</v>
      </c>
      <c r="O720">
        <v>1</v>
      </c>
      <c r="P720">
        <v>7</v>
      </c>
      <c r="Q720">
        <v>0</v>
      </c>
      <c r="R720">
        <v>0</v>
      </c>
      <c r="S720">
        <v>0</v>
      </c>
      <c r="T720">
        <v>0</v>
      </c>
      <c r="U720">
        <v>31</v>
      </c>
      <c r="V720">
        <v>29</v>
      </c>
      <c r="W720">
        <v>299</v>
      </c>
      <c r="X720">
        <v>300</v>
      </c>
      <c r="Y720">
        <v>18</v>
      </c>
      <c r="Z720">
        <v>14</v>
      </c>
      <c r="AA720">
        <v>9</v>
      </c>
      <c r="AB720">
        <v>45</v>
      </c>
      <c r="AC720">
        <v>41</v>
      </c>
      <c r="AD720">
        <v>108</v>
      </c>
      <c r="AE720">
        <v>0</v>
      </c>
      <c r="AF720">
        <v>21</v>
      </c>
      <c r="AG720">
        <v>9</v>
      </c>
    </row>
    <row r="721" spans="1:33" x14ac:dyDescent="0.3">
      <c r="A721" t="s">
        <v>247</v>
      </c>
      <c r="B721" t="s">
        <v>251</v>
      </c>
      <c r="C721" t="s">
        <v>36</v>
      </c>
      <c r="D721">
        <v>626</v>
      </c>
      <c r="E721">
        <v>0</v>
      </c>
      <c r="F721">
        <v>144</v>
      </c>
      <c r="G721">
        <v>0</v>
      </c>
      <c r="H721">
        <v>13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17</v>
      </c>
      <c r="O721">
        <v>0</v>
      </c>
      <c r="P721">
        <v>16</v>
      </c>
      <c r="Q721">
        <v>0</v>
      </c>
      <c r="R721">
        <v>0</v>
      </c>
      <c r="S721">
        <v>0</v>
      </c>
      <c r="T721">
        <v>0</v>
      </c>
      <c r="U721">
        <v>4</v>
      </c>
      <c r="V721">
        <v>3</v>
      </c>
      <c r="W721">
        <v>99</v>
      </c>
      <c r="X721">
        <v>0</v>
      </c>
      <c r="Y721">
        <v>31</v>
      </c>
      <c r="Z721">
        <v>13</v>
      </c>
      <c r="AA721">
        <v>17</v>
      </c>
      <c r="AB721">
        <v>69</v>
      </c>
      <c r="AC721">
        <v>162</v>
      </c>
      <c r="AD721">
        <v>20</v>
      </c>
      <c r="AE721">
        <v>1</v>
      </c>
      <c r="AF721">
        <v>16</v>
      </c>
      <c r="AG721">
        <v>1</v>
      </c>
    </row>
    <row r="722" spans="1:33" x14ac:dyDescent="0.3">
      <c r="A722" t="s">
        <v>247</v>
      </c>
      <c r="B722" t="s">
        <v>252</v>
      </c>
      <c r="C722" t="s">
        <v>32</v>
      </c>
      <c r="D722">
        <v>526</v>
      </c>
      <c r="E722">
        <v>0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12</v>
      </c>
      <c r="Q722">
        <v>0</v>
      </c>
      <c r="R722">
        <v>0</v>
      </c>
      <c r="S722">
        <v>0</v>
      </c>
      <c r="T722">
        <v>0</v>
      </c>
      <c r="U722">
        <v>2</v>
      </c>
      <c r="V722">
        <v>212</v>
      </c>
      <c r="W722">
        <v>141</v>
      </c>
      <c r="X722">
        <v>0</v>
      </c>
      <c r="Y722">
        <v>22</v>
      </c>
      <c r="Z722">
        <v>8</v>
      </c>
      <c r="AA722">
        <v>1</v>
      </c>
      <c r="AB722">
        <v>34</v>
      </c>
      <c r="AC722">
        <v>65</v>
      </c>
      <c r="AD722">
        <v>24</v>
      </c>
      <c r="AE722">
        <v>0</v>
      </c>
      <c r="AF722">
        <v>3</v>
      </c>
      <c r="AG722">
        <v>0</v>
      </c>
    </row>
    <row r="723" spans="1:33" x14ac:dyDescent="0.3">
      <c r="A723" t="s">
        <v>247</v>
      </c>
      <c r="B723" t="s">
        <v>252</v>
      </c>
      <c r="C723" t="s">
        <v>35</v>
      </c>
      <c r="D723">
        <v>342</v>
      </c>
      <c r="E723">
        <v>0</v>
      </c>
      <c r="F723">
        <v>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208</v>
      </c>
      <c r="W723">
        <v>89</v>
      </c>
      <c r="X723">
        <v>0</v>
      </c>
      <c r="Y723">
        <v>8</v>
      </c>
      <c r="Z723">
        <v>3</v>
      </c>
      <c r="AA723">
        <v>0</v>
      </c>
      <c r="AB723">
        <v>4</v>
      </c>
      <c r="AC723">
        <v>2</v>
      </c>
      <c r="AD723">
        <v>22</v>
      </c>
      <c r="AE723">
        <v>0</v>
      </c>
      <c r="AF723">
        <v>2</v>
      </c>
      <c r="AG723">
        <v>0</v>
      </c>
    </row>
    <row r="724" spans="1:33" x14ac:dyDescent="0.3">
      <c r="A724" t="s">
        <v>247</v>
      </c>
      <c r="B724" t="s">
        <v>252</v>
      </c>
      <c r="C724" t="s">
        <v>36</v>
      </c>
      <c r="D724">
        <v>184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</v>
      </c>
      <c r="W724">
        <v>52</v>
      </c>
      <c r="X724">
        <v>0</v>
      </c>
      <c r="Y724">
        <v>14</v>
      </c>
      <c r="Z724">
        <v>5</v>
      </c>
      <c r="AA724">
        <v>1</v>
      </c>
      <c r="AB724">
        <v>30</v>
      </c>
      <c r="AC724">
        <v>63</v>
      </c>
      <c r="AD724">
        <v>2</v>
      </c>
      <c r="AE724">
        <v>0</v>
      </c>
      <c r="AF724">
        <v>1</v>
      </c>
      <c r="AG724">
        <v>0</v>
      </c>
    </row>
    <row r="725" spans="1:33" x14ac:dyDescent="0.3">
      <c r="A725" t="s">
        <v>247</v>
      </c>
      <c r="B725" t="s">
        <v>253</v>
      </c>
      <c r="C725" t="s">
        <v>32</v>
      </c>
      <c r="D725">
        <v>523</v>
      </c>
      <c r="E725">
        <v>0</v>
      </c>
      <c r="F725">
        <v>12</v>
      </c>
      <c r="G725">
        <v>0</v>
      </c>
      <c r="H725">
        <v>1</v>
      </c>
      <c r="I725">
        <v>0</v>
      </c>
      <c r="J725">
        <v>2</v>
      </c>
      <c r="K725">
        <v>0</v>
      </c>
      <c r="L725">
        <v>2</v>
      </c>
      <c r="M725">
        <v>0</v>
      </c>
      <c r="N725">
        <v>3</v>
      </c>
      <c r="O725">
        <v>0</v>
      </c>
      <c r="P725">
        <v>16</v>
      </c>
      <c r="Q725">
        <v>0</v>
      </c>
      <c r="R725">
        <v>0</v>
      </c>
      <c r="S725">
        <v>0</v>
      </c>
      <c r="T725">
        <v>0</v>
      </c>
      <c r="U725">
        <v>23</v>
      </c>
      <c r="V725">
        <v>0</v>
      </c>
      <c r="W725">
        <v>216</v>
      </c>
      <c r="X725">
        <v>73</v>
      </c>
      <c r="Y725">
        <v>16</v>
      </c>
      <c r="Z725">
        <v>2</v>
      </c>
      <c r="AA725">
        <v>6</v>
      </c>
      <c r="AB725">
        <v>42</v>
      </c>
      <c r="AC725">
        <v>67</v>
      </c>
      <c r="AD725">
        <v>28</v>
      </c>
      <c r="AE725">
        <v>0</v>
      </c>
      <c r="AF725">
        <v>11</v>
      </c>
      <c r="AG725">
        <v>3</v>
      </c>
    </row>
    <row r="726" spans="1:33" x14ac:dyDescent="0.3">
      <c r="A726" t="s">
        <v>247</v>
      </c>
      <c r="B726" t="s">
        <v>253</v>
      </c>
      <c r="C726" t="s">
        <v>35</v>
      </c>
      <c r="D726">
        <v>363</v>
      </c>
      <c r="E726">
        <v>0</v>
      </c>
      <c r="F726">
        <v>9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2</v>
      </c>
      <c r="M726">
        <v>0</v>
      </c>
      <c r="N726">
        <v>2</v>
      </c>
      <c r="O726">
        <v>0</v>
      </c>
      <c r="P726">
        <v>5</v>
      </c>
      <c r="Q726">
        <v>0</v>
      </c>
      <c r="R726">
        <v>0</v>
      </c>
      <c r="S726">
        <v>0</v>
      </c>
      <c r="T726">
        <v>0</v>
      </c>
      <c r="U726">
        <v>19</v>
      </c>
      <c r="V726">
        <v>0</v>
      </c>
      <c r="W726">
        <v>194</v>
      </c>
      <c r="X726">
        <v>73</v>
      </c>
      <c r="Y726">
        <v>5</v>
      </c>
      <c r="Z726">
        <v>1</v>
      </c>
      <c r="AA726">
        <v>1</v>
      </c>
      <c r="AB726">
        <v>12</v>
      </c>
      <c r="AC726">
        <v>7</v>
      </c>
      <c r="AD726">
        <v>22</v>
      </c>
      <c r="AE726">
        <v>0</v>
      </c>
      <c r="AF726">
        <v>6</v>
      </c>
      <c r="AG726">
        <v>3</v>
      </c>
    </row>
    <row r="727" spans="1:33" x14ac:dyDescent="0.3">
      <c r="A727" t="s">
        <v>247</v>
      </c>
      <c r="B727" t="s">
        <v>253</v>
      </c>
      <c r="C727" t="s">
        <v>36</v>
      </c>
      <c r="D727">
        <v>160</v>
      </c>
      <c r="E727">
        <v>0</v>
      </c>
      <c r="F727">
        <v>3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11</v>
      </c>
      <c r="Q727">
        <v>0</v>
      </c>
      <c r="R727">
        <v>0</v>
      </c>
      <c r="S727">
        <v>0</v>
      </c>
      <c r="T727">
        <v>0</v>
      </c>
      <c r="U727">
        <v>4</v>
      </c>
      <c r="V727">
        <v>0</v>
      </c>
      <c r="W727">
        <v>22</v>
      </c>
      <c r="X727">
        <v>0</v>
      </c>
      <c r="Y727">
        <v>11</v>
      </c>
      <c r="Z727">
        <v>1</v>
      </c>
      <c r="AA727">
        <v>5</v>
      </c>
      <c r="AB727">
        <v>30</v>
      </c>
      <c r="AC727">
        <v>60</v>
      </c>
      <c r="AD727">
        <v>6</v>
      </c>
      <c r="AE727">
        <v>0</v>
      </c>
      <c r="AF727">
        <v>5</v>
      </c>
      <c r="AG727">
        <v>0</v>
      </c>
    </row>
    <row r="728" spans="1:33" x14ac:dyDescent="0.3">
      <c r="A728" t="s">
        <v>247</v>
      </c>
      <c r="B728" t="s">
        <v>254</v>
      </c>
      <c r="C728" t="s">
        <v>32</v>
      </c>
      <c r="D728">
        <v>636</v>
      </c>
      <c r="E728">
        <v>0</v>
      </c>
      <c r="F728">
        <v>29</v>
      </c>
      <c r="G728">
        <v>0</v>
      </c>
      <c r="H728">
        <v>125</v>
      </c>
      <c r="I728">
        <v>0</v>
      </c>
      <c r="J728">
        <v>2</v>
      </c>
      <c r="K728">
        <v>0</v>
      </c>
      <c r="L728">
        <v>14</v>
      </c>
      <c r="M728">
        <v>0</v>
      </c>
      <c r="N728">
        <v>0</v>
      </c>
      <c r="O728">
        <v>0</v>
      </c>
      <c r="P728">
        <v>11</v>
      </c>
      <c r="Q728">
        <v>0</v>
      </c>
      <c r="R728">
        <v>0</v>
      </c>
      <c r="S728">
        <v>0</v>
      </c>
      <c r="T728">
        <v>0</v>
      </c>
      <c r="U728">
        <v>51</v>
      </c>
      <c r="V728">
        <v>55</v>
      </c>
      <c r="W728">
        <v>128</v>
      </c>
      <c r="X728">
        <v>0</v>
      </c>
      <c r="Y728">
        <v>34</v>
      </c>
      <c r="Z728">
        <v>11</v>
      </c>
      <c r="AA728">
        <v>11</v>
      </c>
      <c r="AB728">
        <v>36</v>
      </c>
      <c r="AC728">
        <v>90</v>
      </c>
      <c r="AD728">
        <v>25</v>
      </c>
      <c r="AE728">
        <v>0</v>
      </c>
      <c r="AF728">
        <v>11</v>
      </c>
      <c r="AG728">
        <v>3</v>
      </c>
    </row>
    <row r="729" spans="1:33" x14ac:dyDescent="0.3">
      <c r="A729" t="s">
        <v>247</v>
      </c>
      <c r="B729" t="s">
        <v>254</v>
      </c>
      <c r="C729" t="s">
        <v>35</v>
      </c>
      <c r="D729">
        <v>400</v>
      </c>
      <c r="E729">
        <v>0</v>
      </c>
      <c r="F729">
        <v>16</v>
      </c>
      <c r="G729">
        <v>0</v>
      </c>
      <c r="H729">
        <v>96</v>
      </c>
      <c r="I729">
        <v>0</v>
      </c>
      <c r="J729">
        <v>2</v>
      </c>
      <c r="K729">
        <v>0</v>
      </c>
      <c r="L729">
        <v>12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50</v>
      </c>
      <c r="V729">
        <v>36</v>
      </c>
      <c r="W729">
        <v>111</v>
      </c>
      <c r="X729">
        <v>0</v>
      </c>
      <c r="Y729">
        <v>13</v>
      </c>
      <c r="Z729">
        <v>6</v>
      </c>
      <c r="AA729">
        <v>5</v>
      </c>
      <c r="AB729">
        <v>11</v>
      </c>
      <c r="AC729">
        <v>7</v>
      </c>
      <c r="AD729">
        <v>22</v>
      </c>
      <c r="AE729">
        <v>0</v>
      </c>
      <c r="AF729">
        <v>9</v>
      </c>
      <c r="AG729">
        <v>2</v>
      </c>
    </row>
    <row r="730" spans="1:33" x14ac:dyDescent="0.3">
      <c r="A730" t="s">
        <v>247</v>
      </c>
      <c r="B730" t="s">
        <v>254</v>
      </c>
      <c r="C730" t="s">
        <v>36</v>
      </c>
      <c r="D730">
        <v>236</v>
      </c>
      <c r="E730">
        <v>0</v>
      </c>
      <c r="F730">
        <v>13</v>
      </c>
      <c r="G730">
        <v>0</v>
      </c>
      <c r="H730">
        <v>29</v>
      </c>
      <c r="I730">
        <v>0</v>
      </c>
      <c r="J730">
        <v>0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9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19</v>
      </c>
      <c r="W730">
        <v>17</v>
      </c>
      <c r="X730">
        <v>0</v>
      </c>
      <c r="Y730">
        <v>21</v>
      </c>
      <c r="Z730">
        <v>5</v>
      </c>
      <c r="AA730">
        <v>6</v>
      </c>
      <c r="AB730">
        <v>25</v>
      </c>
      <c r="AC730">
        <v>83</v>
      </c>
      <c r="AD730">
        <v>3</v>
      </c>
      <c r="AE730">
        <v>0</v>
      </c>
      <c r="AF730">
        <v>2</v>
      </c>
      <c r="AG730">
        <v>1</v>
      </c>
    </row>
    <row r="731" spans="1:33" x14ac:dyDescent="0.3">
      <c r="A731" t="s">
        <v>247</v>
      </c>
      <c r="B731" t="s">
        <v>255</v>
      </c>
      <c r="C731" t="s">
        <v>32</v>
      </c>
      <c r="D731" s="1">
        <v>5709</v>
      </c>
      <c r="E731">
        <v>0</v>
      </c>
      <c r="F731" s="1">
        <v>1593</v>
      </c>
      <c r="G731">
        <v>5</v>
      </c>
      <c r="H731">
        <v>255</v>
      </c>
      <c r="I731">
        <v>0</v>
      </c>
      <c r="J731">
        <v>4</v>
      </c>
      <c r="K731">
        <v>0</v>
      </c>
      <c r="L731">
        <v>14</v>
      </c>
      <c r="M731">
        <v>2</v>
      </c>
      <c r="N731">
        <v>75</v>
      </c>
      <c r="O731">
        <v>6</v>
      </c>
      <c r="P731">
        <v>104</v>
      </c>
      <c r="Q731">
        <v>14</v>
      </c>
      <c r="R731">
        <v>0</v>
      </c>
      <c r="S731">
        <v>0</v>
      </c>
      <c r="T731">
        <v>3</v>
      </c>
      <c r="U731">
        <v>192</v>
      </c>
      <c r="V731">
        <v>25</v>
      </c>
      <c r="W731" s="1">
        <v>1194</v>
      </c>
      <c r="X731">
        <v>0</v>
      </c>
      <c r="Y731">
        <v>317</v>
      </c>
      <c r="Z731">
        <v>88</v>
      </c>
      <c r="AA731">
        <v>140</v>
      </c>
      <c r="AB731">
        <v>444</v>
      </c>
      <c r="AC731">
        <v>832</v>
      </c>
      <c r="AD731">
        <v>285</v>
      </c>
      <c r="AE731">
        <v>6</v>
      </c>
      <c r="AF731">
        <v>92</v>
      </c>
      <c r="AG731">
        <v>19</v>
      </c>
    </row>
    <row r="732" spans="1:33" x14ac:dyDescent="0.3">
      <c r="A732" t="s">
        <v>247</v>
      </c>
      <c r="B732" t="s">
        <v>255</v>
      </c>
      <c r="C732" t="s">
        <v>35</v>
      </c>
      <c r="D732" s="1">
        <v>3154</v>
      </c>
      <c r="E732">
        <v>0</v>
      </c>
      <c r="F732">
        <v>899</v>
      </c>
      <c r="G732">
        <v>5</v>
      </c>
      <c r="H732">
        <v>149</v>
      </c>
      <c r="I732">
        <v>0</v>
      </c>
      <c r="J732">
        <v>2</v>
      </c>
      <c r="K732">
        <v>0</v>
      </c>
      <c r="L732">
        <v>12</v>
      </c>
      <c r="M732">
        <v>2</v>
      </c>
      <c r="N732">
        <v>43</v>
      </c>
      <c r="O732">
        <v>5</v>
      </c>
      <c r="P732">
        <v>21</v>
      </c>
      <c r="Q732">
        <v>9</v>
      </c>
      <c r="R732">
        <v>0</v>
      </c>
      <c r="S732">
        <v>0</v>
      </c>
      <c r="T732">
        <v>3</v>
      </c>
      <c r="U732">
        <v>174</v>
      </c>
      <c r="V732">
        <v>13</v>
      </c>
      <c r="W732" s="1">
        <v>1025</v>
      </c>
      <c r="X732">
        <v>0</v>
      </c>
      <c r="Y732">
        <v>113</v>
      </c>
      <c r="Z732">
        <v>35</v>
      </c>
      <c r="AA732">
        <v>46</v>
      </c>
      <c r="AB732">
        <v>165</v>
      </c>
      <c r="AC732">
        <v>149</v>
      </c>
      <c r="AD732">
        <v>213</v>
      </c>
      <c r="AE732">
        <v>0</v>
      </c>
      <c r="AF732">
        <v>57</v>
      </c>
      <c r="AG732">
        <v>14</v>
      </c>
    </row>
    <row r="733" spans="1:33" x14ac:dyDescent="0.3">
      <c r="A733" t="s">
        <v>247</v>
      </c>
      <c r="B733" t="s">
        <v>255</v>
      </c>
      <c r="C733" t="s">
        <v>36</v>
      </c>
      <c r="D733" s="1">
        <v>2555</v>
      </c>
      <c r="E733">
        <v>0</v>
      </c>
      <c r="F733">
        <v>694</v>
      </c>
      <c r="G733">
        <v>0</v>
      </c>
      <c r="H733">
        <v>106</v>
      </c>
      <c r="I733">
        <v>0</v>
      </c>
      <c r="J733">
        <v>2</v>
      </c>
      <c r="K733">
        <v>0</v>
      </c>
      <c r="L733">
        <v>2</v>
      </c>
      <c r="M733">
        <v>0</v>
      </c>
      <c r="N733">
        <v>32</v>
      </c>
      <c r="O733">
        <v>1</v>
      </c>
      <c r="P733">
        <v>83</v>
      </c>
      <c r="Q733">
        <v>5</v>
      </c>
      <c r="R733">
        <v>0</v>
      </c>
      <c r="S733">
        <v>0</v>
      </c>
      <c r="T733">
        <v>0</v>
      </c>
      <c r="U733">
        <v>18</v>
      </c>
      <c r="V733">
        <v>12</v>
      </c>
      <c r="W733">
        <v>169</v>
      </c>
      <c r="X733">
        <v>0</v>
      </c>
      <c r="Y733">
        <v>204</v>
      </c>
      <c r="Z733">
        <v>53</v>
      </c>
      <c r="AA733">
        <v>94</v>
      </c>
      <c r="AB733">
        <v>279</v>
      </c>
      <c r="AC733">
        <v>683</v>
      </c>
      <c r="AD733">
        <v>72</v>
      </c>
      <c r="AE733">
        <v>6</v>
      </c>
      <c r="AF733">
        <v>35</v>
      </c>
      <c r="AG733">
        <v>5</v>
      </c>
    </row>
    <row r="734" spans="1:33" x14ac:dyDescent="0.3">
      <c r="A734" t="s">
        <v>247</v>
      </c>
      <c r="B734" t="s">
        <v>256</v>
      </c>
      <c r="C734" t="s">
        <v>32</v>
      </c>
      <c r="D734">
        <v>576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15</v>
      </c>
      <c r="Q734">
        <v>0</v>
      </c>
      <c r="R734">
        <v>0</v>
      </c>
      <c r="S734">
        <v>0</v>
      </c>
      <c r="T734">
        <v>0</v>
      </c>
      <c r="U734">
        <v>17</v>
      </c>
      <c r="V734">
        <v>193</v>
      </c>
      <c r="W734">
        <v>210</v>
      </c>
      <c r="X734">
        <v>0</v>
      </c>
      <c r="Y734">
        <v>22</v>
      </c>
      <c r="Z734">
        <v>1</v>
      </c>
      <c r="AA734">
        <v>6</v>
      </c>
      <c r="AB734">
        <v>29</v>
      </c>
      <c r="AC734">
        <v>60</v>
      </c>
      <c r="AD734">
        <v>11</v>
      </c>
      <c r="AE734">
        <v>0</v>
      </c>
      <c r="AF734">
        <v>8</v>
      </c>
      <c r="AG734">
        <v>2</v>
      </c>
    </row>
    <row r="735" spans="1:33" x14ac:dyDescent="0.3">
      <c r="A735" t="s">
        <v>247</v>
      </c>
      <c r="B735" t="s">
        <v>256</v>
      </c>
      <c r="C735" t="s">
        <v>35</v>
      </c>
      <c r="D735">
        <v>347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0</v>
      </c>
      <c r="T735">
        <v>0</v>
      </c>
      <c r="U735">
        <v>15</v>
      </c>
      <c r="V735">
        <v>136</v>
      </c>
      <c r="W735">
        <v>153</v>
      </c>
      <c r="X735">
        <v>0</v>
      </c>
      <c r="Y735">
        <v>10</v>
      </c>
      <c r="Z735">
        <v>0</v>
      </c>
      <c r="AA735">
        <v>1</v>
      </c>
      <c r="AB735">
        <v>12</v>
      </c>
      <c r="AC735">
        <v>3</v>
      </c>
      <c r="AD735">
        <v>7</v>
      </c>
      <c r="AE735">
        <v>0</v>
      </c>
      <c r="AF735">
        <v>4</v>
      </c>
      <c r="AG735">
        <v>2</v>
      </c>
    </row>
    <row r="736" spans="1:33" x14ac:dyDescent="0.3">
      <c r="A736" t="s">
        <v>247</v>
      </c>
      <c r="B736" t="s">
        <v>256</v>
      </c>
      <c r="C736" t="s">
        <v>36</v>
      </c>
      <c r="D736">
        <v>229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12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57</v>
      </c>
      <c r="W736">
        <v>57</v>
      </c>
      <c r="X736">
        <v>0</v>
      </c>
      <c r="Y736">
        <v>12</v>
      </c>
      <c r="Z736">
        <v>1</v>
      </c>
      <c r="AA736">
        <v>5</v>
      </c>
      <c r="AB736">
        <v>17</v>
      </c>
      <c r="AC736">
        <v>57</v>
      </c>
      <c r="AD736">
        <v>4</v>
      </c>
      <c r="AE736">
        <v>0</v>
      </c>
      <c r="AF736">
        <v>4</v>
      </c>
      <c r="AG736">
        <v>0</v>
      </c>
    </row>
    <row r="737" spans="1:33" x14ac:dyDescent="0.3">
      <c r="A737" t="s">
        <v>247</v>
      </c>
      <c r="B737" t="s">
        <v>257</v>
      </c>
      <c r="C737" t="s">
        <v>32</v>
      </c>
      <c r="D737">
        <v>376</v>
      </c>
      <c r="E737">
        <v>0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1</v>
      </c>
      <c r="M737">
        <v>2</v>
      </c>
      <c r="N737">
        <v>1</v>
      </c>
      <c r="O737">
        <v>0</v>
      </c>
      <c r="P737">
        <v>10</v>
      </c>
      <c r="Q737">
        <v>0</v>
      </c>
      <c r="R737">
        <v>0</v>
      </c>
      <c r="S737">
        <v>0</v>
      </c>
      <c r="T737">
        <v>0</v>
      </c>
      <c r="U737">
        <v>12</v>
      </c>
      <c r="V737">
        <v>21</v>
      </c>
      <c r="W737">
        <v>89</v>
      </c>
      <c r="X737">
        <v>0</v>
      </c>
      <c r="Y737">
        <v>44</v>
      </c>
      <c r="Z737">
        <v>4</v>
      </c>
      <c r="AA737">
        <v>1</v>
      </c>
      <c r="AB737">
        <v>37</v>
      </c>
      <c r="AC737">
        <v>103</v>
      </c>
      <c r="AD737">
        <v>37</v>
      </c>
      <c r="AE737">
        <v>0</v>
      </c>
      <c r="AF737">
        <v>8</v>
      </c>
      <c r="AG737">
        <v>3</v>
      </c>
    </row>
    <row r="738" spans="1:33" x14ac:dyDescent="0.3">
      <c r="A738" t="s">
        <v>247</v>
      </c>
      <c r="B738" t="s">
        <v>257</v>
      </c>
      <c r="C738" t="s">
        <v>35</v>
      </c>
      <c r="D738">
        <v>165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1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12</v>
      </c>
      <c r="V738">
        <v>8</v>
      </c>
      <c r="W738">
        <v>69</v>
      </c>
      <c r="X738">
        <v>0</v>
      </c>
      <c r="Y738">
        <v>13</v>
      </c>
      <c r="Z738">
        <v>2</v>
      </c>
      <c r="AA738">
        <v>1</v>
      </c>
      <c r="AB738">
        <v>5</v>
      </c>
      <c r="AC738">
        <v>7</v>
      </c>
      <c r="AD738">
        <v>34</v>
      </c>
      <c r="AE738">
        <v>0</v>
      </c>
      <c r="AF738">
        <v>7</v>
      </c>
      <c r="AG738">
        <v>2</v>
      </c>
    </row>
    <row r="739" spans="1:33" x14ac:dyDescent="0.3">
      <c r="A739" t="s">
        <v>247</v>
      </c>
      <c r="B739" t="s">
        <v>257</v>
      </c>
      <c r="C739" t="s">
        <v>36</v>
      </c>
      <c r="D739">
        <v>211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10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13</v>
      </c>
      <c r="W739">
        <v>20</v>
      </c>
      <c r="X739">
        <v>0</v>
      </c>
      <c r="Y739">
        <v>31</v>
      </c>
      <c r="Z739">
        <v>2</v>
      </c>
      <c r="AA739">
        <v>0</v>
      </c>
      <c r="AB739">
        <v>32</v>
      </c>
      <c r="AC739">
        <v>96</v>
      </c>
      <c r="AD739">
        <v>3</v>
      </c>
      <c r="AE739">
        <v>0</v>
      </c>
      <c r="AF739">
        <v>1</v>
      </c>
      <c r="AG739">
        <v>1</v>
      </c>
    </row>
    <row r="740" spans="1:33" x14ac:dyDescent="0.3">
      <c r="A740" t="s">
        <v>247</v>
      </c>
      <c r="B740" t="s">
        <v>258</v>
      </c>
      <c r="C740" t="s">
        <v>32</v>
      </c>
      <c r="D740">
        <v>959</v>
      </c>
      <c r="E740">
        <v>0</v>
      </c>
      <c r="F740">
        <v>7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</v>
      </c>
      <c r="Q740">
        <v>0</v>
      </c>
      <c r="R740">
        <v>0</v>
      </c>
      <c r="S740">
        <v>0</v>
      </c>
      <c r="T740">
        <v>2</v>
      </c>
      <c r="U740">
        <v>28</v>
      </c>
      <c r="V740">
        <v>40</v>
      </c>
      <c r="W740">
        <v>650</v>
      </c>
      <c r="X740">
        <v>0</v>
      </c>
      <c r="Y740">
        <v>34</v>
      </c>
      <c r="Z740">
        <v>7</v>
      </c>
      <c r="AA740">
        <v>12</v>
      </c>
      <c r="AB740">
        <v>46</v>
      </c>
      <c r="AC740">
        <v>102</v>
      </c>
      <c r="AD740">
        <v>6</v>
      </c>
      <c r="AE740">
        <v>0</v>
      </c>
      <c r="AF740">
        <v>12</v>
      </c>
      <c r="AG740">
        <v>3</v>
      </c>
    </row>
    <row r="741" spans="1:33" x14ac:dyDescent="0.3">
      <c r="A741" t="s">
        <v>247</v>
      </c>
      <c r="B741" t="s">
        <v>258</v>
      </c>
      <c r="C741" t="s">
        <v>35</v>
      </c>
      <c r="D741">
        <v>613</v>
      </c>
      <c r="E741">
        <v>0</v>
      </c>
      <c r="F741">
        <v>5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</v>
      </c>
      <c r="Q741">
        <v>0</v>
      </c>
      <c r="R741">
        <v>0</v>
      </c>
      <c r="S741">
        <v>0</v>
      </c>
      <c r="T741">
        <v>1</v>
      </c>
      <c r="U741">
        <v>28</v>
      </c>
      <c r="V741">
        <v>29</v>
      </c>
      <c r="W741">
        <v>495</v>
      </c>
      <c r="X741">
        <v>0</v>
      </c>
      <c r="Y741">
        <v>18</v>
      </c>
      <c r="Z741">
        <v>3</v>
      </c>
      <c r="AA741">
        <v>3</v>
      </c>
      <c r="AB741">
        <v>9</v>
      </c>
      <c r="AC741">
        <v>5</v>
      </c>
      <c r="AD741">
        <v>6</v>
      </c>
      <c r="AE741">
        <v>0</v>
      </c>
      <c r="AF741">
        <v>5</v>
      </c>
      <c r="AG741">
        <v>2</v>
      </c>
    </row>
    <row r="742" spans="1:33" x14ac:dyDescent="0.3">
      <c r="A742" t="s">
        <v>247</v>
      </c>
      <c r="B742" t="s">
        <v>258</v>
      </c>
      <c r="C742" t="s">
        <v>36</v>
      </c>
      <c r="D742">
        <v>346</v>
      </c>
      <c r="E742">
        <v>0</v>
      </c>
      <c r="F742">
        <v>2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11</v>
      </c>
      <c r="W742">
        <v>155</v>
      </c>
      <c r="X742">
        <v>0</v>
      </c>
      <c r="Y742">
        <v>16</v>
      </c>
      <c r="Z742">
        <v>4</v>
      </c>
      <c r="AA742">
        <v>9</v>
      </c>
      <c r="AB742">
        <v>37</v>
      </c>
      <c r="AC742">
        <v>97</v>
      </c>
      <c r="AD742">
        <v>0</v>
      </c>
      <c r="AE742">
        <v>0</v>
      </c>
      <c r="AF742">
        <v>7</v>
      </c>
      <c r="AG742">
        <v>1</v>
      </c>
    </row>
    <row r="743" spans="1:33" x14ac:dyDescent="0.3">
      <c r="A743" t="s">
        <v>247</v>
      </c>
      <c r="B743" t="s">
        <v>259</v>
      </c>
      <c r="C743" t="s">
        <v>32</v>
      </c>
      <c r="D743" s="1">
        <v>5637</v>
      </c>
      <c r="E743">
        <v>0</v>
      </c>
      <c r="F743" s="1">
        <v>2473</v>
      </c>
      <c r="G743">
        <v>8</v>
      </c>
      <c r="H743">
        <v>725</v>
      </c>
      <c r="I743">
        <v>0</v>
      </c>
      <c r="J743">
        <v>5</v>
      </c>
      <c r="K743">
        <v>1</v>
      </c>
      <c r="L743">
        <v>4</v>
      </c>
      <c r="M743">
        <v>1</v>
      </c>
      <c r="N743">
        <v>107</v>
      </c>
      <c r="O743">
        <v>10</v>
      </c>
      <c r="P743">
        <v>58</v>
      </c>
      <c r="Q743">
        <v>45</v>
      </c>
      <c r="R743">
        <v>0</v>
      </c>
      <c r="S743">
        <v>0</v>
      </c>
      <c r="T743">
        <v>23</v>
      </c>
      <c r="U743">
        <v>87</v>
      </c>
      <c r="V743">
        <v>51</v>
      </c>
      <c r="W743">
        <v>363</v>
      </c>
      <c r="X743">
        <v>0</v>
      </c>
      <c r="Y743">
        <v>204</v>
      </c>
      <c r="Z743">
        <v>108</v>
      </c>
      <c r="AA743">
        <v>251</v>
      </c>
      <c r="AB743">
        <v>303</v>
      </c>
      <c r="AC743">
        <v>608</v>
      </c>
      <c r="AD743">
        <v>115</v>
      </c>
      <c r="AE743">
        <v>8</v>
      </c>
      <c r="AF743">
        <v>58</v>
      </c>
      <c r="AG743">
        <v>21</v>
      </c>
    </row>
    <row r="744" spans="1:33" x14ac:dyDescent="0.3">
      <c r="A744" t="s">
        <v>247</v>
      </c>
      <c r="B744" t="s">
        <v>259</v>
      </c>
      <c r="C744" t="s">
        <v>35</v>
      </c>
      <c r="D744" s="1">
        <v>2869</v>
      </c>
      <c r="E744">
        <v>0</v>
      </c>
      <c r="F744" s="1">
        <v>1263</v>
      </c>
      <c r="G744">
        <v>6</v>
      </c>
      <c r="H744">
        <v>493</v>
      </c>
      <c r="I744">
        <v>0</v>
      </c>
      <c r="J744">
        <v>5</v>
      </c>
      <c r="K744">
        <v>0</v>
      </c>
      <c r="L744">
        <v>1</v>
      </c>
      <c r="M744">
        <v>1</v>
      </c>
      <c r="N744">
        <v>54</v>
      </c>
      <c r="O744">
        <v>7</v>
      </c>
      <c r="P744">
        <v>21</v>
      </c>
      <c r="Q744">
        <v>37</v>
      </c>
      <c r="R744">
        <v>0</v>
      </c>
      <c r="S744">
        <v>0</v>
      </c>
      <c r="T744">
        <v>6</v>
      </c>
      <c r="U744">
        <v>69</v>
      </c>
      <c r="V744">
        <v>47</v>
      </c>
      <c r="W744">
        <v>306</v>
      </c>
      <c r="X744">
        <v>0</v>
      </c>
      <c r="Y744">
        <v>76</v>
      </c>
      <c r="Z744">
        <v>47</v>
      </c>
      <c r="AA744">
        <v>102</v>
      </c>
      <c r="AB744">
        <v>114</v>
      </c>
      <c r="AC744">
        <v>82</v>
      </c>
      <c r="AD744">
        <v>86</v>
      </c>
      <c r="AE744">
        <v>2</v>
      </c>
      <c r="AF744">
        <v>31</v>
      </c>
      <c r="AG744">
        <v>13</v>
      </c>
    </row>
    <row r="745" spans="1:33" x14ac:dyDescent="0.3">
      <c r="A745" t="s">
        <v>247</v>
      </c>
      <c r="B745" t="s">
        <v>259</v>
      </c>
      <c r="C745" t="s">
        <v>36</v>
      </c>
      <c r="D745" s="1">
        <v>2768</v>
      </c>
      <c r="E745">
        <v>0</v>
      </c>
      <c r="F745" s="1">
        <v>1210</v>
      </c>
      <c r="G745">
        <v>2</v>
      </c>
      <c r="H745">
        <v>232</v>
      </c>
      <c r="I745">
        <v>0</v>
      </c>
      <c r="J745">
        <v>0</v>
      </c>
      <c r="K745">
        <v>1</v>
      </c>
      <c r="L745">
        <v>3</v>
      </c>
      <c r="M745">
        <v>0</v>
      </c>
      <c r="N745">
        <v>53</v>
      </c>
      <c r="O745">
        <v>3</v>
      </c>
      <c r="P745">
        <v>37</v>
      </c>
      <c r="Q745">
        <v>8</v>
      </c>
      <c r="R745">
        <v>0</v>
      </c>
      <c r="S745">
        <v>0</v>
      </c>
      <c r="T745">
        <v>17</v>
      </c>
      <c r="U745">
        <v>18</v>
      </c>
      <c r="V745">
        <v>4</v>
      </c>
      <c r="W745">
        <v>57</v>
      </c>
      <c r="X745">
        <v>0</v>
      </c>
      <c r="Y745">
        <v>128</v>
      </c>
      <c r="Z745">
        <v>61</v>
      </c>
      <c r="AA745">
        <v>149</v>
      </c>
      <c r="AB745">
        <v>189</v>
      </c>
      <c r="AC745">
        <v>526</v>
      </c>
      <c r="AD745">
        <v>29</v>
      </c>
      <c r="AE745">
        <v>6</v>
      </c>
      <c r="AF745">
        <v>27</v>
      </c>
      <c r="AG745">
        <v>8</v>
      </c>
    </row>
    <row r="746" spans="1:33" x14ac:dyDescent="0.3">
      <c r="A746" t="s">
        <v>247</v>
      </c>
      <c r="B746" t="s">
        <v>260</v>
      </c>
      <c r="C746" t="s">
        <v>32</v>
      </c>
      <c r="D746">
        <v>341</v>
      </c>
      <c r="E746">
        <v>0</v>
      </c>
      <c r="F746">
        <v>2</v>
      </c>
      <c r="G746">
        <v>0</v>
      </c>
      <c r="H746">
        <v>0</v>
      </c>
      <c r="I746">
        <v>0</v>
      </c>
      <c r="J746">
        <v>12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16</v>
      </c>
      <c r="Q746">
        <v>0</v>
      </c>
      <c r="R746">
        <v>0</v>
      </c>
      <c r="S746">
        <v>0</v>
      </c>
      <c r="T746">
        <v>4</v>
      </c>
      <c r="U746">
        <v>29</v>
      </c>
      <c r="V746">
        <v>1</v>
      </c>
      <c r="W746">
        <v>62</v>
      </c>
      <c r="X746">
        <v>0</v>
      </c>
      <c r="Y746">
        <v>40</v>
      </c>
      <c r="Z746">
        <v>8</v>
      </c>
      <c r="AA746">
        <v>8</v>
      </c>
      <c r="AB746">
        <v>38</v>
      </c>
      <c r="AC746">
        <v>94</v>
      </c>
      <c r="AD746">
        <v>17</v>
      </c>
      <c r="AE746">
        <v>0</v>
      </c>
      <c r="AF746">
        <v>7</v>
      </c>
      <c r="AG746">
        <v>3</v>
      </c>
    </row>
    <row r="747" spans="1:33" x14ac:dyDescent="0.3">
      <c r="A747" t="s">
        <v>247</v>
      </c>
      <c r="B747" t="s">
        <v>260</v>
      </c>
      <c r="C747" t="s">
        <v>35</v>
      </c>
      <c r="D747">
        <v>135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</v>
      </c>
      <c r="Q747">
        <v>0</v>
      </c>
      <c r="R747">
        <v>0</v>
      </c>
      <c r="S747">
        <v>0</v>
      </c>
      <c r="T747">
        <v>1</v>
      </c>
      <c r="U747">
        <v>29</v>
      </c>
      <c r="V747">
        <v>1</v>
      </c>
      <c r="W747">
        <v>44</v>
      </c>
      <c r="X747">
        <v>0</v>
      </c>
      <c r="Y747">
        <v>12</v>
      </c>
      <c r="Z747">
        <v>2</v>
      </c>
      <c r="AA747">
        <v>2</v>
      </c>
      <c r="AB747">
        <v>12</v>
      </c>
      <c r="AC747">
        <v>7</v>
      </c>
      <c r="AD747">
        <v>13</v>
      </c>
      <c r="AE747">
        <v>0</v>
      </c>
      <c r="AF747">
        <v>3</v>
      </c>
      <c r="AG747">
        <v>2</v>
      </c>
    </row>
    <row r="748" spans="1:33" x14ac:dyDescent="0.3">
      <c r="A748" t="s">
        <v>247</v>
      </c>
      <c r="B748" t="s">
        <v>260</v>
      </c>
      <c r="C748" t="s">
        <v>36</v>
      </c>
      <c r="D748">
        <v>206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10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12</v>
      </c>
      <c r="Q748">
        <v>0</v>
      </c>
      <c r="R748">
        <v>0</v>
      </c>
      <c r="S748">
        <v>0</v>
      </c>
      <c r="T748">
        <v>3</v>
      </c>
      <c r="U748">
        <v>0</v>
      </c>
      <c r="V748">
        <v>0</v>
      </c>
      <c r="W748">
        <v>18</v>
      </c>
      <c r="X748">
        <v>0</v>
      </c>
      <c r="Y748">
        <v>28</v>
      </c>
      <c r="Z748">
        <v>6</v>
      </c>
      <c r="AA748">
        <v>6</v>
      </c>
      <c r="AB748">
        <v>26</v>
      </c>
      <c r="AC748">
        <v>87</v>
      </c>
      <c r="AD748">
        <v>4</v>
      </c>
      <c r="AE748">
        <v>0</v>
      </c>
      <c r="AF748">
        <v>4</v>
      </c>
      <c r="AG748">
        <v>1</v>
      </c>
    </row>
    <row r="749" spans="1:33" x14ac:dyDescent="0.3">
      <c r="A749" t="s">
        <v>247</v>
      </c>
      <c r="B749" t="s">
        <v>261</v>
      </c>
      <c r="C749" t="s">
        <v>32</v>
      </c>
      <c r="D749">
        <v>739</v>
      </c>
      <c r="E749">
        <v>0</v>
      </c>
      <c r="F749">
        <v>36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9</v>
      </c>
      <c r="M749">
        <v>1</v>
      </c>
      <c r="N749">
        <v>2</v>
      </c>
      <c r="O749">
        <v>0</v>
      </c>
      <c r="P749">
        <v>12</v>
      </c>
      <c r="Q749">
        <v>3</v>
      </c>
      <c r="R749">
        <v>0</v>
      </c>
      <c r="S749">
        <v>0</v>
      </c>
      <c r="T749">
        <v>3</v>
      </c>
      <c r="U749">
        <v>28</v>
      </c>
      <c r="V749">
        <v>128</v>
      </c>
      <c r="W749">
        <v>216</v>
      </c>
      <c r="X749">
        <v>0</v>
      </c>
      <c r="Y749">
        <v>59</v>
      </c>
      <c r="Z749">
        <v>5</v>
      </c>
      <c r="AA749">
        <v>28</v>
      </c>
      <c r="AB749">
        <v>69</v>
      </c>
      <c r="AC749">
        <v>100</v>
      </c>
      <c r="AD749">
        <v>16</v>
      </c>
      <c r="AE749">
        <v>0</v>
      </c>
      <c r="AF749">
        <v>23</v>
      </c>
      <c r="AG749">
        <v>1</v>
      </c>
    </row>
    <row r="750" spans="1:33" x14ac:dyDescent="0.3">
      <c r="A750" t="s">
        <v>247</v>
      </c>
      <c r="B750" t="s">
        <v>261</v>
      </c>
      <c r="C750" t="s">
        <v>35</v>
      </c>
      <c r="D750">
        <v>362</v>
      </c>
      <c r="E750">
        <v>0</v>
      </c>
      <c r="F750">
        <v>19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9</v>
      </c>
      <c r="M750">
        <v>1</v>
      </c>
      <c r="N750">
        <v>1</v>
      </c>
      <c r="O750">
        <v>0</v>
      </c>
      <c r="P750">
        <v>4</v>
      </c>
      <c r="Q750">
        <v>3</v>
      </c>
      <c r="R750">
        <v>0</v>
      </c>
      <c r="S750">
        <v>0</v>
      </c>
      <c r="T750">
        <v>2</v>
      </c>
      <c r="U750">
        <v>26</v>
      </c>
      <c r="V750">
        <v>64</v>
      </c>
      <c r="W750">
        <v>149</v>
      </c>
      <c r="X750">
        <v>0</v>
      </c>
      <c r="Y750">
        <v>24</v>
      </c>
      <c r="Z750">
        <v>3</v>
      </c>
      <c r="AA750">
        <v>8</v>
      </c>
      <c r="AB750">
        <v>18</v>
      </c>
      <c r="AC750">
        <v>9</v>
      </c>
      <c r="AD750">
        <v>10</v>
      </c>
      <c r="AE750">
        <v>0</v>
      </c>
      <c r="AF750">
        <v>11</v>
      </c>
      <c r="AG750">
        <v>1</v>
      </c>
    </row>
    <row r="751" spans="1:33" x14ac:dyDescent="0.3">
      <c r="A751" t="s">
        <v>247</v>
      </c>
      <c r="B751" t="s">
        <v>261</v>
      </c>
      <c r="C751" t="s">
        <v>36</v>
      </c>
      <c r="D751">
        <v>377</v>
      </c>
      <c r="E751">
        <v>0</v>
      </c>
      <c r="F751">
        <v>17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8</v>
      </c>
      <c r="Q751">
        <v>0</v>
      </c>
      <c r="R751">
        <v>0</v>
      </c>
      <c r="S751">
        <v>0</v>
      </c>
      <c r="T751">
        <v>1</v>
      </c>
      <c r="U751">
        <v>2</v>
      </c>
      <c r="V751">
        <v>64</v>
      </c>
      <c r="W751">
        <v>67</v>
      </c>
      <c r="X751">
        <v>0</v>
      </c>
      <c r="Y751">
        <v>35</v>
      </c>
      <c r="Z751">
        <v>2</v>
      </c>
      <c r="AA751">
        <v>20</v>
      </c>
      <c r="AB751">
        <v>51</v>
      </c>
      <c r="AC751">
        <v>91</v>
      </c>
      <c r="AD751">
        <v>6</v>
      </c>
      <c r="AE751">
        <v>0</v>
      </c>
      <c r="AF751">
        <v>12</v>
      </c>
      <c r="AG751">
        <v>0</v>
      </c>
    </row>
    <row r="752" spans="1:33" x14ac:dyDescent="0.3">
      <c r="A752" t="s">
        <v>247</v>
      </c>
      <c r="B752" t="s">
        <v>262</v>
      </c>
      <c r="C752" t="s">
        <v>32</v>
      </c>
      <c r="D752" s="1">
        <v>1212</v>
      </c>
      <c r="E752">
        <v>0</v>
      </c>
      <c r="F752">
        <v>10</v>
      </c>
      <c r="G752">
        <v>2</v>
      </c>
      <c r="H752">
        <v>2</v>
      </c>
      <c r="I752">
        <v>0</v>
      </c>
      <c r="J752">
        <v>5</v>
      </c>
      <c r="K752">
        <v>0</v>
      </c>
      <c r="L752">
        <v>0</v>
      </c>
      <c r="M752">
        <v>0</v>
      </c>
      <c r="N752">
        <v>4</v>
      </c>
      <c r="O752">
        <v>0</v>
      </c>
      <c r="P752">
        <v>8</v>
      </c>
      <c r="Q752">
        <v>0</v>
      </c>
      <c r="R752">
        <v>0</v>
      </c>
      <c r="S752">
        <v>0</v>
      </c>
      <c r="T752">
        <v>0</v>
      </c>
      <c r="U752">
        <v>79</v>
      </c>
      <c r="V752">
        <v>98</v>
      </c>
      <c r="W752">
        <v>577</v>
      </c>
      <c r="X752">
        <v>0</v>
      </c>
      <c r="Y752">
        <v>63</v>
      </c>
      <c r="Z752">
        <v>11</v>
      </c>
      <c r="AA752">
        <v>22</v>
      </c>
      <c r="AB752">
        <v>82</v>
      </c>
      <c r="AC752">
        <v>183</v>
      </c>
      <c r="AD752">
        <v>31</v>
      </c>
      <c r="AE752">
        <v>0</v>
      </c>
      <c r="AF752">
        <v>28</v>
      </c>
      <c r="AG752">
        <v>7</v>
      </c>
    </row>
    <row r="753" spans="1:33" x14ac:dyDescent="0.3">
      <c r="A753" t="s">
        <v>247</v>
      </c>
      <c r="B753" t="s">
        <v>262</v>
      </c>
      <c r="C753" t="s">
        <v>35</v>
      </c>
      <c r="D753">
        <v>739</v>
      </c>
      <c r="E753">
        <v>0</v>
      </c>
      <c r="F753">
        <v>4</v>
      </c>
      <c r="G753">
        <v>2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2</v>
      </c>
      <c r="Q753">
        <v>0</v>
      </c>
      <c r="R753">
        <v>0</v>
      </c>
      <c r="S753">
        <v>0</v>
      </c>
      <c r="T753">
        <v>0</v>
      </c>
      <c r="U753">
        <v>76</v>
      </c>
      <c r="V753">
        <v>93</v>
      </c>
      <c r="W753">
        <v>442</v>
      </c>
      <c r="X753">
        <v>0</v>
      </c>
      <c r="Y753">
        <v>27</v>
      </c>
      <c r="Z753">
        <v>7</v>
      </c>
      <c r="AA753">
        <v>3</v>
      </c>
      <c r="AB753">
        <v>24</v>
      </c>
      <c r="AC753">
        <v>15</v>
      </c>
      <c r="AD753">
        <v>21</v>
      </c>
      <c r="AE753">
        <v>0</v>
      </c>
      <c r="AF753">
        <v>16</v>
      </c>
      <c r="AG753">
        <v>4</v>
      </c>
    </row>
    <row r="754" spans="1:33" x14ac:dyDescent="0.3">
      <c r="A754" t="s">
        <v>247</v>
      </c>
      <c r="B754" t="s">
        <v>262</v>
      </c>
      <c r="C754" t="s">
        <v>36</v>
      </c>
      <c r="D754">
        <v>473</v>
      </c>
      <c r="E754">
        <v>0</v>
      </c>
      <c r="F754">
        <v>6</v>
      </c>
      <c r="G754">
        <v>0</v>
      </c>
      <c r="H754">
        <v>2</v>
      </c>
      <c r="I754">
        <v>0</v>
      </c>
      <c r="J754">
        <v>3</v>
      </c>
      <c r="K754">
        <v>0</v>
      </c>
      <c r="L754">
        <v>0</v>
      </c>
      <c r="M754">
        <v>0</v>
      </c>
      <c r="N754">
        <v>3</v>
      </c>
      <c r="O754">
        <v>0</v>
      </c>
      <c r="P754">
        <v>6</v>
      </c>
      <c r="Q754">
        <v>0</v>
      </c>
      <c r="R754">
        <v>0</v>
      </c>
      <c r="S754">
        <v>0</v>
      </c>
      <c r="T754">
        <v>0</v>
      </c>
      <c r="U754">
        <v>3</v>
      </c>
      <c r="V754">
        <v>5</v>
      </c>
      <c r="W754">
        <v>135</v>
      </c>
      <c r="X754">
        <v>0</v>
      </c>
      <c r="Y754">
        <v>36</v>
      </c>
      <c r="Z754">
        <v>4</v>
      </c>
      <c r="AA754">
        <v>19</v>
      </c>
      <c r="AB754">
        <v>58</v>
      </c>
      <c r="AC754">
        <v>168</v>
      </c>
      <c r="AD754">
        <v>10</v>
      </c>
      <c r="AE754">
        <v>0</v>
      </c>
      <c r="AF754">
        <v>12</v>
      </c>
      <c r="AG754">
        <v>3</v>
      </c>
    </row>
    <row r="755" spans="1:33" x14ac:dyDescent="0.3">
      <c r="A755" t="s">
        <v>247</v>
      </c>
      <c r="B755" t="s">
        <v>263</v>
      </c>
      <c r="C755" t="s">
        <v>32</v>
      </c>
      <c r="D755">
        <v>308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  <c r="P755">
        <v>13</v>
      </c>
      <c r="Q755">
        <v>0</v>
      </c>
      <c r="R755">
        <v>0</v>
      </c>
      <c r="S755">
        <v>0</v>
      </c>
      <c r="T755">
        <v>0</v>
      </c>
      <c r="U755">
        <v>9</v>
      </c>
      <c r="V755">
        <v>43</v>
      </c>
      <c r="W755">
        <v>128</v>
      </c>
      <c r="X755">
        <v>0</v>
      </c>
      <c r="Y755">
        <v>15</v>
      </c>
      <c r="Z755">
        <v>2</v>
      </c>
      <c r="AA755">
        <v>0</v>
      </c>
      <c r="AB755">
        <v>20</v>
      </c>
      <c r="AC755">
        <v>52</v>
      </c>
      <c r="AD755">
        <v>17</v>
      </c>
      <c r="AE755">
        <v>2</v>
      </c>
      <c r="AF755">
        <v>0</v>
      </c>
      <c r="AG755">
        <v>5</v>
      </c>
    </row>
    <row r="756" spans="1:33" x14ac:dyDescent="0.3">
      <c r="A756" t="s">
        <v>247</v>
      </c>
      <c r="B756" t="s">
        <v>263</v>
      </c>
      <c r="C756" t="s">
        <v>35</v>
      </c>
      <c r="D756">
        <v>186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9</v>
      </c>
      <c r="V756">
        <v>30</v>
      </c>
      <c r="W756">
        <v>116</v>
      </c>
      <c r="X756">
        <v>0</v>
      </c>
      <c r="Y756">
        <v>6</v>
      </c>
      <c r="Z756">
        <v>1</v>
      </c>
      <c r="AA756">
        <v>0</v>
      </c>
      <c r="AB756">
        <v>2</v>
      </c>
      <c r="AC756">
        <v>1</v>
      </c>
      <c r="AD756">
        <v>16</v>
      </c>
      <c r="AE756">
        <v>0</v>
      </c>
      <c r="AF756">
        <v>0</v>
      </c>
      <c r="AG756">
        <v>1</v>
      </c>
    </row>
    <row r="757" spans="1:33" x14ac:dyDescent="0.3">
      <c r="A757" t="s">
        <v>247</v>
      </c>
      <c r="B757" t="s">
        <v>263</v>
      </c>
      <c r="C757" t="s">
        <v>36</v>
      </c>
      <c r="D757">
        <v>122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13</v>
      </c>
      <c r="W757">
        <v>12</v>
      </c>
      <c r="X757">
        <v>0</v>
      </c>
      <c r="Y757">
        <v>9</v>
      </c>
      <c r="Z757">
        <v>1</v>
      </c>
      <c r="AA757">
        <v>0</v>
      </c>
      <c r="AB757">
        <v>18</v>
      </c>
      <c r="AC757">
        <v>51</v>
      </c>
      <c r="AD757">
        <v>1</v>
      </c>
      <c r="AE757">
        <v>2</v>
      </c>
      <c r="AF757">
        <v>0</v>
      </c>
      <c r="AG757">
        <v>4</v>
      </c>
    </row>
    <row r="758" spans="1:33" x14ac:dyDescent="0.3">
      <c r="A758" t="s">
        <v>247</v>
      </c>
      <c r="B758" t="s">
        <v>264</v>
      </c>
      <c r="C758" t="s">
        <v>32</v>
      </c>
      <c r="D758" s="1">
        <v>1471</v>
      </c>
      <c r="E758">
        <v>0</v>
      </c>
      <c r="F758">
        <v>61</v>
      </c>
      <c r="G758">
        <v>6</v>
      </c>
      <c r="H758">
        <v>57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10</v>
      </c>
      <c r="Q758">
        <v>0</v>
      </c>
      <c r="R758">
        <v>0</v>
      </c>
      <c r="S758">
        <v>0</v>
      </c>
      <c r="T758">
        <v>0</v>
      </c>
      <c r="U758">
        <v>77</v>
      </c>
      <c r="V758">
        <v>128</v>
      </c>
      <c r="W758">
        <v>655</v>
      </c>
      <c r="X758">
        <v>0</v>
      </c>
      <c r="Y758">
        <v>67</v>
      </c>
      <c r="Z758">
        <v>59</v>
      </c>
      <c r="AA758">
        <v>60</v>
      </c>
      <c r="AB758">
        <v>97</v>
      </c>
      <c r="AC758">
        <v>157</v>
      </c>
      <c r="AD758">
        <v>19</v>
      </c>
      <c r="AE758">
        <v>0</v>
      </c>
      <c r="AF758">
        <v>10</v>
      </c>
      <c r="AG758">
        <v>4</v>
      </c>
    </row>
    <row r="759" spans="1:33" x14ac:dyDescent="0.3">
      <c r="A759" t="s">
        <v>247</v>
      </c>
      <c r="B759" t="s">
        <v>264</v>
      </c>
      <c r="C759" t="s">
        <v>35</v>
      </c>
      <c r="D759">
        <v>985</v>
      </c>
      <c r="E759">
        <v>0</v>
      </c>
      <c r="F759">
        <v>46</v>
      </c>
      <c r="G759">
        <v>5</v>
      </c>
      <c r="H759">
        <v>48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2</v>
      </c>
      <c r="O759">
        <v>0</v>
      </c>
      <c r="P759">
        <v>3</v>
      </c>
      <c r="Q759">
        <v>0</v>
      </c>
      <c r="R759">
        <v>0</v>
      </c>
      <c r="S759">
        <v>0</v>
      </c>
      <c r="T759">
        <v>0</v>
      </c>
      <c r="U759">
        <v>76</v>
      </c>
      <c r="V759">
        <v>91</v>
      </c>
      <c r="W759">
        <v>559</v>
      </c>
      <c r="X759">
        <v>0</v>
      </c>
      <c r="Y759">
        <v>26</v>
      </c>
      <c r="Z759">
        <v>39</v>
      </c>
      <c r="AA759">
        <v>12</v>
      </c>
      <c r="AB759">
        <v>35</v>
      </c>
      <c r="AC759">
        <v>20</v>
      </c>
      <c r="AD759">
        <v>13</v>
      </c>
      <c r="AE759">
        <v>0</v>
      </c>
      <c r="AF759">
        <v>6</v>
      </c>
      <c r="AG759">
        <v>3</v>
      </c>
    </row>
    <row r="760" spans="1:33" x14ac:dyDescent="0.3">
      <c r="A760" t="s">
        <v>247</v>
      </c>
      <c r="B760" t="s">
        <v>264</v>
      </c>
      <c r="C760" t="s">
        <v>36</v>
      </c>
      <c r="D760">
        <v>486</v>
      </c>
      <c r="E760">
        <v>0</v>
      </c>
      <c r="F760">
        <v>15</v>
      </c>
      <c r="G760">
        <v>1</v>
      </c>
      <c r="H760">
        <v>9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37</v>
      </c>
      <c r="W760">
        <v>96</v>
      </c>
      <c r="X760">
        <v>0</v>
      </c>
      <c r="Y760">
        <v>41</v>
      </c>
      <c r="Z760">
        <v>20</v>
      </c>
      <c r="AA760">
        <v>48</v>
      </c>
      <c r="AB760">
        <v>62</v>
      </c>
      <c r="AC760">
        <v>137</v>
      </c>
      <c r="AD760">
        <v>6</v>
      </c>
      <c r="AE760">
        <v>0</v>
      </c>
      <c r="AF760">
        <v>4</v>
      </c>
      <c r="AG760">
        <v>1</v>
      </c>
    </row>
    <row r="761" spans="1:33" x14ac:dyDescent="0.3">
      <c r="A761" t="s">
        <v>265</v>
      </c>
      <c r="B761" t="s">
        <v>32</v>
      </c>
      <c r="C761" t="s">
        <v>32</v>
      </c>
      <c r="D761" s="1">
        <v>49077</v>
      </c>
      <c r="E761">
        <v>0</v>
      </c>
      <c r="F761" s="1">
        <v>9366</v>
      </c>
      <c r="G761">
        <v>41</v>
      </c>
      <c r="H761" s="1">
        <v>3528</v>
      </c>
      <c r="I761">
        <v>0</v>
      </c>
      <c r="J761">
        <v>46</v>
      </c>
      <c r="K761">
        <v>4</v>
      </c>
      <c r="L761">
        <v>150</v>
      </c>
      <c r="M761">
        <v>35</v>
      </c>
      <c r="N761" s="1">
        <v>1012</v>
      </c>
      <c r="O761">
        <v>18</v>
      </c>
      <c r="P761">
        <v>380</v>
      </c>
      <c r="Q761">
        <v>142</v>
      </c>
      <c r="R761">
        <v>0</v>
      </c>
      <c r="S761">
        <v>0</v>
      </c>
      <c r="T761">
        <v>30</v>
      </c>
      <c r="U761" s="1">
        <v>2119</v>
      </c>
      <c r="V761" s="1">
        <v>2574</v>
      </c>
      <c r="W761" s="1">
        <v>12902</v>
      </c>
      <c r="X761">
        <v>390</v>
      </c>
      <c r="Y761" s="1">
        <v>2423</v>
      </c>
      <c r="Z761" s="1">
        <v>1411</v>
      </c>
      <c r="AA761" s="1">
        <v>2162</v>
      </c>
      <c r="AB761" s="1">
        <v>2257</v>
      </c>
      <c r="AC761" s="1">
        <v>5305</v>
      </c>
      <c r="AD761" s="1">
        <v>1667</v>
      </c>
      <c r="AE761">
        <v>14</v>
      </c>
      <c r="AF761">
        <v>523</v>
      </c>
      <c r="AG761">
        <v>578</v>
      </c>
    </row>
    <row r="762" spans="1:33" x14ac:dyDescent="0.3">
      <c r="A762" t="s">
        <v>265</v>
      </c>
      <c r="B762" t="s">
        <v>32</v>
      </c>
      <c r="C762" t="s">
        <v>35</v>
      </c>
      <c r="D762" s="1">
        <f>D765+D768+D771+D774+D777+D780+D783+D786+D789+D792+D795+D798+D801+D804+D807</f>
        <v>29316</v>
      </c>
      <c r="E762" s="1">
        <f t="shared" ref="E762:AG762" si="32">E765+E768+E771+E774+E777+E780+E783+E786+E789+E792+E795+E798+E801+E804+E807</f>
        <v>0</v>
      </c>
      <c r="F762" s="1">
        <f t="shared" si="32"/>
        <v>5495</v>
      </c>
      <c r="G762" s="1">
        <f t="shared" si="32"/>
        <v>29</v>
      </c>
      <c r="H762" s="1">
        <f t="shared" si="32"/>
        <v>2206</v>
      </c>
      <c r="I762" s="1">
        <f t="shared" si="32"/>
        <v>0</v>
      </c>
      <c r="J762" s="1">
        <f t="shared" si="32"/>
        <v>15</v>
      </c>
      <c r="K762" s="1">
        <f t="shared" si="32"/>
        <v>3</v>
      </c>
      <c r="L762" s="1">
        <f t="shared" si="32"/>
        <v>126</v>
      </c>
      <c r="M762" s="1">
        <f t="shared" si="32"/>
        <v>28</v>
      </c>
      <c r="N762" s="1">
        <f t="shared" si="32"/>
        <v>561</v>
      </c>
      <c r="O762" s="1">
        <f t="shared" si="32"/>
        <v>14</v>
      </c>
      <c r="P762" s="1">
        <f t="shared" si="32"/>
        <v>86</v>
      </c>
      <c r="Q762" s="1">
        <f t="shared" si="32"/>
        <v>108</v>
      </c>
      <c r="R762" s="1">
        <f t="shared" si="32"/>
        <v>0</v>
      </c>
      <c r="S762" s="1">
        <f t="shared" si="32"/>
        <v>0</v>
      </c>
      <c r="T762" s="1">
        <f t="shared" si="32"/>
        <v>10</v>
      </c>
      <c r="U762" s="1">
        <f t="shared" si="32"/>
        <v>2023</v>
      </c>
      <c r="V762" s="1">
        <f t="shared" si="32"/>
        <v>1461</v>
      </c>
      <c r="W762" s="1">
        <f t="shared" si="32"/>
        <v>10944</v>
      </c>
      <c r="X762" s="1">
        <f t="shared" si="32"/>
        <v>390</v>
      </c>
      <c r="Y762" s="1">
        <f t="shared" si="32"/>
        <v>906</v>
      </c>
      <c r="Z762" s="1">
        <f t="shared" si="32"/>
        <v>828</v>
      </c>
      <c r="AA762" s="1">
        <f t="shared" si="32"/>
        <v>682</v>
      </c>
      <c r="AB762" s="1">
        <f t="shared" si="32"/>
        <v>777</v>
      </c>
      <c r="AC762" s="1">
        <f t="shared" si="32"/>
        <v>689</v>
      </c>
      <c r="AD762" s="1">
        <f t="shared" si="32"/>
        <v>1248</v>
      </c>
      <c r="AE762" s="1">
        <f t="shared" si="32"/>
        <v>2</v>
      </c>
      <c r="AF762" s="1">
        <f t="shared" si="32"/>
        <v>306</v>
      </c>
      <c r="AG762" s="1">
        <f t="shared" si="32"/>
        <v>379</v>
      </c>
    </row>
    <row r="763" spans="1:33" x14ac:dyDescent="0.3">
      <c r="A763" t="s">
        <v>265</v>
      </c>
      <c r="B763" t="s">
        <v>32</v>
      </c>
      <c r="C763" t="s">
        <v>36</v>
      </c>
      <c r="D763" s="1">
        <f>D766+D769+D772+D775+D778+D781+D784+D787+D790+D793+D796+D799+D802+D805+D808</f>
        <v>19761</v>
      </c>
      <c r="E763" s="1">
        <f t="shared" ref="E763:AG763" si="33">E766+E769+E772+E775+E778+E781+E784+E787+E790+E793+E796+E799+E802+E805+E808</f>
        <v>0</v>
      </c>
      <c r="F763" s="1">
        <f t="shared" si="33"/>
        <v>3871</v>
      </c>
      <c r="G763" s="1">
        <f t="shared" si="33"/>
        <v>12</v>
      </c>
      <c r="H763" s="1">
        <f t="shared" si="33"/>
        <v>1322</v>
      </c>
      <c r="I763" s="1">
        <f t="shared" si="33"/>
        <v>0</v>
      </c>
      <c r="J763" s="1">
        <f t="shared" si="33"/>
        <v>31</v>
      </c>
      <c r="K763" s="1">
        <f t="shared" si="33"/>
        <v>1</v>
      </c>
      <c r="L763" s="1">
        <f t="shared" si="33"/>
        <v>24</v>
      </c>
      <c r="M763" s="1">
        <f t="shared" si="33"/>
        <v>7</v>
      </c>
      <c r="N763" s="1">
        <f t="shared" si="33"/>
        <v>451</v>
      </c>
      <c r="O763" s="1">
        <f t="shared" si="33"/>
        <v>4</v>
      </c>
      <c r="P763" s="1">
        <f t="shared" si="33"/>
        <v>294</v>
      </c>
      <c r="Q763" s="1">
        <f t="shared" si="33"/>
        <v>34</v>
      </c>
      <c r="R763" s="1">
        <f t="shared" si="33"/>
        <v>0</v>
      </c>
      <c r="S763" s="1">
        <f t="shared" si="33"/>
        <v>0</v>
      </c>
      <c r="T763" s="1">
        <f t="shared" si="33"/>
        <v>20</v>
      </c>
      <c r="U763" s="1">
        <f t="shared" si="33"/>
        <v>96</v>
      </c>
      <c r="V763" s="1">
        <f t="shared" si="33"/>
        <v>1113</v>
      </c>
      <c r="W763" s="1">
        <f t="shared" si="33"/>
        <v>1958</v>
      </c>
      <c r="X763" s="1">
        <f t="shared" si="33"/>
        <v>0</v>
      </c>
      <c r="Y763" s="1">
        <f t="shared" si="33"/>
        <v>1517</v>
      </c>
      <c r="Z763" s="1">
        <f t="shared" si="33"/>
        <v>583</v>
      </c>
      <c r="AA763" s="1">
        <f t="shared" si="33"/>
        <v>1480</v>
      </c>
      <c r="AB763" s="1">
        <f t="shared" si="33"/>
        <v>1480</v>
      </c>
      <c r="AC763" s="1">
        <f t="shared" si="33"/>
        <v>4616</v>
      </c>
      <c r="AD763" s="1">
        <f t="shared" si="33"/>
        <v>419</v>
      </c>
      <c r="AE763" s="1">
        <f t="shared" si="33"/>
        <v>12</v>
      </c>
      <c r="AF763" s="1">
        <f t="shared" si="33"/>
        <v>217</v>
      </c>
      <c r="AG763" s="1">
        <f t="shared" si="33"/>
        <v>199</v>
      </c>
    </row>
    <row r="764" spans="1:33" x14ac:dyDescent="0.3">
      <c r="A764" t="s">
        <v>265</v>
      </c>
      <c r="B764" t="s">
        <v>266</v>
      </c>
      <c r="C764" t="s">
        <v>32</v>
      </c>
      <c r="D764" s="1">
        <v>2081</v>
      </c>
      <c r="E764">
        <v>0</v>
      </c>
      <c r="F764">
        <v>2</v>
      </c>
      <c r="G764">
        <v>0</v>
      </c>
      <c r="H764" s="1">
        <v>0</v>
      </c>
      <c r="I764">
        <v>0</v>
      </c>
      <c r="J764">
        <v>2</v>
      </c>
      <c r="K764">
        <v>0</v>
      </c>
      <c r="L764">
        <v>0</v>
      </c>
      <c r="M764">
        <v>0</v>
      </c>
      <c r="N764" s="1">
        <v>0</v>
      </c>
      <c r="O764">
        <v>0</v>
      </c>
      <c r="P764">
        <v>11</v>
      </c>
      <c r="Q764">
        <v>0</v>
      </c>
      <c r="R764">
        <v>0</v>
      </c>
      <c r="S764">
        <v>0</v>
      </c>
      <c r="T764">
        <v>0</v>
      </c>
      <c r="U764">
        <v>97</v>
      </c>
      <c r="V764">
        <v>779</v>
      </c>
      <c r="W764">
        <v>629</v>
      </c>
      <c r="X764">
        <v>0</v>
      </c>
      <c r="Y764">
        <v>78</v>
      </c>
      <c r="Z764">
        <v>62</v>
      </c>
      <c r="AA764">
        <v>101</v>
      </c>
      <c r="AB764">
        <v>59</v>
      </c>
      <c r="AC764">
        <v>173</v>
      </c>
      <c r="AD764">
        <v>42</v>
      </c>
      <c r="AE764">
        <v>0</v>
      </c>
      <c r="AF764">
        <v>39</v>
      </c>
      <c r="AG764">
        <v>7</v>
      </c>
    </row>
    <row r="765" spans="1:33" x14ac:dyDescent="0.3">
      <c r="A765" t="s">
        <v>265</v>
      </c>
      <c r="B765" t="s">
        <v>266</v>
      </c>
      <c r="C765" t="s">
        <v>35</v>
      </c>
      <c r="D765" s="1">
        <v>1184</v>
      </c>
      <c r="E765">
        <v>0</v>
      </c>
      <c r="F765">
        <v>2</v>
      </c>
      <c r="G765">
        <v>0</v>
      </c>
      <c r="H765" s="1">
        <v>0</v>
      </c>
      <c r="I765">
        <v>0</v>
      </c>
      <c r="J765">
        <v>2</v>
      </c>
      <c r="K765">
        <v>0</v>
      </c>
      <c r="L765">
        <v>0</v>
      </c>
      <c r="M765">
        <v>0</v>
      </c>
      <c r="N765" s="1">
        <v>0</v>
      </c>
      <c r="O765">
        <v>0</v>
      </c>
      <c r="P765">
        <v>3</v>
      </c>
      <c r="Q765">
        <v>0</v>
      </c>
      <c r="R765">
        <v>0</v>
      </c>
      <c r="S765">
        <v>0</v>
      </c>
      <c r="T765">
        <v>0</v>
      </c>
      <c r="U765">
        <v>90</v>
      </c>
      <c r="V765">
        <v>399</v>
      </c>
      <c r="W765">
        <v>527</v>
      </c>
      <c r="X765">
        <v>0</v>
      </c>
      <c r="Y765">
        <v>33</v>
      </c>
      <c r="Z765">
        <v>39</v>
      </c>
      <c r="AA765">
        <v>18</v>
      </c>
      <c r="AB765">
        <v>7</v>
      </c>
      <c r="AC765">
        <v>6</v>
      </c>
      <c r="AD765">
        <v>31</v>
      </c>
      <c r="AE765">
        <v>0</v>
      </c>
      <c r="AF765">
        <v>22</v>
      </c>
      <c r="AG765">
        <v>5</v>
      </c>
    </row>
    <row r="766" spans="1:33" x14ac:dyDescent="0.3">
      <c r="A766" t="s">
        <v>265</v>
      </c>
      <c r="B766" t="s">
        <v>266</v>
      </c>
      <c r="C766" t="s">
        <v>36</v>
      </c>
      <c r="D766">
        <v>897</v>
      </c>
      <c r="E766">
        <v>0</v>
      </c>
      <c r="F766" s="1">
        <v>0</v>
      </c>
      <c r="G766">
        <v>0</v>
      </c>
      <c r="H766" s="1">
        <v>0</v>
      </c>
      <c r="I766">
        <v>0</v>
      </c>
      <c r="J766" s="1">
        <v>0</v>
      </c>
      <c r="K766">
        <v>0</v>
      </c>
      <c r="L766" s="1">
        <v>0</v>
      </c>
      <c r="M766">
        <v>0</v>
      </c>
      <c r="N766" s="1">
        <v>0</v>
      </c>
      <c r="O766">
        <v>0</v>
      </c>
      <c r="P766">
        <v>8</v>
      </c>
      <c r="Q766">
        <v>0</v>
      </c>
      <c r="R766">
        <v>0</v>
      </c>
      <c r="S766">
        <v>0</v>
      </c>
      <c r="T766">
        <v>0</v>
      </c>
      <c r="U766">
        <v>7</v>
      </c>
      <c r="V766">
        <v>380</v>
      </c>
      <c r="W766">
        <v>102</v>
      </c>
      <c r="X766">
        <v>0</v>
      </c>
      <c r="Y766">
        <v>45</v>
      </c>
      <c r="Z766">
        <v>23</v>
      </c>
      <c r="AA766">
        <v>83</v>
      </c>
      <c r="AB766">
        <v>52</v>
      </c>
      <c r="AC766">
        <v>167</v>
      </c>
      <c r="AD766">
        <v>11</v>
      </c>
      <c r="AE766">
        <v>0</v>
      </c>
      <c r="AF766">
        <v>17</v>
      </c>
      <c r="AG766">
        <v>2</v>
      </c>
    </row>
    <row r="767" spans="1:33" x14ac:dyDescent="0.3">
      <c r="A767" t="s">
        <v>265</v>
      </c>
      <c r="B767" t="s">
        <v>267</v>
      </c>
      <c r="C767" t="s">
        <v>32</v>
      </c>
      <c r="D767" s="1">
        <v>10307</v>
      </c>
      <c r="E767">
        <v>0</v>
      </c>
      <c r="F767" s="1">
        <v>1990</v>
      </c>
      <c r="G767">
        <v>7</v>
      </c>
      <c r="H767">
        <v>441</v>
      </c>
      <c r="I767">
        <v>0</v>
      </c>
      <c r="J767" s="1">
        <v>0</v>
      </c>
      <c r="K767">
        <v>1</v>
      </c>
      <c r="L767">
        <v>98</v>
      </c>
      <c r="M767">
        <v>18</v>
      </c>
      <c r="N767">
        <v>208</v>
      </c>
      <c r="O767">
        <v>2</v>
      </c>
      <c r="P767">
        <v>46</v>
      </c>
      <c r="Q767">
        <v>15</v>
      </c>
      <c r="R767">
        <v>0</v>
      </c>
      <c r="S767">
        <v>0</v>
      </c>
      <c r="T767">
        <v>13</v>
      </c>
      <c r="U767">
        <v>547</v>
      </c>
      <c r="V767">
        <v>179</v>
      </c>
      <c r="W767" s="1">
        <v>3035</v>
      </c>
      <c r="X767">
        <v>316</v>
      </c>
      <c r="Y767">
        <v>408</v>
      </c>
      <c r="Z767">
        <v>162</v>
      </c>
      <c r="AA767">
        <v>316</v>
      </c>
      <c r="AB767">
        <v>583</v>
      </c>
      <c r="AC767">
        <v>934</v>
      </c>
      <c r="AD767">
        <v>460</v>
      </c>
      <c r="AE767">
        <v>3</v>
      </c>
      <c r="AF767">
        <v>149</v>
      </c>
      <c r="AG767">
        <v>376</v>
      </c>
    </row>
    <row r="768" spans="1:33" x14ac:dyDescent="0.3">
      <c r="A768" t="s">
        <v>265</v>
      </c>
      <c r="B768" t="s">
        <v>267</v>
      </c>
      <c r="C768" t="s">
        <v>35</v>
      </c>
      <c r="D768" s="1">
        <v>7186</v>
      </c>
      <c r="E768">
        <v>0</v>
      </c>
      <c r="F768" s="1">
        <v>1337</v>
      </c>
      <c r="G768">
        <v>3</v>
      </c>
      <c r="H768">
        <v>285</v>
      </c>
      <c r="I768">
        <v>0</v>
      </c>
      <c r="J768" s="1">
        <v>0</v>
      </c>
      <c r="K768">
        <v>1</v>
      </c>
      <c r="L768">
        <v>87</v>
      </c>
      <c r="M768">
        <v>15</v>
      </c>
      <c r="N768">
        <v>124</v>
      </c>
      <c r="O768">
        <v>2</v>
      </c>
      <c r="P768">
        <v>6</v>
      </c>
      <c r="Q768">
        <v>13</v>
      </c>
      <c r="R768">
        <v>0</v>
      </c>
      <c r="S768">
        <v>0</v>
      </c>
      <c r="T768">
        <v>0</v>
      </c>
      <c r="U768">
        <v>536</v>
      </c>
      <c r="V768">
        <v>155</v>
      </c>
      <c r="W768" s="1">
        <v>2971</v>
      </c>
      <c r="X768">
        <v>316</v>
      </c>
      <c r="Y768">
        <v>147</v>
      </c>
      <c r="Z768">
        <v>67</v>
      </c>
      <c r="AA768">
        <v>95</v>
      </c>
      <c r="AB768">
        <v>262</v>
      </c>
      <c r="AC768">
        <v>133</v>
      </c>
      <c r="AD768">
        <v>312</v>
      </c>
      <c r="AE768">
        <v>0</v>
      </c>
      <c r="AF768">
        <v>79</v>
      </c>
      <c r="AG768">
        <v>240</v>
      </c>
    </row>
    <row r="769" spans="1:33" x14ac:dyDescent="0.3">
      <c r="A769" t="s">
        <v>265</v>
      </c>
      <c r="B769" t="s">
        <v>267</v>
      </c>
      <c r="C769" t="s">
        <v>36</v>
      </c>
      <c r="D769" s="1">
        <v>3121</v>
      </c>
      <c r="E769">
        <v>0</v>
      </c>
      <c r="F769">
        <v>653</v>
      </c>
      <c r="G769">
        <v>4</v>
      </c>
      <c r="H769">
        <v>156</v>
      </c>
      <c r="I769">
        <v>0</v>
      </c>
      <c r="J769" s="1">
        <v>0</v>
      </c>
      <c r="K769">
        <v>0</v>
      </c>
      <c r="L769">
        <v>11</v>
      </c>
      <c r="M769">
        <v>3</v>
      </c>
      <c r="N769">
        <v>84</v>
      </c>
      <c r="O769">
        <v>0</v>
      </c>
      <c r="P769">
        <v>40</v>
      </c>
      <c r="Q769">
        <v>2</v>
      </c>
      <c r="R769">
        <v>0</v>
      </c>
      <c r="S769">
        <v>0</v>
      </c>
      <c r="T769">
        <v>13</v>
      </c>
      <c r="U769">
        <v>11</v>
      </c>
      <c r="V769">
        <v>24</v>
      </c>
      <c r="W769">
        <v>64</v>
      </c>
      <c r="X769">
        <v>0</v>
      </c>
      <c r="Y769">
        <v>261</v>
      </c>
      <c r="Z769">
        <v>95</v>
      </c>
      <c r="AA769">
        <v>221</v>
      </c>
      <c r="AB769">
        <v>321</v>
      </c>
      <c r="AC769">
        <v>801</v>
      </c>
      <c r="AD769">
        <v>148</v>
      </c>
      <c r="AE769">
        <v>3</v>
      </c>
      <c r="AF769">
        <v>70</v>
      </c>
      <c r="AG769">
        <v>136</v>
      </c>
    </row>
    <row r="770" spans="1:33" x14ac:dyDescent="0.3">
      <c r="A770" t="s">
        <v>265</v>
      </c>
      <c r="B770" t="s">
        <v>268</v>
      </c>
      <c r="C770" t="s">
        <v>32</v>
      </c>
      <c r="D770" s="1">
        <v>3564</v>
      </c>
      <c r="E770">
        <v>0</v>
      </c>
      <c r="F770">
        <v>28</v>
      </c>
      <c r="G770">
        <v>10</v>
      </c>
      <c r="H770">
        <v>4</v>
      </c>
      <c r="I770">
        <v>0</v>
      </c>
      <c r="J770" s="1">
        <v>0</v>
      </c>
      <c r="K770">
        <v>0</v>
      </c>
      <c r="L770">
        <v>1</v>
      </c>
      <c r="M770">
        <v>2</v>
      </c>
      <c r="N770">
        <v>17</v>
      </c>
      <c r="O770">
        <v>0</v>
      </c>
      <c r="P770">
        <v>11</v>
      </c>
      <c r="Q770">
        <v>0</v>
      </c>
      <c r="R770">
        <v>0</v>
      </c>
      <c r="S770">
        <v>0</v>
      </c>
      <c r="T770">
        <v>0</v>
      </c>
      <c r="U770">
        <v>323</v>
      </c>
      <c r="V770">
        <v>99</v>
      </c>
      <c r="W770" s="1">
        <v>1497</v>
      </c>
      <c r="X770">
        <v>1</v>
      </c>
      <c r="Y770">
        <v>149</v>
      </c>
      <c r="Z770">
        <v>406</v>
      </c>
      <c r="AA770">
        <v>414</v>
      </c>
      <c r="AB770">
        <v>106</v>
      </c>
      <c r="AC770">
        <v>342</v>
      </c>
      <c r="AD770">
        <v>122</v>
      </c>
      <c r="AE770">
        <v>0</v>
      </c>
      <c r="AF770">
        <v>13</v>
      </c>
      <c r="AG770">
        <v>19</v>
      </c>
    </row>
    <row r="771" spans="1:33" x14ac:dyDescent="0.3">
      <c r="A771" t="s">
        <v>265</v>
      </c>
      <c r="B771" t="s">
        <v>268</v>
      </c>
      <c r="C771" t="s">
        <v>35</v>
      </c>
      <c r="D771" s="1">
        <v>2390</v>
      </c>
      <c r="E771">
        <v>0</v>
      </c>
      <c r="F771">
        <v>18</v>
      </c>
      <c r="G771">
        <v>10</v>
      </c>
      <c r="H771">
        <v>1</v>
      </c>
      <c r="I771">
        <v>0</v>
      </c>
      <c r="J771" s="1">
        <v>0</v>
      </c>
      <c r="K771">
        <v>0</v>
      </c>
      <c r="L771">
        <v>1</v>
      </c>
      <c r="M771">
        <v>2</v>
      </c>
      <c r="N771">
        <v>8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314</v>
      </c>
      <c r="V771">
        <v>60</v>
      </c>
      <c r="W771" s="1">
        <v>1314</v>
      </c>
      <c r="X771">
        <v>1</v>
      </c>
      <c r="Y771">
        <v>50</v>
      </c>
      <c r="Z771">
        <v>295</v>
      </c>
      <c r="AA771">
        <v>97</v>
      </c>
      <c r="AB771">
        <v>43</v>
      </c>
      <c r="AC771">
        <v>51</v>
      </c>
      <c r="AD771">
        <v>106</v>
      </c>
      <c r="AE771">
        <v>0</v>
      </c>
      <c r="AF771">
        <v>5</v>
      </c>
      <c r="AG771">
        <v>13</v>
      </c>
    </row>
    <row r="772" spans="1:33" x14ac:dyDescent="0.3">
      <c r="A772" t="s">
        <v>265</v>
      </c>
      <c r="B772" t="s">
        <v>268</v>
      </c>
      <c r="C772" t="s">
        <v>36</v>
      </c>
      <c r="D772" s="1">
        <v>1174</v>
      </c>
      <c r="E772">
        <v>0</v>
      </c>
      <c r="F772">
        <v>10</v>
      </c>
      <c r="G772">
        <v>0</v>
      </c>
      <c r="H772">
        <v>3</v>
      </c>
      <c r="I772">
        <v>0</v>
      </c>
      <c r="J772" s="1">
        <v>0</v>
      </c>
      <c r="K772">
        <v>0</v>
      </c>
      <c r="L772">
        <v>0</v>
      </c>
      <c r="M772">
        <v>0</v>
      </c>
      <c r="N772">
        <v>9</v>
      </c>
      <c r="O772">
        <v>0</v>
      </c>
      <c r="P772">
        <v>10</v>
      </c>
      <c r="Q772">
        <v>0</v>
      </c>
      <c r="R772">
        <v>0</v>
      </c>
      <c r="S772">
        <v>0</v>
      </c>
      <c r="T772">
        <v>0</v>
      </c>
      <c r="U772">
        <v>9</v>
      </c>
      <c r="V772">
        <v>39</v>
      </c>
      <c r="W772">
        <v>183</v>
      </c>
      <c r="X772">
        <v>0</v>
      </c>
      <c r="Y772">
        <v>99</v>
      </c>
      <c r="Z772">
        <v>111</v>
      </c>
      <c r="AA772">
        <v>317</v>
      </c>
      <c r="AB772">
        <v>63</v>
      </c>
      <c r="AC772">
        <v>291</v>
      </c>
      <c r="AD772">
        <v>16</v>
      </c>
      <c r="AE772">
        <v>0</v>
      </c>
      <c r="AF772">
        <v>8</v>
      </c>
      <c r="AG772">
        <v>6</v>
      </c>
    </row>
    <row r="773" spans="1:33" x14ac:dyDescent="0.3">
      <c r="A773" t="s">
        <v>265</v>
      </c>
      <c r="B773" t="s">
        <v>269</v>
      </c>
      <c r="C773" t="s">
        <v>32</v>
      </c>
      <c r="D773" s="1">
        <v>1543</v>
      </c>
      <c r="E773">
        <v>0</v>
      </c>
      <c r="F773">
        <v>7</v>
      </c>
      <c r="G773">
        <v>0</v>
      </c>
      <c r="H773">
        <v>2</v>
      </c>
      <c r="I773">
        <v>0</v>
      </c>
      <c r="J773" s="1">
        <v>0</v>
      </c>
      <c r="K773">
        <v>0</v>
      </c>
      <c r="L773">
        <v>2</v>
      </c>
      <c r="M773">
        <v>0</v>
      </c>
      <c r="N773">
        <v>4</v>
      </c>
      <c r="O773">
        <v>0</v>
      </c>
      <c r="P773">
        <v>15</v>
      </c>
      <c r="Q773">
        <v>0</v>
      </c>
      <c r="R773">
        <v>0</v>
      </c>
      <c r="S773">
        <v>0</v>
      </c>
      <c r="T773">
        <v>0</v>
      </c>
      <c r="U773">
        <v>70</v>
      </c>
      <c r="V773">
        <v>247</v>
      </c>
      <c r="W773">
        <v>389</v>
      </c>
      <c r="X773">
        <v>0</v>
      </c>
      <c r="Y773">
        <v>141</v>
      </c>
      <c r="Z773">
        <v>63</v>
      </c>
      <c r="AA773">
        <v>67</v>
      </c>
      <c r="AB773">
        <v>112</v>
      </c>
      <c r="AC773">
        <v>294</v>
      </c>
      <c r="AD773">
        <v>81</v>
      </c>
      <c r="AE773">
        <v>0</v>
      </c>
      <c r="AF773">
        <v>40</v>
      </c>
      <c r="AG773">
        <v>9</v>
      </c>
    </row>
    <row r="774" spans="1:33" x14ac:dyDescent="0.3">
      <c r="A774" t="s">
        <v>265</v>
      </c>
      <c r="B774" t="s">
        <v>269</v>
      </c>
      <c r="C774" t="s">
        <v>35</v>
      </c>
      <c r="D774">
        <v>733</v>
      </c>
      <c r="E774">
        <v>0</v>
      </c>
      <c r="F774">
        <v>5</v>
      </c>
      <c r="G774">
        <v>0</v>
      </c>
      <c r="H774">
        <v>1</v>
      </c>
      <c r="I774">
        <v>0</v>
      </c>
      <c r="J774" s="1">
        <v>0</v>
      </c>
      <c r="K774">
        <v>0</v>
      </c>
      <c r="L774">
        <v>2</v>
      </c>
      <c r="M774">
        <v>0</v>
      </c>
      <c r="N774">
        <v>3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64</v>
      </c>
      <c r="V774">
        <v>82</v>
      </c>
      <c r="W774">
        <v>304</v>
      </c>
      <c r="X774">
        <v>0</v>
      </c>
      <c r="Y774">
        <v>62</v>
      </c>
      <c r="Z774">
        <v>30</v>
      </c>
      <c r="AA774">
        <v>20</v>
      </c>
      <c r="AB774">
        <v>28</v>
      </c>
      <c r="AC774">
        <v>32</v>
      </c>
      <c r="AD774">
        <v>70</v>
      </c>
      <c r="AE774">
        <v>0</v>
      </c>
      <c r="AF774">
        <v>25</v>
      </c>
      <c r="AG774">
        <v>4</v>
      </c>
    </row>
    <row r="775" spans="1:33" x14ac:dyDescent="0.3">
      <c r="A775" t="s">
        <v>265</v>
      </c>
      <c r="B775" t="s">
        <v>269</v>
      </c>
      <c r="C775" t="s">
        <v>36</v>
      </c>
      <c r="D775">
        <v>810</v>
      </c>
      <c r="E775">
        <v>0</v>
      </c>
      <c r="F775">
        <v>2</v>
      </c>
      <c r="G775">
        <v>0</v>
      </c>
      <c r="H775">
        <v>1</v>
      </c>
      <c r="I775">
        <v>0</v>
      </c>
      <c r="J775" s="1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14</v>
      </c>
      <c r="Q775">
        <v>0</v>
      </c>
      <c r="R775">
        <v>0</v>
      </c>
      <c r="S775">
        <v>0</v>
      </c>
      <c r="T775">
        <v>0</v>
      </c>
      <c r="U775">
        <v>6</v>
      </c>
      <c r="V775">
        <v>165</v>
      </c>
      <c r="W775">
        <v>85</v>
      </c>
      <c r="X775">
        <v>0</v>
      </c>
      <c r="Y775">
        <v>79</v>
      </c>
      <c r="Z775">
        <v>33</v>
      </c>
      <c r="AA775">
        <v>47</v>
      </c>
      <c r="AB775">
        <v>84</v>
      </c>
      <c r="AC775">
        <v>262</v>
      </c>
      <c r="AD775">
        <v>11</v>
      </c>
      <c r="AE775">
        <v>0</v>
      </c>
      <c r="AF775">
        <v>15</v>
      </c>
      <c r="AG775">
        <v>5</v>
      </c>
    </row>
    <row r="776" spans="1:33" x14ac:dyDescent="0.3">
      <c r="A776" t="s">
        <v>265</v>
      </c>
      <c r="B776" t="s">
        <v>270</v>
      </c>
      <c r="C776" t="s">
        <v>32</v>
      </c>
      <c r="D776">
        <v>375</v>
      </c>
      <c r="E776">
        <v>0</v>
      </c>
      <c r="F776">
        <v>0</v>
      </c>
      <c r="G776">
        <v>0</v>
      </c>
      <c r="H776">
        <v>0</v>
      </c>
      <c r="I776">
        <v>0</v>
      </c>
      <c r="J776" s="1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</v>
      </c>
      <c r="Q776">
        <v>0</v>
      </c>
      <c r="R776">
        <v>0</v>
      </c>
      <c r="S776">
        <v>0</v>
      </c>
      <c r="T776">
        <v>0</v>
      </c>
      <c r="U776">
        <v>9</v>
      </c>
      <c r="V776">
        <v>123</v>
      </c>
      <c r="W776">
        <v>88</v>
      </c>
      <c r="X776">
        <v>0</v>
      </c>
      <c r="Y776">
        <v>33</v>
      </c>
      <c r="Z776">
        <v>6</v>
      </c>
      <c r="AA776">
        <v>3</v>
      </c>
      <c r="AB776">
        <v>25</v>
      </c>
      <c r="AC776">
        <v>77</v>
      </c>
      <c r="AD776">
        <v>3</v>
      </c>
      <c r="AE776">
        <v>0</v>
      </c>
      <c r="AF776">
        <v>1</v>
      </c>
      <c r="AG776">
        <v>2</v>
      </c>
    </row>
    <row r="777" spans="1:33" x14ac:dyDescent="0.3">
      <c r="A777" t="s">
        <v>265</v>
      </c>
      <c r="B777" t="s">
        <v>270</v>
      </c>
      <c r="C777" t="s">
        <v>35</v>
      </c>
      <c r="D777">
        <v>200</v>
      </c>
      <c r="E777">
        <v>0</v>
      </c>
      <c r="F777">
        <v>0</v>
      </c>
      <c r="G777">
        <v>0</v>
      </c>
      <c r="H777">
        <v>0</v>
      </c>
      <c r="I777">
        <v>0</v>
      </c>
      <c r="J777" s="1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9</v>
      </c>
      <c r="V777">
        <v>92</v>
      </c>
      <c r="W777">
        <v>69</v>
      </c>
      <c r="X777">
        <v>0</v>
      </c>
      <c r="Y777">
        <v>14</v>
      </c>
      <c r="Z777">
        <v>1</v>
      </c>
      <c r="AA777">
        <v>1</v>
      </c>
      <c r="AB777">
        <v>5</v>
      </c>
      <c r="AC777">
        <v>5</v>
      </c>
      <c r="AD777">
        <v>1</v>
      </c>
      <c r="AE777">
        <v>0</v>
      </c>
      <c r="AF777">
        <v>0</v>
      </c>
      <c r="AG777">
        <v>2</v>
      </c>
    </row>
    <row r="778" spans="1:33" x14ac:dyDescent="0.3">
      <c r="A778" t="s">
        <v>265</v>
      </c>
      <c r="B778" t="s">
        <v>270</v>
      </c>
      <c r="C778" t="s">
        <v>36</v>
      </c>
      <c r="D778">
        <v>175</v>
      </c>
      <c r="E778">
        <v>0</v>
      </c>
      <c r="F778">
        <v>0</v>
      </c>
      <c r="G778">
        <v>0</v>
      </c>
      <c r="H778">
        <v>0</v>
      </c>
      <c r="I778">
        <v>0</v>
      </c>
      <c r="J778" s="1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31</v>
      </c>
      <c r="W778">
        <v>19</v>
      </c>
      <c r="X778">
        <v>0</v>
      </c>
      <c r="Y778">
        <v>19</v>
      </c>
      <c r="Z778">
        <v>5</v>
      </c>
      <c r="AA778">
        <v>2</v>
      </c>
      <c r="AB778">
        <v>20</v>
      </c>
      <c r="AC778">
        <v>72</v>
      </c>
      <c r="AD778">
        <v>2</v>
      </c>
      <c r="AE778">
        <v>0</v>
      </c>
      <c r="AF778">
        <v>1</v>
      </c>
      <c r="AG778">
        <v>0</v>
      </c>
    </row>
    <row r="779" spans="1:33" x14ac:dyDescent="0.3">
      <c r="A779" t="s">
        <v>265</v>
      </c>
      <c r="B779" t="s">
        <v>271</v>
      </c>
      <c r="C779" t="s">
        <v>32</v>
      </c>
      <c r="D779" s="1">
        <v>1492</v>
      </c>
      <c r="E779">
        <v>0</v>
      </c>
      <c r="F779">
        <v>5</v>
      </c>
      <c r="G779">
        <v>0</v>
      </c>
      <c r="H779">
        <v>0</v>
      </c>
      <c r="I779">
        <v>0</v>
      </c>
      <c r="J779" s="1">
        <v>0</v>
      </c>
      <c r="K779">
        <v>0</v>
      </c>
      <c r="L779">
        <v>2</v>
      </c>
      <c r="M779">
        <v>1</v>
      </c>
      <c r="N779">
        <v>4</v>
      </c>
      <c r="O779">
        <v>0</v>
      </c>
      <c r="P779">
        <v>7</v>
      </c>
      <c r="Q779">
        <v>0</v>
      </c>
      <c r="R779">
        <v>0</v>
      </c>
      <c r="S779">
        <v>0</v>
      </c>
      <c r="T779">
        <v>0</v>
      </c>
      <c r="U779">
        <v>54</v>
      </c>
      <c r="V779">
        <v>157</v>
      </c>
      <c r="W779">
        <v>668</v>
      </c>
      <c r="X779">
        <v>72</v>
      </c>
      <c r="Y779">
        <v>98</v>
      </c>
      <c r="Z779">
        <v>76</v>
      </c>
      <c r="AA779">
        <v>54</v>
      </c>
      <c r="AB779">
        <v>45</v>
      </c>
      <c r="AC779">
        <v>174</v>
      </c>
      <c r="AD779">
        <v>49</v>
      </c>
      <c r="AE779">
        <v>0</v>
      </c>
      <c r="AF779">
        <v>17</v>
      </c>
      <c r="AG779">
        <v>9</v>
      </c>
    </row>
    <row r="780" spans="1:33" x14ac:dyDescent="0.3">
      <c r="A780" t="s">
        <v>265</v>
      </c>
      <c r="B780" t="s">
        <v>271</v>
      </c>
      <c r="C780" t="s">
        <v>35</v>
      </c>
      <c r="D780" s="1">
        <v>1007</v>
      </c>
      <c r="E780">
        <v>0</v>
      </c>
      <c r="F780">
        <v>4</v>
      </c>
      <c r="G780">
        <v>0</v>
      </c>
      <c r="H780">
        <v>0</v>
      </c>
      <c r="I780">
        <v>0</v>
      </c>
      <c r="J780" s="1">
        <v>0</v>
      </c>
      <c r="K780">
        <v>0</v>
      </c>
      <c r="L780">
        <v>1</v>
      </c>
      <c r="M780">
        <v>1</v>
      </c>
      <c r="N780">
        <v>2</v>
      </c>
      <c r="O780">
        <v>0</v>
      </c>
      <c r="P780">
        <v>2</v>
      </c>
      <c r="Q780">
        <v>0</v>
      </c>
      <c r="R780">
        <v>0</v>
      </c>
      <c r="S780">
        <v>0</v>
      </c>
      <c r="T780">
        <v>0</v>
      </c>
      <c r="U780">
        <v>52</v>
      </c>
      <c r="V780">
        <v>90</v>
      </c>
      <c r="W780">
        <v>608</v>
      </c>
      <c r="X780">
        <v>72</v>
      </c>
      <c r="Y780">
        <v>33</v>
      </c>
      <c r="Z780">
        <v>40</v>
      </c>
      <c r="AA780">
        <v>19</v>
      </c>
      <c r="AB780">
        <v>4</v>
      </c>
      <c r="AC780">
        <v>17</v>
      </c>
      <c r="AD780">
        <v>45</v>
      </c>
      <c r="AE780">
        <v>0</v>
      </c>
      <c r="AF780">
        <v>9</v>
      </c>
      <c r="AG780">
        <v>8</v>
      </c>
    </row>
    <row r="781" spans="1:33" x14ac:dyDescent="0.3">
      <c r="A781" t="s">
        <v>265</v>
      </c>
      <c r="B781" t="s">
        <v>271</v>
      </c>
      <c r="C781" t="s">
        <v>36</v>
      </c>
      <c r="D781">
        <v>485</v>
      </c>
      <c r="E781">
        <v>0</v>
      </c>
      <c r="F781">
        <v>1</v>
      </c>
      <c r="G781">
        <v>0</v>
      </c>
      <c r="H781">
        <v>0</v>
      </c>
      <c r="I781">
        <v>0</v>
      </c>
      <c r="J781" s="1">
        <v>0</v>
      </c>
      <c r="K781">
        <v>0</v>
      </c>
      <c r="L781">
        <v>1</v>
      </c>
      <c r="M781">
        <v>0</v>
      </c>
      <c r="N781">
        <v>2</v>
      </c>
      <c r="O781">
        <v>0</v>
      </c>
      <c r="P781">
        <v>5</v>
      </c>
      <c r="Q781">
        <v>0</v>
      </c>
      <c r="R781">
        <v>0</v>
      </c>
      <c r="S781">
        <v>0</v>
      </c>
      <c r="T781">
        <v>0</v>
      </c>
      <c r="U781">
        <v>2</v>
      </c>
      <c r="V781">
        <v>67</v>
      </c>
      <c r="W781">
        <v>60</v>
      </c>
      <c r="X781">
        <v>0</v>
      </c>
      <c r="Y781">
        <v>65</v>
      </c>
      <c r="Z781">
        <v>36</v>
      </c>
      <c r="AA781">
        <v>35</v>
      </c>
      <c r="AB781">
        <v>41</v>
      </c>
      <c r="AC781">
        <v>157</v>
      </c>
      <c r="AD781">
        <v>4</v>
      </c>
      <c r="AE781">
        <v>0</v>
      </c>
      <c r="AF781">
        <v>8</v>
      </c>
      <c r="AG781">
        <v>1</v>
      </c>
    </row>
    <row r="782" spans="1:33" x14ac:dyDescent="0.3">
      <c r="A782" t="s">
        <v>265</v>
      </c>
      <c r="B782" t="s">
        <v>272</v>
      </c>
      <c r="C782" t="s">
        <v>32</v>
      </c>
      <c r="D782">
        <v>499</v>
      </c>
      <c r="E782">
        <v>0</v>
      </c>
      <c r="F782">
        <v>2</v>
      </c>
      <c r="G782">
        <v>0</v>
      </c>
      <c r="H782">
        <v>0</v>
      </c>
      <c r="I782">
        <v>0</v>
      </c>
      <c r="J782" s="1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5</v>
      </c>
      <c r="Q782">
        <v>0</v>
      </c>
      <c r="R782">
        <v>0</v>
      </c>
      <c r="S782">
        <v>0</v>
      </c>
      <c r="T782">
        <v>1</v>
      </c>
      <c r="U782">
        <v>26</v>
      </c>
      <c r="V782">
        <v>64</v>
      </c>
      <c r="W782">
        <v>176</v>
      </c>
      <c r="X782">
        <v>0</v>
      </c>
      <c r="Y782">
        <v>44</v>
      </c>
      <c r="Z782">
        <v>25</v>
      </c>
      <c r="AA782">
        <v>23</v>
      </c>
      <c r="AB782">
        <v>38</v>
      </c>
      <c r="AC782">
        <v>91</v>
      </c>
      <c r="AD782">
        <v>0</v>
      </c>
      <c r="AE782">
        <v>0</v>
      </c>
      <c r="AF782">
        <v>1</v>
      </c>
      <c r="AG782">
        <v>3</v>
      </c>
    </row>
    <row r="783" spans="1:33" x14ac:dyDescent="0.3">
      <c r="A783" t="s">
        <v>265</v>
      </c>
      <c r="B783" t="s">
        <v>272</v>
      </c>
      <c r="C783" t="s">
        <v>35</v>
      </c>
      <c r="D783">
        <v>253</v>
      </c>
      <c r="E783">
        <v>0</v>
      </c>
      <c r="F783">
        <v>1</v>
      </c>
      <c r="G783">
        <v>0</v>
      </c>
      <c r="H783">
        <v>0</v>
      </c>
      <c r="I783">
        <v>0</v>
      </c>
      <c r="J783" s="1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23</v>
      </c>
      <c r="V783">
        <v>35</v>
      </c>
      <c r="W783">
        <v>140</v>
      </c>
      <c r="X783">
        <v>0</v>
      </c>
      <c r="Y783">
        <v>16</v>
      </c>
      <c r="Z783">
        <v>14</v>
      </c>
      <c r="AA783">
        <v>7</v>
      </c>
      <c r="AB783">
        <v>4</v>
      </c>
      <c r="AC783">
        <v>8</v>
      </c>
      <c r="AD783">
        <v>0</v>
      </c>
      <c r="AE783">
        <v>0</v>
      </c>
      <c r="AF783">
        <v>1</v>
      </c>
      <c r="AG783">
        <v>3</v>
      </c>
    </row>
    <row r="784" spans="1:33" x14ac:dyDescent="0.3">
      <c r="A784" t="s">
        <v>265</v>
      </c>
      <c r="B784" t="s">
        <v>272</v>
      </c>
      <c r="C784" t="s">
        <v>36</v>
      </c>
      <c r="D784">
        <v>246</v>
      </c>
      <c r="E784">
        <v>0</v>
      </c>
      <c r="F784">
        <v>1</v>
      </c>
      <c r="G784">
        <v>0</v>
      </c>
      <c r="H784">
        <v>0</v>
      </c>
      <c r="I784">
        <v>0</v>
      </c>
      <c r="J784" s="1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</v>
      </c>
      <c r="Q784">
        <v>0</v>
      </c>
      <c r="R784">
        <v>0</v>
      </c>
      <c r="S784">
        <v>0</v>
      </c>
      <c r="T784">
        <v>1</v>
      </c>
      <c r="U784">
        <v>3</v>
      </c>
      <c r="V784">
        <v>29</v>
      </c>
      <c r="W784">
        <v>36</v>
      </c>
      <c r="X784">
        <v>0</v>
      </c>
      <c r="Y784">
        <v>28</v>
      </c>
      <c r="Z784">
        <v>11</v>
      </c>
      <c r="AA784">
        <v>16</v>
      </c>
      <c r="AB784">
        <v>34</v>
      </c>
      <c r="AC784">
        <v>83</v>
      </c>
      <c r="AD784">
        <v>0</v>
      </c>
      <c r="AE784">
        <v>0</v>
      </c>
      <c r="AF784">
        <v>0</v>
      </c>
      <c r="AG784">
        <v>0</v>
      </c>
    </row>
    <row r="785" spans="1:33" x14ac:dyDescent="0.3">
      <c r="A785" t="s">
        <v>265</v>
      </c>
      <c r="B785" t="s">
        <v>273</v>
      </c>
      <c r="C785" t="s">
        <v>32</v>
      </c>
      <c r="D785" s="1">
        <v>5334</v>
      </c>
      <c r="E785">
        <v>0</v>
      </c>
      <c r="F785" s="1">
        <v>1720</v>
      </c>
      <c r="G785">
        <v>1</v>
      </c>
      <c r="H785">
        <v>503</v>
      </c>
      <c r="I785">
        <v>0</v>
      </c>
      <c r="J785" s="1">
        <v>0</v>
      </c>
      <c r="K785">
        <v>0</v>
      </c>
      <c r="L785">
        <v>2</v>
      </c>
      <c r="M785">
        <v>3</v>
      </c>
      <c r="N785">
        <v>71</v>
      </c>
      <c r="O785">
        <v>2</v>
      </c>
      <c r="P785">
        <v>12</v>
      </c>
      <c r="Q785">
        <v>11</v>
      </c>
      <c r="R785">
        <v>0</v>
      </c>
      <c r="S785">
        <v>0</v>
      </c>
      <c r="T785">
        <v>2</v>
      </c>
      <c r="U785">
        <v>197</v>
      </c>
      <c r="V785">
        <v>113</v>
      </c>
      <c r="W785" s="1">
        <v>1616</v>
      </c>
      <c r="X785">
        <v>0</v>
      </c>
      <c r="Y785">
        <v>195</v>
      </c>
      <c r="Z785">
        <v>68</v>
      </c>
      <c r="AA785">
        <v>162</v>
      </c>
      <c r="AB785">
        <v>128</v>
      </c>
      <c r="AC785">
        <v>376</v>
      </c>
      <c r="AD785">
        <v>83</v>
      </c>
      <c r="AE785">
        <v>0</v>
      </c>
      <c r="AF785">
        <v>48</v>
      </c>
      <c r="AG785">
        <v>21</v>
      </c>
    </row>
    <row r="786" spans="1:33" x14ac:dyDescent="0.3">
      <c r="A786" t="s">
        <v>265</v>
      </c>
      <c r="B786" t="s">
        <v>273</v>
      </c>
      <c r="C786" t="s">
        <v>35</v>
      </c>
      <c r="D786" s="1">
        <v>3438</v>
      </c>
      <c r="E786">
        <v>0</v>
      </c>
      <c r="F786" s="1">
        <v>1193</v>
      </c>
      <c r="G786">
        <v>1</v>
      </c>
      <c r="H786">
        <v>392</v>
      </c>
      <c r="I786">
        <v>0</v>
      </c>
      <c r="J786" s="1">
        <v>0</v>
      </c>
      <c r="K786">
        <v>0</v>
      </c>
      <c r="L786">
        <v>2</v>
      </c>
      <c r="M786">
        <v>3</v>
      </c>
      <c r="N786">
        <v>54</v>
      </c>
      <c r="O786">
        <v>2</v>
      </c>
      <c r="P786">
        <v>2</v>
      </c>
      <c r="Q786">
        <v>8</v>
      </c>
      <c r="R786">
        <v>0</v>
      </c>
      <c r="S786">
        <v>0</v>
      </c>
      <c r="T786">
        <v>1</v>
      </c>
      <c r="U786">
        <v>187</v>
      </c>
      <c r="V786">
        <v>29</v>
      </c>
      <c r="W786" s="1">
        <v>1193</v>
      </c>
      <c r="X786">
        <v>0</v>
      </c>
      <c r="Y786">
        <v>77</v>
      </c>
      <c r="Z786">
        <v>38</v>
      </c>
      <c r="AA786">
        <v>50</v>
      </c>
      <c r="AB786">
        <v>44</v>
      </c>
      <c r="AC786">
        <v>44</v>
      </c>
      <c r="AD786">
        <v>74</v>
      </c>
      <c r="AE786">
        <v>0</v>
      </c>
      <c r="AF786">
        <v>33</v>
      </c>
      <c r="AG786">
        <v>11</v>
      </c>
    </row>
    <row r="787" spans="1:33" x14ac:dyDescent="0.3">
      <c r="A787" t="s">
        <v>265</v>
      </c>
      <c r="B787" t="s">
        <v>273</v>
      </c>
      <c r="C787" t="s">
        <v>36</v>
      </c>
      <c r="D787" s="1">
        <v>1896</v>
      </c>
      <c r="E787">
        <v>0</v>
      </c>
      <c r="F787">
        <v>527</v>
      </c>
      <c r="G787">
        <v>0</v>
      </c>
      <c r="H787">
        <v>111</v>
      </c>
      <c r="I787">
        <v>0</v>
      </c>
      <c r="J787" s="1">
        <v>0</v>
      </c>
      <c r="K787">
        <v>0</v>
      </c>
      <c r="L787">
        <v>0</v>
      </c>
      <c r="M787">
        <v>0</v>
      </c>
      <c r="N787">
        <v>17</v>
      </c>
      <c r="O787">
        <v>0</v>
      </c>
      <c r="P787">
        <v>10</v>
      </c>
      <c r="Q787">
        <v>3</v>
      </c>
      <c r="R787">
        <v>0</v>
      </c>
      <c r="S787">
        <v>0</v>
      </c>
      <c r="T787">
        <v>1</v>
      </c>
      <c r="U787">
        <v>10</v>
      </c>
      <c r="V787">
        <v>84</v>
      </c>
      <c r="W787">
        <v>423</v>
      </c>
      <c r="X787">
        <v>0</v>
      </c>
      <c r="Y787">
        <v>118</v>
      </c>
      <c r="Z787">
        <v>30</v>
      </c>
      <c r="AA787">
        <v>112</v>
      </c>
      <c r="AB787">
        <v>84</v>
      </c>
      <c r="AC787">
        <v>332</v>
      </c>
      <c r="AD787">
        <v>9</v>
      </c>
      <c r="AE787">
        <v>0</v>
      </c>
      <c r="AF787">
        <v>15</v>
      </c>
      <c r="AG787">
        <v>10</v>
      </c>
    </row>
    <row r="788" spans="1:33" x14ac:dyDescent="0.3">
      <c r="A788" t="s">
        <v>265</v>
      </c>
      <c r="B788" t="s">
        <v>274</v>
      </c>
      <c r="C788" t="s">
        <v>32</v>
      </c>
      <c r="D788" s="1">
        <v>7268</v>
      </c>
      <c r="E788">
        <v>0</v>
      </c>
      <c r="F788" s="1">
        <v>1401</v>
      </c>
      <c r="G788">
        <v>12</v>
      </c>
      <c r="H788">
        <v>646</v>
      </c>
      <c r="I788">
        <v>0</v>
      </c>
      <c r="J788">
        <v>4</v>
      </c>
      <c r="K788">
        <v>2</v>
      </c>
      <c r="L788">
        <v>16</v>
      </c>
      <c r="M788">
        <v>3</v>
      </c>
      <c r="N788">
        <v>99</v>
      </c>
      <c r="O788">
        <v>3</v>
      </c>
      <c r="P788">
        <v>55</v>
      </c>
      <c r="Q788">
        <v>13</v>
      </c>
      <c r="R788">
        <v>0</v>
      </c>
      <c r="S788">
        <v>0</v>
      </c>
      <c r="T788">
        <v>0</v>
      </c>
      <c r="U788">
        <v>316</v>
      </c>
      <c r="V788">
        <v>45</v>
      </c>
      <c r="W788" s="1">
        <v>2252</v>
      </c>
      <c r="X788">
        <v>1</v>
      </c>
      <c r="Y788">
        <v>380</v>
      </c>
      <c r="Z788">
        <v>85</v>
      </c>
      <c r="AA788">
        <v>238</v>
      </c>
      <c r="AB788">
        <v>381</v>
      </c>
      <c r="AC788">
        <v>898</v>
      </c>
      <c r="AD788">
        <v>302</v>
      </c>
      <c r="AE788">
        <v>1</v>
      </c>
      <c r="AF788">
        <v>62</v>
      </c>
      <c r="AG788">
        <v>53</v>
      </c>
    </row>
    <row r="789" spans="1:33" x14ac:dyDescent="0.3">
      <c r="A789" t="s">
        <v>265</v>
      </c>
      <c r="B789" t="s">
        <v>274</v>
      </c>
      <c r="C789" t="s">
        <v>35</v>
      </c>
      <c r="D789" s="1">
        <v>4081</v>
      </c>
      <c r="E789">
        <v>0</v>
      </c>
      <c r="F789">
        <v>763</v>
      </c>
      <c r="G789">
        <v>8</v>
      </c>
      <c r="H789">
        <v>417</v>
      </c>
      <c r="I789">
        <v>0</v>
      </c>
      <c r="J789">
        <v>2</v>
      </c>
      <c r="K789">
        <v>1</v>
      </c>
      <c r="L789">
        <v>15</v>
      </c>
      <c r="M789">
        <v>3</v>
      </c>
      <c r="N789">
        <v>45</v>
      </c>
      <c r="O789">
        <v>1</v>
      </c>
      <c r="P789">
        <v>12</v>
      </c>
      <c r="Q789">
        <v>8</v>
      </c>
      <c r="R789">
        <v>0</v>
      </c>
      <c r="S789">
        <v>0</v>
      </c>
      <c r="T789">
        <v>0</v>
      </c>
      <c r="U789">
        <v>300</v>
      </c>
      <c r="V789">
        <v>22</v>
      </c>
      <c r="W789" s="1">
        <v>1630</v>
      </c>
      <c r="X789">
        <v>1</v>
      </c>
      <c r="Y789">
        <v>142</v>
      </c>
      <c r="Z789">
        <v>51</v>
      </c>
      <c r="AA789">
        <v>71</v>
      </c>
      <c r="AB789">
        <v>133</v>
      </c>
      <c r="AC789">
        <v>142</v>
      </c>
      <c r="AD789">
        <v>239</v>
      </c>
      <c r="AE789">
        <v>0</v>
      </c>
      <c r="AF789">
        <v>36</v>
      </c>
      <c r="AG789">
        <v>39</v>
      </c>
    </row>
    <row r="790" spans="1:33" x14ac:dyDescent="0.3">
      <c r="A790" t="s">
        <v>265</v>
      </c>
      <c r="B790" t="s">
        <v>274</v>
      </c>
      <c r="C790" t="s">
        <v>36</v>
      </c>
      <c r="D790" s="1">
        <v>3187</v>
      </c>
      <c r="E790">
        <v>0</v>
      </c>
      <c r="F790">
        <v>638</v>
      </c>
      <c r="G790">
        <v>4</v>
      </c>
      <c r="H790">
        <v>229</v>
      </c>
      <c r="I790">
        <v>0</v>
      </c>
      <c r="J790">
        <v>2</v>
      </c>
      <c r="K790">
        <v>1</v>
      </c>
      <c r="L790">
        <v>1</v>
      </c>
      <c r="M790">
        <v>0</v>
      </c>
      <c r="N790">
        <v>54</v>
      </c>
      <c r="O790">
        <v>2</v>
      </c>
      <c r="P790">
        <v>43</v>
      </c>
      <c r="Q790">
        <v>5</v>
      </c>
      <c r="R790">
        <v>0</v>
      </c>
      <c r="S790">
        <v>0</v>
      </c>
      <c r="T790">
        <v>0</v>
      </c>
      <c r="U790">
        <v>16</v>
      </c>
      <c r="V790">
        <v>23</v>
      </c>
      <c r="W790">
        <v>622</v>
      </c>
      <c r="X790">
        <v>0</v>
      </c>
      <c r="Y790">
        <v>238</v>
      </c>
      <c r="Z790">
        <v>34</v>
      </c>
      <c r="AA790">
        <v>167</v>
      </c>
      <c r="AB790">
        <v>248</v>
      </c>
      <c r="AC790">
        <v>756</v>
      </c>
      <c r="AD790">
        <v>63</v>
      </c>
      <c r="AE790">
        <v>1</v>
      </c>
      <c r="AF790">
        <v>26</v>
      </c>
      <c r="AG790">
        <v>14</v>
      </c>
    </row>
    <row r="791" spans="1:33" x14ac:dyDescent="0.3">
      <c r="A791" t="s">
        <v>265</v>
      </c>
      <c r="B791" t="s">
        <v>275</v>
      </c>
      <c r="C791" t="s">
        <v>32</v>
      </c>
      <c r="D791">
        <v>464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23</v>
      </c>
      <c r="V791">
        <v>73</v>
      </c>
      <c r="W791">
        <v>176</v>
      </c>
      <c r="X791">
        <v>0</v>
      </c>
      <c r="Y791">
        <v>52</v>
      </c>
      <c r="Z791">
        <v>17</v>
      </c>
      <c r="AA791">
        <v>9</v>
      </c>
      <c r="AB791">
        <v>16</v>
      </c>
      <c r="AC791">
        <v>91</v>
      </c>
      <c r="AD791">
        <v>2</v>
      </c>
      <c r="AE791">
        <v>0</v>
      </c>
      <c r="AF791">
        <v>0</v>
      </c>
      <c r="AG791">
        <v>1</v>
      </c>
    </row>
    <row r="792" spans="1:33" x14ac:dyDescent="0.3">
      <c r="A792" t="s">
        <v>265</v>
      </c>
      <c r="B792" t="s">
        <v>275</v>
      </c>
      <c r="C792" t="s">
        <v>35</v>
      </c>
      <c r="D792">
        <v>239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19</v>
      </c>
      <c r="V792">
        <v>48</v>
      </c>
      <c r="W792">
        <v>130</v>
      </c>
      <c r="X792">
        <v>0</v>
      </c>
      <c r="Y792">
        <v>21</v>
      </c>
      <c r="Z792">
        <v>6</v>
      </c>
      <c r="AA792">
        <v>1</v>
      </c>
      <c r="AB792">
        <v>3</v>
      </c>
      <c r="AC792">
        <v>8</v>
      </c>
      <c r="AD792">
        <v>1</v>
      </c>
      <c r="AE792">
        <v>0</v>
      </c>
      <c r="AF792">
        <v>0</v>
      </c>
      <c r="AG792">
        <v>1</v>
      </c>
    </row>
    <row r="793" spans="1:33" x14ac:dyDescent="0.3">
      <c r="A793" t="s">
        <v>265</v>
      </c>
      <c r="B793" t="s">
        <v>275</v>
      </c>
      <c r="C793" t="s">
        <v>36</v>
      </c>
      <c r="D793">
        <v>225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</v>
      </c>
      <c r="Q793">
        <v>0</v>
      </c>
      <c r="R793">
        <v>0</v>
      </c>
      <c r="S793">
        <v>0</v>
      </c>
      <c r="T793">
        <v>0</v>
      </c>
      <c r="U793">
        <v>4</v>
      </c>
      <c r="V793">
        <v>25</v>
      </c>
      <c r="W793">
        <v>46</v>
      </c>
      <c r="X793">
        <v>0</v>
      </c>
      <c r="Y793">
        <v>31</v>
      </c>
      <c r="Z793">
        <v>11</v>
      </c>
      <c r="AA793">
        <v>8</v>
      </c>
      <c r="AB793">
        <v>13</v>
      </c>
      <c r="AC793">
        <v>83</v>
      </c>
      <c r="AD793">
        <v>1</v>
      </c>
      <c r="AE793">
        <v>0</v>
      </c>
      <c r="AF793">
        <v>0</v>
      </c>
      <c r="AG793">
        <v>0</v>
      </c>
    </row>
    <row r="794" spans="1:33" x14ac:dyDescent="0.3">
      <c r="A794" t="s">
        <v>265</v>
      </c>
      <c r="B794" t="s">
        <v>276</v>
      </c>
      <c r="C794" t="s">
        <v>32</v>
      </c>
      <c r="D794">
        <v>514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2</v>
      </c>
      <c r="O794">
        <v>0</v>
      </c>
      <c r="P794">
        <v>4</v>
      </c>
      <c r="Q794">
        <v>0</v>
      </c>
      <c r="R794">
        <v>0</v>
      </c>
      <c r="S794">
        <v>0</v>
      </c>
      <c r="T794">
        <v>0</v>
      </c>
      <c r="U794">
        <v>23</v>
      </c>
      <c r="V794">
        <v>96</v>
      </c>
      <c r="W794">
        <v>196</v>
      </c>
      <c r="X794">
        <v>0</v>
      </c>
      <c r="Y794">
        <v>49</v>
      </c>
      <c r="Z794">
        <v>8</v>
      </c>
      <c r="AA794">
        <v>11</v>
      </c>
      <c r="AB794">
        <v>24</v>
      </c>
      <c r="AC794">
        <v>87</v>
      </c>
      <c r="AD794">
        <v>8</v>
      </c>
      <c r="AE794">
        <v>0</v>
      </c>
      <c r="AF794">
        <v>1</v>
      </c>
      <c r="AG794">
        <v>4</v>
      </c>
    </row>
    <row r="795" spans="1:33" x14ac:dyDescent="0.3">
      <c r="A795" t="s">
        <v>265</v>
      </c>
      <c r="B795" t="s">
        <v>276</v>
      </c>
      <c r="C795" t="s">
        <v>35</v>
      </c>
      <c r="D795">
        <v>275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23</v>
      </c>
      <c r="V795">
        <v>59</v>
      </c>
      <c r="W795">
        <v>150</v>
      </c>
      <c r="X795">
        <v>0</v>
      </c>
      <c r="Y795">
        <v>18</v>
      </c>
      <c r="Z795">
        <v>4</v>
      </c>
      <c r="AA795">
        <v>2</v>
      </c>
      <c r="AB795">
        <v>6</v>
      </c>
      <c r="AC795">
        <v>3</v>
      </c>
      <c r="AD795">
        <v>7</v>
      </c>
      <c r="AE795">
        <v>0</v>
      </c>
      <c r="AF795">
        <v>0</v>
      </c>
      <c r="AG795">
        <v>1</v>
      </c>
    </row>
    <row r="796" spans="1:33" x14ac:dyDescent="0.3">
      <c r="A796" t="s">
        <v>265</v>
      </c>
      <c r="B796" t="s">
        <v>276</v>
      </c>
      <c r="C796" t="s">
        <v>36</v>
      </c>
      <c r="D796">
        <v>239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37</v>
      </c>
      <c r="W796">
        <v>46</v>
      </c>
      <c r="X796">
        <v>0</v>
      </c>
      <c r="Y796">
        <v>31</v>
      </c>
      <c r="Z796">
        <v>4</v>
      </c>
      <c r="AA796">
        <v>9</v>
      </c>
      <c r="AB796">
        <v>18</v>
      </c>
      <c r="AC796">
        <v>84</v>
      </c>
      <c r="AD796">
        <v>1</v>
      </c>
      <c r="AE796">
        <v>0</v>
      </c>
      <c r="AF796">
        <v>1</v>
      </c>
      <c r="AG796">
        <v>3</v>
      </c>
    </row>
    <row r="797" spans="1:33" x14ac:dyDescent="0.3">
      <c r="A797" t="s">
        <v>265</v>
      </c>
      <c r="B797" t="s">
        <v>277</v>
      </c>
      <c r="C797" t="s">
        <v>32</v>
      </c>
      <c r="D797" s="1">
        <v>6231</v>
      </c>
      <c r="E797">
        <v>0</v>
      </c>
      <c r="F797" s="1">
        <v>2441</v>
      </c>
      <c r="G797">
        <v>5</v>
      </c>
      <c r="H797">
        <v>475</v>
      </c>
      <c r="I797">
        <v>0</v>
      </c>
      <c r="J797">
        <v>2</v>
      </c>
      <c r="K797">
        <v>1</v>
      </c>
      <c r="L797">
        <v>15</v>
      </c>
      <c r="M797">
        <v>4</v>
      </c>
      <c r="N797">
        <v>231</v>
      </c>
      <c r="O797">
        <v>4</v>
      </c>
      <c r="P797">
        <v>79</v>
      </c>
      <c r="Q797">
        <v>75</v>
      </c>
      <c r="R797">
        <v>0</v>
      </c>
      <c r="S797">
        <v>0</v>
      </c>
      <c r="T797">
        <v>11</v>
      </c>
      <c r="U797">
        <v>110</v>
      </c>
      <c r="V797">
        <v>1</v>
      </c>
      <c r="W797">
        <v>603</v>
      </c>
      <c r="X797">
        <v>0</v>
      </c>
      <c r="Y797">
        <v>322</v>
      </c>
      <c r="Z797">
        <v>163</v>
      </c>
      <c r="AA797">
        <v>380</v>
      </c>
      <c r="AB797">
        <v>314</v>
      </c>
      <c r="AC797">
        <v>662</v>
      </c>
      <c r="AD797">
        <v>243</v>
      </c>
      <c r="AE797">
        <v>5</v>
      </c>
      <c r="AF797">
        <v>58</v>
      </c>
      <c r="AG797">
        <v>27</v>
      </c>
    </row>
    <row r="798" spans="1:33" x14ac:dyDescent="0.3">
      <c r="A798" t="s">
        <v>265</v>
      </c>
      <c r="B798" t="s">
        <v>277</v>
      </c>
      <c r="C798" t="s">
        <v>35</v>
      </c>
      <c r="D798" s="1">
        <v>3080</v>
      </c>
      <c r="E798">
        <v>0</v>
      </c>
      <c r="F798" s="1">
        <v>1249</v>
      </c>
      <c r="G798">
        <v>4</v>
      </c>
      <c r="H798">
        <v>231</v>
      </c>
      <c r="I798">
        <v>0</v>
      </c>
      <c r="J798">
        <v>1</v>
      </c>
      <c r="K798">
        <v>1</v>
      </c>
      <c r="L798">
        <v>12</v>
      </c>
      <c r="M798">
        <v>2</v>
      </c>
      <c r="N798">
        <v>127</v>
      </c>
      <c r="O798">
        <v>2</v>
      </c>
      <c r="P798">
        <v>23</v>
      </c>
      <c r="Q798">
        <v>59</v>
      </c>
      <c r="R798">
        <v>0</v>
      </c>
      <c r="S798">
        <v>0</v>
      </c>
      <c r="T798">
        <v>6</v>
      </c>
      <c r="U798">
        <v>98</v>
      </c>
      <c r="V798">
        <v>1</v>
      </c>
      <c r="W798">
        <v>493</v>
      </c>
      <c r="X798">
        <v>0</v>
      </c>
      <c r="Y798">
        <v>107</v>
      </c>
      <c r="Z798">
        <v>81</v>
      </c>
      <c r="AA798">
        <v>155</v>
      </c>
      <c r="AB798">
        <v>112</v>
      </c>
      <c r="AC798">
        <v>89</v>
      </c>
      <c r="AD798">
        <v>169</v>
      </c>
      <c r="AE798">
        <v>1</v>
      </c>
      <c r="AF798">
        <v>38</v>
      </c>
      <c r="AG798">
        <v>19</v>
      </c>
    </row>
    <row r="799" spans="1:33" x14ac:dyDescent="0.3">
      <c r="A799" t="s">
        <v>265</v>
      </c>
      <c r="B799" t="s">
        <v>277</v>
      </c>
      <c r="C799" t="s">
        <v>36</v>
      </c>
      <c r="D799" s="1">
        <v>3151</v>
      </c>
      <c r="E799">
        <v>0</v>
      </c>
      <c r="F799" s="1">
        <v>1192</v>
      </c>
      <c r="G799">
        <v>1</v>
      </c>
      <c r="H799">
        <v>244</v>
      </c>
      <c r="I799">
        <v>0</v>
      </c>
      <c r="J799">
        <v>1</v>
      </c>
      <c r="K799">
        <v>0</v>
      </c>
      <c r="L799">
        <v>3</v>
      </c>
      <c r="M799">
        <v>2</v>
      </c>
      <c r="N799">
        <v>104</v>
      </c>
      <c r="O799">
        <v>2</v>
      </c>
      <c r="P799">
        <v>56</v>
      </c>
      <c r="Q799">
        <v>16</v>
      </c>
      <c r="R799">
        <v>0</v>
      </c>
      <c r="S799">
        <v>0</v>
      </c>
      <c r="T799">
        <v>5</v>
      </c>
      <c r="U799">
        <v>12</v>
      </c>
      <c r="V799">
        <v>0</v>
      </c>
      <c r="W799">
        <v>110</v>
      </c>
      <c r="X799">
        <v>0</v>
      </c>
      <c r="Y799">
        <v>215</v>
      </c>
      <c r="Z799">
        <v>82</v>
      </c>
      <c r="AA799">
        <v>225</v>
      </c>
      <c r="AB799">
        <v>202</v>
      </c>
      <c r="AC799">
        <v>573</v>
      </c>
      <c r="AD799">
        <v>74</v>
      </c>
      <c r="AE799">
        <v>4</v>
      </c>
      <c r="AF799">
        <v>20</v>
      </c>
      <c r="AG799">
        <v>8</v>
      </c>
    </row>
    <row r="800" spans="1:33" x14ac:dyDescent="0.3">
      <c r="A800" t="s">
        <v>265</v>
      </c>
      <c r="B800" t="s">
        <v>278</v>
      </c>
      <c r="C800" t="s">
        <v>32</v>
      </c>
      <c r="D800" s="1">
        <v>5002</v>
      </c>
      <c r="E800">
        <v>0</v>
      </c>
      <c r="F800" s="1">
        <v>1585</v>
      </c>
      <c r="G800">
        <v>1</v>
      </c>
      <c r="H800" s="1">
        <v>1126</v>
      </c>
      <c r="I800">
        <v>0</v>
      </c>
      <c r="J800">
        <v>31</v>
      </c>
      <c r="K800">
        <v>0</v>
      </c>
      <c r="L800">
        <v>8</v>
      </c>
      <c r="M800">
        <v>2</v>
      </c>
      <c r="N800">
        <v>310</v>
      </c>
      <c r="O800">
        <v>7</v>
      </c>
      <c r="P800">
        <v>102</v>
      </c>
      <c r="Q800">
        <v>24</v>
      </c>
      <c r="R800">
        <v>0</v>
      </c>
      <c r="S800">
        <v>0</v>
      </c>
      <c r="T800">
        <v>3</v>
      </c>
      <c r="U800">
        <v>66</v>
      </c>
      <c r="V800">
        <v>1</v>
      </c>
      <c r="W800">
        <v>221</v>
      </c>
      <c r="X800">
        <v>0</v>
      </c>
      <c r="Y800">
        <v>240</v>
      </c>
      <c r="Z800">
        <v>91</v>
      </c>
      <c r="AA800">
        <v>164</v>
      </c>
      <c r="AB800">
        <v>243</v>
      </c>
      <c r="AC800">
        <v>588</v>
      </c>
      <c r="AD800">
        <v>134</v>
      </c>
      <c r="AE800">
        <v>5</v>
      </c>
      <c r="AF800">
        <v>34</v>
      </c>
      <c r="AG800">
        <v>16</v>
      </c>
    </row>
    <row r="801" spans="1:33" x14ac:dyDescent="0.3">
      <c r="A801" t="s">
        <v>265</v>
      </c>
      <c r="B801" t="s">
        <v>278</v>
      </c>
      <c r="C801" t="s">
        <v>35</v>
      </c>
      <c r="D801" s="1">
        <v>2437</v>
      </c>
      <c r="E801">
        <v>0</v>
      </c>
      <c r="F801">
        <v>826</v>
      </c>
      <c r="G801">
        <v>1</v>
      </c>
      <c r="H801">
        <v>668</v>
      </c>
      <c r="I801">
        <v>0</v>
      </c>
      <c r="J801">
        <v>5</v>
      </c>
      <c r="K801">
        <v>0</v>
      </c>
      <c r="L801">
        <v>5</v>
      </c>
      <c r="M801">
        <v>1</v>
      </c>
      <c r="N801">
        <v>152</v>
      </c>
      <c r="O801">
        <v>7</v>
      </c>
      <c r="P801">
        <v>29</v>
      </c>
      <c r="Q801">
        <v>18</v>
      </c>
      <c r="R801">
        <v>0</v>
      </c>
      <c r="S801">
        <v>0</v>
      </c>
      <c r="T801">
        <v>3</v>
      </c>
      <c r="U801">
        <v>57</v>
      </c>
      <c r="V801">
        <v>0</v>
      </c>
      <c r="W801">
        <v>176</v>
      </c>
      <c r="X801">
        <v>0</v>
      </c>
      <c r="Y801">
        <v>91</v>
      </c>
      <c r="Z801">
        <v>43</v>
      </c>
      <c r="AA801">
        <v>92</v>
      </c>
      <c r="AB801">
        <v>83</v>
      </c>
      <c r="AC801">
        <v>71</v>
      </c>
      <c r="AD801">
        <v>78</v>
      </c>
      <c r="AE801">
        <v>1</v>
      </c>
      <c r="AF801">
        <v>19</v>
      </c>
      <c r="AG801">
        <v>11</v>
      </c>
    </row>
    <row r="802" spans="1:33" x14ac:dyDescent="0.3">
      <c r="A802" t="s">
        <v>265</v>
      </c>
      <c r="B802" t="s">
        <v>278</v>
      </c>
      <c r="C802" t="s">
        <v>36</v>
      </c>
      <c r="D802" s="1">
        <v>2565</v>
      </c>
      <c r="E802">
        <v>0</v>
      </c>
      <c r="F802">
        <v>759</v>
      </c>
      <c r="G802">
        <v>0</v>
      </c>
      <c r="H802">
        <v>458</v>
      </c>
      <c r="I802">
        <v>0</v>
      </c>
      <c r="J802">
        <v>26</v>
      </c>
      <c r="K802">
        <v>0</v>
      </c>
      <c r="L802">
        <v>3</v>
      </c>
      <c r="M802">
        <v>1</v>
      </c>
      <c r="N802">
        <v>158</v>
      </c>
      <c r="O802">
        <v>0</v>
      </c>
      <c r="P802">
        <v>73</v>
      </c>
      <c r="Q802">
        <v>6</v>
      </c>
      <c r="R802">
        <v>0</v>
      </c>
      <c r="S802">
        <v>0</v>
      </c>
      <c r="T802">
        <v>0</v>
      </c>
      <c r="U802">
        <v>9</v>
      </c>
      <c r="V802">
        <v>1</v>
      </c>
      <c r="W802">
        <v>45</v>
      </c>
      <c r="X802">
        <v>0</v>
      </c>
      <c r="Y802">
        <v>149</v>
      </c>
      <c r="Z802">
        <v>48</v>
      </c>
      <c r="AA802">
        <v>72</v>
      </c>
      <c r="AB802">
        <v>160</v>
      </c>
      <c r="AC802">
        <v>517</v>
      </c>
      <c r="AD802">
        <v>56</v>
      </c>
      <c r="AE802">
        <v>4</v>
      </c>
      <c r="AF802">
        <v>15</v>
      </c>
      <c r="AG802">
        <v>5</v>
      </c>
    </row>
    <row r="803" spans="1:33" x14ac:dyDescent="0.3">
      <c r="A803" t="s">
        <v>265</v>
      </c>
      <c r="B803" t="s">
        <v>279</v>
      </c>
      <c r="C803" t="s">
        <v>32</v>
      </c>
      <c r="D803" s="1">
        <v>3783</v>
      </c>
      <c r="E803">
        <v>0</v>
      </c>
      <c r="F803">
        <v>182</v>
      </c>
      <c r="G803">
        <v>3</v>
      </c>
      <c r="H803">
        <v>331</v>
      </c>
      <c r="I803">
        <v>0</v>
      </c>
      <c r="J803">
        <v>2</v>
      </c>
      <c r="K803">
        <v>0</v>
      </c>
      <c r="L803">
        <v>6</v>
      </c>
      <c r="M803">
        <v>2</v>
      </c>
      <c r="N803">
        <v>66</v>
      </c>
      <c r="O803">
        <v>0</v>
      </c>
      <c r="P803">
        <v>17</v>
      </c>
      <c r="Q803">
        <v>4</v>
      </c>
      <c r="R803">
        <v>0</v>
      </c>
      <c r="S803">
        <v>0</v>
      </c>
      <c r="T803">
        <v>0</v>
      </c>
      <c r="U803">
        <v>227</v>
      </c>
      <c r="V803">
        <v>376</v>
      </c>
      <c r="W803" s="1">
        <v>1198</v>
      </c>
      <c r="X803">
        <v>0</v>
      </c>
      <c r="Y803">
        <v>194</v>
      </c>
      <c r="Z803">
        <v>172</v>
      </c>
      <c r="AA803">
        <v>205</v>
      </c>
      <c r="AB803">
        <v>155</v>
      </c>
      <c r="AC803">
        <v>419</v>
      </c>
      <c r="AD803">
        <v>133</v>
      </c>
      <c r="AE803">
        <v>0</v>
      </c>
      <c r="AF803">
        <v>60</v>
      </c>
      <c r="AG803">
        <v>31</v>
      </c>
    </row>
    <row r="804" spans="1:33" x14ac:dyDescent="0.3">
      <c r="A804" t="s">
        <v>265</v>
      </c>
      <c r="B804" t="s">
        <v>279</v>
      </c>
      <c r="C804" t="s">
        <v>35</v>
      </c>
      <c r="D804" s="1">
        <v>2450</v>
      </c>
      <c r="E804">
        <v>0</v>
      </c>
      <c r="F804">
        <v>96</v>
      </c>
      <c r="G804">
        <v>1</v>
      </c>
      <c r="H804">
        <v>211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45</v>
      </c>
      <c r="O804">
        <v>0</v>
      </c>
      <c r="P804">
        <v>3</v>
      </c>
      <c r="Q804">
        <v>2</v>
      </c>
      <c r="R804">
        <v>0</v>
      </c>
      <c r="S804">
        <v>0</v>
      </c>
      <c r="T804">
        <v>0</v>
      </c>
      <c r="U804">
        <v>225</v>
      </c>
      <c r="V804">
        <v>229</v>
      </c>
      <c r="W804" s="1">
        <v>1108</v>
      </c>
      <c r="X804">
        <v>0</v>
      </c>
      <c r="Y804">
        <v>76</v>
      </c>
      <c r="Z804">
        <v>115</v>
      </c>
      <c r="AA804">
        <v>49</v>
      </c>
      <c r="AB804">
        <v>40</v>
      </c>
      <c r="AC804">
        <v>75</v>
      </c>
      <c r="AD804">
        <v>112</v>
      </c>
      <c r="AE804">
        <v>0</v>
      </c>
      <c r="AF804">
        <v>39</v>
      </c>
      <c r="AG804">
        <v>22</v>
      </c>
    </row>
    <row r="805" spans="1:33" x14ac:dyDescent="0.3">
      <c r="A805" t="s">
        <v>265</v>
      </c>
      <c r="B805" t="s">
        <v>279</v>
      </c>
      <c r="C805" t="s">
        <v>36</v>
      </c>
      <c r="D805" s="1">
        <v>1333</v>
      </c>
      <c r="E805">
        <v>0</v>
      </c>
      <c r="F805">
        <v>86</v>
      </c>
      <c r="G805">
        <v>2</v>
      </c>
      <c r="H805">
        <v>120</v>
      </c>
      <c r="I805">
        <v>0</v>
      </c>
      <c r="J805">
        <v>2</v>
      </c>
      <c r="K805">
        <v>0</v>
      </c>
      <c r="L805">
        <v>5</v>
      </c>
      <c r="M805">
        <v>1</v>
      </c>
      <c r="N805">
        <v>21</v>
      </c>
      <c r="O805">
        <v>0</v>
      </c>
      <c r="P805">
        <v>14</v>
      </c>
      <c r="Q805">
        <v>2</v>
      </c>
      <c r="R805">
        <v>0</v>
      </c>
      <c r="S805">
        <v>0</v>
      </c>
      <c r="T805">
        <v>0</v>
      </c>
      <c r="U805">
        <v>2</v>
      </c>
      <c r="V805">
        <v>147</v>
      </c>
      <c r="W805">
        <v>90</v>
      </c>
      <c r="X805">
        <v>0</v>
      </c>
      <c r="Y805">
        <v>118</v>
      </c>
      <c r="Z805">
        <v>57</v>
      </c>
      <c r="AA805">
        <v>156</v>
      </c>
      <c r="AB805">
        <v>115</v>
      </c>
      <c r="AC805">
        <v>344</v>
      </c>
      <c r="AD805">
        <v>21</v>
      </c>
      <c r="AE805">
        <v>0</v>
      </c>
      <c r="AF805">
        <v>21</v>
      </c>
      <c r="AG805">
        <v>9</v>
      </c>
    </row>
    <row r="806" spans="1:33" x14ac:dyDescent="0.3">
      <c r="A806" t="s">
        <v>265</v>
      </c>
      <c r="B806" t="s">
        <v>280</v>
      </c>
      <c r="C806" t="s">
        <v>32</v>
      </c>
      <c r="D806">
        <v>620</v>
      </c>
      <c r="E806">
        <v>0</v>
      </c>
      <c r="F806">
        <v>2</v>
      </c>
      <c r="G806">
        <v>1</v>
      </c>
      <c r="H806">
        <v>0</v>
      </c>
      <c r="I806">
        <v>0</v>
      </c>
      <c r="J806">
        <v>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8</v>
      </c>
      <c r="Q806">
        <v>0</v>
      </c>
      <c r="R806">
        <v>0</v>
      </c>
      <c r="S806">
        <v>0</v>
      </c>
      <c r="T806">
        <v>0</v>
      </c>
      <c r="U806">
        <v>31</v>
      </c>
      <c r="V806">
        <v>221</v>
      </c>
      <c r="W806">
        <v>158</v>
      </c>
      <c r="X806">
        <v>0</v>
      </c>
      <c r="Y806">
        <v>40</v>
      </c>
      <c r="Z806">
        <v>7</v>
      </c>
      <c r="AA806">
        <v>15</v>
      </c>
      <c r="AB806">
        <v>28</v>
      </c>
      <c r="AC806">
        <v>99</v>
      </c>
      <c r="AD806">
        <v>5</v>
      </c>
      <c r="AE806">
        <v>0</v>
      </c>
      <c r="AF806">
        <v>0</v>
      </c>
      <c r="AG806">
        <v>0</v>
      </c>
    </row>
    <row r="807" spans="1:33" x14ac:dyDescent="0.3">
      <c r="A807" t="s">
        <v>265</v>
      </c>
      <c r="B807" t="s">
        <v>280</v>
      </c>
      <c r="C807" t="s">
        <v>35</v>
      </c>
      <c r="D807">
        <v>363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</v>
      </c>
      <c r="Q807">
        <v>0</v>
      </c>
      <c r="R807">
        <v>0</v>
      </c>
      <c r="S807">
        <v>0</v>
      </c>
      <c r="T807">
        <v>0</v>
      </c>
      <c r="U807">
        <v>26</v>
      </c>
      <c r="V807">
        <v>160</v>
      </c>
      <c r="W807">
        <v>131</v>
      </c>
      <c r="X807">
        <v>0</v>
      </c>
      <c r="Y807">
        <v>19</v>
      </c>
      <c r="Z807">
        <v>4</v>
      </c>
      <c r="AA807">
        <v>5</v>
      </c>
      <c r="AB807">
        <v>3</v>
      </c>
      <c r="AC807">
        <v>5</v>
      </c>
      <c r="AD807">
        <v>3</v>
      </c>
      <c r="AE807">
        <v>0</v>
      </c>
      <c r="AF807">
        <v>0</v>
      </c>
      <c r="AG807">
        <v>0</v>
      </c>
    </row>
    <row r="808" spans="1:33" x14ac:dyDescent="0.3">
      <c r="A808" t="s">
        <v>265</v>
      </c>
      <c r="B808" t="s">
        <v>280</v>
      </c>
      <c r="C808" t="s">
        <v>36</v>
      </c>
      <c r="D808">
        <v>257</v>
      </c>
      <c r="E808">
        <v>0</v>
      </c>
      <c r="F808">
        <v>2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6</v>
      </c>
      <c r="Q808">
        <v>0</v>
      </c>
      <c r="R808">
        <v>0</v>
      </c>
      <c r="S808">
        <v>0</v>
      </c>
      <c r="T808">
        <v>0</v>
      </c>
      <c r="U808">
        <v>5</v>
      </c>
      <c r="V808">
        <v>61</v>
      </c>
      <c r="W808">
        <v>27</v>
      </c>
      <c r="X808">
        <v>0</v>
      </c>
      <c r="Y808">
        <v>21</v>
      </c>
      <c r="Z808">
        <v>3</v>
      </c>
      <c r="AA808">
        <v>10</v>
      </c>
      <c r="AB808">
        <v>25</v>
      </c>
      <c r="AC808">
        <v>94</v>
      </c>
      <c r="AD808">
        <v>2</v>
      </c>
      <c r="AE808">
        <v>0</v>
      </c>
      <c r="AF808">
        <v>0</v>
      </c>
      <c r="AG80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2026-03-06T00:06:53Z</dcterms:created>
  <dcterms:modified xsi:type="dcterms:W3CDTF">2026-03-06T00:06:53Z</dcterms:modified>
</cp:coreProperties>
</file>