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13_ncr:1_{D33E7E45-0A39-4F88-958F-60FD00D6B942}" xr6:coauthVersionLast="47" xr6:coauthVersionMax="47" xr10:uidLastSave="{00000000-0000-0000-0000-000000000000}"/>
  <bookViews>
    <workbookView xWindow="29970" yWindow="330" windowWidth="23355" windowHeight="15150" xr2:uid="{00000000-000D-0000-FFFF-FFFF00000000}"/>
  </bookViews>
  <sheets>
    <sheet name="2025" sheetId="1" r:id="rId1"/>
  </sheets>
  <definedNames>
    <definedName name="_xlnm._FilterDatabase" localSheetId="0" hidden="1">'2025'!$A$1:$AG$603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7" i="1" l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D448" i="1"/>
  <c r="D447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D410" i="1"/>
  <c r="D409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D258" i="1"/>
  <c r="D257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D161" i="1"/>
  <c r="D16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D152" i="1"/>
  <c r="D151" i="1"/>
  <c r="E6" i="1"/>
  <c r="F6" i="1"/>
  <c r="F3" i="1" s="1"/>
  <c r="G6" i="1"/>
  <c r="G3" i="1" s="1"/>
  <c r="H6" i="1"/>
  <c r="I6" i="1"/>
  <c r="I3" i="1" s="1"/>
  <c r="J6" i="1"/>
  <c r="J3" i="1" s="1"/>
  <c r="K6" i="1"/>
  <c r="K3" i="1" s="1"/>
  <c r="L6" i="1"/>
  <c r="L3" i="1" s="1"/>
  <c r="M6" i="1"/>
  <c r="M3" i="1" s="1"/>
  <c r="N6" i="1"/>
  <c r="N3" i="1" s="1"/>
  <c r="O6" i="1"/>
  <c r="O3" i="1" s="1"/>
  <c r="P6" i="1"/>
  <c r="P3" i="1" s="1"/>
  <c r="Q6" i="1"/>
  <c r="Q3" i="1" s="1"/>
  <c r="R6" i="1"/>
  <c r="R3" i="1" s="1"/>
  <c r="S6" i="1"/>
  <c r="S3" i="1" s="1"/>
  <c r="T6" i="1"/>
  <c r="T3" i="1" s="1"/>
  <c r="U6" i="1"/>
  <c r="U3" i="1" s="1"/>
  <c r="V6" i="1"/>
  <c r="V3" i="1" s="1"/>
  <c r="W6" i="1"/>
  <c r="W3" i="1" s="1"/>
  <c r="X6" i="1"/>
  <c r="X3" i="1" s="1"/>
  <c r="Y6" i="1"/>
  <c r="Y3" i="1" s="1"/>
  <c r="Z6" i="1"/>
  <c r="Z3" i="1" s="1"/>
  <c r="AA6" i="1"/>
  <c r="AA3" i="1" s="1"/>
  <c r="AB6" i="1"/>
  <c r="AB3" i="1" s="1"/>
  <c r="AC6" i="1"/>
  <c r="AC3" i="1" s="1"/>
  <c r="AD6" i="1"/>
  <c r="AD3" i="1" s="1"/>
  <c r="AE6" i="1"/>
  <c r="AE3" i="1" s="1"/>
  <c r="AF6" i="1"/>
  <c r="AF3" i="1" s="1"/>
  <c r="AG6" i="1"/>
  <c r="AG3" i="1" s="1"/>
  <c r="E7" i="1"/>
  <c r="E4" i="1" s="1"/>
  <c r="F7" i="1"/>
  <c r="F4" i="1" s="1"/>
  <c r="G7" i="1"/>
  <c r="G4" i="1" s="1"/>
  <c r="H7" i="1"/>
  <c r="H4" i="1" s="1"/>
  <c r="I7" i="1"/>
  <c r="I4" i="1" s="1"/>
  <c r="J7" i="1"/>
  <c r="J4" i="1" s="1"/>
  <c r="K7" i="1"/>
  <c r="K4" i="1" s="1"/>
  <c r="L7" i="1"/>
  <c r="L4" i="1" s="1"/>
  <c r="M7" i="1"/>
  <c r="M4" i="1" s="1"/>
  <c r="N7" i="1"/>
  <c r="N4" i="1" s="1"/>
  <c r="O7" i="1"/>
  <c r="O4" i="1" s="1"/>
  <c r="P7" i="1"/>
  <c r="P4" i="1" s="1"/>
  <c r="Q7" i="1"/>
  <c r="Q4" i="1" s="1"/>
  <c r="R7" i="1"/>
  <c r="R4" i="1" s="1"/>
  <c r="S7" i="1"/>
  <c r="S4" i="1" s="1"/>
  <c r="T7" i="1"/>
  <c r="T4" i="1" s="1"/>
  <c r="U7" i="1"/>
  <c r="U4" i="1" s="1"/>
  <c r="V7" i="1"/>
  <c r="V4" i="1" s="1"/>
  <c r="W7" i="1"/>
  <c r="W4" i="1" s="1"/>
  <c r="X7" i="1"/>
  <c r="X4" i="1" s="1"/>
  <c r="Y7" i="1"/>
  <c r="Y4" i="1" s="1"/>
  <c r="Z7" i="1"/>
  <c r="Z4" i="1" s="1"/>
  <c r="AA7" i="1"/>
  <c r="AA4" i="1" s="1"/>
  <c r="AB7" i="1"/>
  <c r="AB4" i="1" s="1"/>
  <c r="AC7" i="1"/>
  <c r="AC4" i="1" s="1"/>
  <c r="AD7" i="1"/>
  <c r="AD4" i="1" s="1"/>
  <c r="AE7" i="1"/>
  <c r="AE4" i="1" s="1"/>
  <c r="AF7" i="1"/>
  <c r="AF4" i="1" s="1"/>
  <c r="AG7" i="1"/>
  <c r="AG4" i="1" s="1"/>
  <c r="D7" i="1"/>
  <c r="D4" i="1" s="1"/>
  <c r="D6" i="1"/>
  <c r="D3" i="1" s="1"/>
  <c r="H3" i="1" l="1"/>
  <c r="E3" i="1"/>
</calcChain>
</file>

<file path=xl/sharedStrings.xml><?xml version="1.0" encoding="utf-8"?>
<sst xmlns="http://schemas.openxmlformats.org/spreadsheetml/2006/main" count="1839" uniqueCount="239">
  <si>
    <t>대륙</t>
  </si>
  <si>
    <t>성별</t>
  </si>
  <si>
    <t>총합계</t>
  </si>
  <si>
    <t>D-1(문화예술)</t>
  </si>
  <si>
    <t>D-2(유학)</t>
  </si>
  <si>
    <t>D-3(기술연수)</t>
  </si>
  <si>
    <t>D-4(일반연수)</t>
  </si>
  <si>
    <t>D-5(취재)</t>
  </si>
  <si>
    <t>D-6(종교)</t>
  </si>
  <si>
    <t>D-7(주재)</t>
  </si>
  <si>
    <t>D-8(기업투자)</t>
  </si>
  <si>
    <t>D-9(무역경영)</t>
  </si>
  <si>
    <t>D-10(구직)</t>
  </si>
  <si>
    <t>E-1(교수)</t>
  </si>
  <si>
    <t>E-2(회화강사)</t>
  </si>
  <si>
    <t>E-3(연구)</t>
  </si>
  <si>
    <t>E-4(기술지도)</t>
  </si>
  <si>
    <t>E-5(전문직업)</t>
  </si>
  <si>
    <t>E-6(예술흥행)</t>
  </si>
  <si>
    <t>E-7(특정활동)</t>
  </si>
  <si>
    <t>E-9(비전문취업)</t>
  </si>
  <si>
    <t>E-10(선원취업)</t>
  </si>
  <si>
    <t>F-1(방문동거)</t>
  </si>
  <si>
    <t>F-2(거주)</t>
  </si>
  <si>
    <t>F-3(동반)</t>
  </si>
  <si>
    <t>F-5(영주)</t>
  </si>
  <si>
    <t>F-6(결혼이민)</t>
  </si>
  <si>
    <t>G-1(기타)</t>
  </si>
  <si>
    <t>H-1(관광취업)</t>
  </si>
  <si>
    <t>H-2(방문취업)</t>
  </si>
  <si>
    <t>총계</t>
  </si>
  <si>
    <t>아시아주</t>
  </si>
  <si>
    <t>베트남</t>
  </si>
  <si>
    <t>남성</t>
  </si>
  <si>
    <t>여성</t>
  </si>
  <si>
    <t>한국계중국인</t>
  </si>
  <si>
    <t>중국</t>
  </si>
  <si>
    <t>네팔</t>
  </si>
  <si>
    <t>우즈베키스탄</t>
  </si>
  <si>
    <t>캄보디아</t>
  </si>
  <si>
    <t>인도네시아</t>
  </si>
  <si>
    <t>미얀마</t>
  </si>
  <si>
    <t>필리핀</t>
  </si>
  <si>
    <t>타이</t>
  </si>
  <si>
    <t>몽골</t>
  </si>
  <si>
    <t>스리랑카</t>
  </si>
  <si>
    <t>방글라데시</t>
  </si>
  <si>
    <t>일본</t>
  </si>
  <si>
    <t>카자흐스탄</t>
  </si>
  <si>
    <t>파키스탄</t>
  </si>
  <si>
    <t>타이완</t>
  </si>
  <si>
    <t>인도</t>
  </si>
  <si>
    <t>라오스</t>
  </si>
  <si>
    <t>키르기즈</t>
  </si>
  <si>
    <t>말레이시아</t>
  </si>
  <si>
    <t>티모르민주공화국</t>
  </si>
  <si>
    <t>튀르키예</t>
  </si>
  <si>
    <t>홍콩</t>
  </si>
  <si>
    <t>타지키스탄</t>
  </si>
  <si>
    <t>시리아</t>
  </si>
  <si>
    <t>이란</t>
  </si>
  <si>
    <t>예멘공화국</t>
  </si>
  <si>
    <t>아프가니스탄</t>
  </si>
  <si>
    <t>싱가포르</t>
  </si>
  <si>
    <t>사우디아라비아</t>
  </si>
  <si>
    <t>투르크메니스탄</t>
  </si>
  <si>
    <t>요르단</t>
  </si>
  <si>
    <t>이라크</t>
  </si>
  <si>
    <t>이스라엘</t>
  </si>
  <si>
    <t>아랍에미리트연합</t>
  </si>
  <si>
    <t>마카오</t>
  </si>
  <si>
    <t>팔레스타인</t>
  </si>
  <si>
    <t>브루나이</t>
  </si>
  <si>
    <t>카타르</t>
  </si>
  <si>
    <t>레바논</t>
  </si>
  <si>
    <t>오만</t>
  </si>
  <si>
    <t>쿠웨이트</t>
  </si>
  <si>
    <t>부탄</t>
  </si>
  <si>
    <t>바레인</t>
  </si>
  <si>
    <t>키프로스</t>
  </si>
  <si>
    <t>몰디브</t>
  </si>
  <si>
    <t>홍콩거주난민</t>
  </si>
  <si>
    <t>북아메리카주</t>
  </si>
  <si>
    <t>미국</t>
  </si>
  <si>
    <t>캐나다</t>
  </si>
  <si>
    <t>남아메리카주</t>
  </si>
  <si>
    <t>브라질</t>
  </si>
  <si>
    <t>멕시코</t>
  </si>
  <si>
    <t>콜롬비아</t>
  </si>
  <si>
    <t>페루</t>
  </si>
  <si>
    <t>에콰도르</t>
  </si>
  <si>
    <t>칠레</t>
  </si>
  <si>
    <t>아르헨티나</t>
  </si>
  <si>
    <t>베네수엘라</t>
  </si>
  <si>
    <t>아이티</t>
  </si>
  <si>
    <t>도미니카공화국</t>
  </si>
  <si>
    <t>파라과이</t>
  </si>
  <si>
    <t>코스타리카</t>
  </si>
  <si>
    <t>파나마</t>
  </si>
  <si>
    <t>과테말라</t>
  </si>
  <si>
    <t>볼리비아</t>
  </si>
  <si>
    <t>엘살바도르</t>
  </si>
  <si>
    <t>온두라스</t>
  </si>
  <si>
    <t>쿠바</t>
  </si>
  <si>
    <t>우루과이</t>
  </si>
  <si>
    <t>니카라과</t>
  </si>
  <si>
    <t>트리니다드토바고</t>
  </si>
  <si>
    <t>자메이카</t>
  </si>
  <si>
    <t>도미니카연방</t>
  </si>
  <si>
    <t>가이아나</t>
  </si>
  <si>
    <t>세인트크리스토퍼네비스</t>
  </si>
  <si>
    <t>바하마</t>
  </si>
  <si>
    <t>그레나다</t>
  </si>
  <si>
    <t>세인트루시아</t>
  </si>
  <si>
    <t>바베이도스</t>
  </si>
  <si>
    <t>앤티카바부다</t>
  </si>
  <si>
    <t>벨리즈</t>
  </si>
  <si>
    <t>세인트빈센트그레나딘</t>
  </si>
  <si>
    <t>유럽주</t>
  </si>
  <si>
    <t>러시아(연방)</t>
  </si>
  <si>
    <t>프랑스</t>
  </si>
  <si>
    <t>영국</t>
  </si>
  <si>
    <t>독일</t>
  </si>
  <si>
    <t>한국계러시아인</t>
  </si>
  <si>
    <t>우크라이나</t>
  </si>
  <si>
    <t>이탈리아</t>
  </si>
  <si>
    <t>스페인</t>
  </si>
  <si>
    <t>네덜란드</t>
  </si>
  <si>
    <t>폴란드</t>
  </si>
  <si>
    <t>스웨덴</t>
  </si>
  <si>
    <t>아일랜드</t>
  </si>
  <si>
    <t>아제르바이잔</t>
  </si>
  <si>
    <t>벨기에</t>
  </si>
  <si>
    <t>덴마크</t>
  </si>
  <si>
    <t>스위스</t>
  </si>
  <si>
    <t>루마니아</t>
  </si>
  <si>
    <t>벨라루스</t>
  </si>
  <si>
    <t>노르웨이</t>
  </si>
  <si>
    <t>헝가리</t>
  </si>
  <si>
    <t>핀란드</t>
  </si>
  <si>
    <t>오스트리아</t>
  </si>
  <si>
    <t>포르투갈</t>
  </si>
  <si>
    <t>그리스</t>
  </si>
  <si>
    <t>체코</t>
  </si>
  <si>
    <t>리투아니아</t>
  </si>
  <si>
    <t>불가리아</t>
  </si>
  <si>
    <t>조지아</t>
  </si>
  <si>
    <t>슬로바크</t>
  </si>
  <si>
    <t>아르메니아</t>
  </si>
  <si>
    <t>크로아티아</t>
  </si>
  <si>
    <t>라트비아</t>
  </si>
  <si>
    <t>영국외지민</t>
  </si>
  <si>
    <t>세르비아</t>
  </si>
  <si>
    <t>몰도바</t>
  </si>
  <si>
    <t>룩셈부르크</t>
  </si>
  <si>
    <t>에스토니아</t>
  </si>
  <si>
    <t>슬로베니아</t>
  </si>
  <si>
    <t>알바니아</t>
  </si>
  <si>
    <t>보스니아-헤르체고비나</t>
  </si>
  <si>
    <t>북마케도니아</t>
  </si>
  <si>
    <t>몬테네그로</t>
  </si>
  <si>
    <t>아이슬란드</t>
  </si>
  <si>
    <t>몰타</t>
  </si>
  <si>
    <t>코소보</t>
  </si>
  <si>
    <t>영국해외영토시민</t>
  </si>
  <si>
    <t>안도라</t>
  </si>
  <si>
    <t>영국외지시민</t>
  </si>
  <si>
    <t>리히텐슈타인</t>
  </si>
  <si>
    <t>교황청</t>
  </si>
  <si>
    <t>모나코</t>
  </si>
  <si>
    <t>오세아니아주</t>
  </si>
  <si>
    <t>오스트레일리아</t>
  </si>
  <si>
    <t>뉴질랜드</t>
  </si>
  <si>
    <t>피지</t>
  </si>
  <si>
    <t>바누아투</t>
  </si>
  <si>
    <t>파푸아뉴기니</t>
  </si>
  <si>
    <t>솔로몬군도</t>
  </si>
  <si>
    <t>마샬군도</t>
  </si>
  <si>
    <t>키리바시</t>
  </si>
  <si>
    <t>통가</t>
  </si>
  <si>
    <t>미이크로네시아</t>
  </si>
  <si>
    <t>팔라우</t>
  </si>
  <si>
    <t>나우루</t>
  </si>
  <si>
    <t>아프리카주</t>
  </si>
  <si>
    <t>남아프리카공화국</t>
  </si>
  <si>
    <t>이집트</t>
  </si>
  <si>
    <t>나이지리아</t>
  </si>
  <si>
    <t>모로코</t>
  </si>
  <si>
    <t>에티오피아</t>
  </si>
  <si>
    <t>가나</t>
  </si>
  <si>
    <t>리비아</t>
  </si>
  <si>
    <t>카메룬</t>
  </si>
  <si>
    <t>르완다</t>
  </si>
  <si>
    <t>튀니지</t>
  </si>
  <si>
    <t>부룬디</t>
  </si>
  <si>
    <t>케냐</t>
  </si>
  <si>
    <t>탄자니아</t>
  </si>
  <si>
    <t>우간다</t>
  </si>
  <si>
    <t>알제리</t>
  </si>
  <si>
    <t>라이베리아</t>
  </si>
  <si>
    <t>콩고민주공화국</t>
  </si>
  <si>
    <t>수단</t>
  </si>
  <si>
    <t>세네갈</t>
  </si>
  <si>
    <t>기니</t>
  </si>
  <si>
    <t>말리</t>
  </si>
  <si>
    <t>코트디부아르</t>
  </si>
  <si>
    <t>짐바브웨</t>
  </si>
  <si>
    <t>감비아</t>
  </si>
  <si>
    <t>가봉</t>
  </si>
  <si>
    <t>시에라리온</t>
  </si>
  <si>
    <t>앙골라</t>
  </si>
  <si>
    <t>잠비아</t>
  </si>
  <si>
    <t>말라위</t>
  </si>
  <si>
    <t>부르키나파소</t>
  </si>
  <si>
    <t>마다가스카르</t>
  </si>
  <si>
    <t>모잠비크</t>
  </si>
  <si>
    <t>토고</t>
  </si>
  <si>
    <t>콩고</t>
  </si>
  <si>
    <t>남수단공화국</t>
  </si>
  <si>
    <t>보츠와나</t>
  </si>
  <si>
    <t>베냉</t>
  </si>
  <si>
    <t>소말리아</t>
  </si>
  <si>
    <t>모리타니</t>
  </si>
  <si>
    <t>중앙아프리카공화국</t>
  </si>
  <si>
    <t>레소토</t>
  </si>
  <si>
    <t>니제르</t>
  </si>
  <si>
    <t>적도기니</t>
  </si>
  <si>
    <t>에스와티니</t>
  </si>
  <si>
    <t>모리셔스</t>
  </si>
  <si>
    <t>기니비사우</t>
  </si>
  <si>
    <t>에리트레아</t>
  </si>
  <si>
    <t>차드</t>
  </si>
  <si>
    <t>코모로</t>
  </si>
  <si>
    <t>지부티</t>
  </si>
  <si>
    <t>나미비아</t>
  </si>
  <si>
    <t>기타</t>
  </si>
  <si>
    <t>E-8(계절근로)</t>
    <phoneticPr fontId="18" type="noConversion"/>
  </si>
  <si>
    <t>기타</t>
    <phoneticPr fontId="18" type="noConversion"/>
  </si>
  <si>
    <t>국적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</si>
</sst>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3"/>
  <sheetViews>
    <sheetView tabSelected="1" workbookViewId="0"/>
  </sheetViews>
  <sheetFormatPr defaultRowHeight="16.5" x14ac:dyDescent="0.3"/>
  <cols>
    <col min="3" max="3" width="9" style="2"/>
    <col min="4" max="33" width="11.625" customWidth="1"/>
  </cols>
  <sheetData>
    <row r="1" spans="1:33" s="3" customFormat="1" x14ac:dyDescent="0.3">
      <c r="A1" s="3" t="s">
        <v>0</v>
      </c>
      <c r="B1" s="3" t="s">
        <v>238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236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237</v>
      </c>
    </row>
    <row r="2" spans="1:33" x14ac:dyDescent="0.3">
      <c r="A2" t="s">
        <v>2</v>
      </c>
      <c r="B2" t="s">
        <v>30</v>
      </c>
      <c r="C2" s="2" t="s">
        <v>30</v>
      </c>
      <c r="D2" s="1">
        <v>1604920</v>
      </c>
      <c r="E2">
        <v>58</v>
      </c>
      <c r="F2" s="1">
        <v>219127</v>
      </c>
      <c r="G2">
        <v>931</v>
      </c>
      <c r="H2" s="1">
        <v>85238</v>
      </c>
      <c r="I2">
        <v>128</v>
      </c>
      <c r="J2" s="1">
        <v>1778</v>
      </c>
      <c r="K2" s="1">
        <v>1089</v>
      </c>
      <c r="L2" s="1">
        <v>8518</v>
      </c>
      <c r="M2" s="1">
        <v>2650</v>
      </c>
      <c r="N2" s="1">
        <v>21933</v>
      </c>
      <c r="O2" s="1">
        <v>1729</v>
      </c>
      <c r="P2" s="1">
        <v>12864</v>
      </c>
      <c r="Q2" s="1">
        <v>3365</v>
      </c>
      <c r="R2">
        <v>209</v>
      </c>
      <c r="S2">
        <v>221</v>
      </c>
      <c r="T2" s="1">
        <v>4224</v>
      </c>
      <c r="U2" s="1">
        <v>81723</v>
      </c>
      <c r="V2" s="1">
        <v>31609</v>
      </c>
      <c r="W2" s="1">
        <v>336713</v>
      </c>
      <c r="X2" s="1">
        <v>20920</v>
      </c>
      <c r="Y2" s="1">
        <v>73423</v>
      </c>
      <c r="Z2" s="1">
        <v>67842</v>
      </c>
      <c r="AA2" s="1">
        <v>74261</v>
      </c>
      <c r="AB2" s="1">
        <v>220788</v>
      </c>
      <c r="AC2" s="1">
        <v>153213</v>
      </c>
      <c r="AD2" s="1">
        <v>61380</v>
      </c>
      <c r="AE2" s="1">
        <v>3889</v>
      </c>
      <c r="AF2" s="1">
        <v>81082</v>
      </c>
      <c r="AG2" s="1">
        <v>34015</v>
      </c>
    </row>
    <row r="3" spans="1:33" x14ac:dyDescent="0.3">
      <c r="A3" t="s">
        <v>2</v>
      </c>
      <c r="B3" t="s">
        <v>30</v>
      </c>
      <c r="C3" s="2" t="s">
        <v>33</v>
      </c>
      <c r="D3" s="1">
        <f>D6+D151+D160+D257+D409+D447+D602</f>
        <v>934620</v>
      </c>
      <c r="E3" s="1">
        <f t="shared" ref="E3:AG3" si="0">E6+E151+E160+E257+E409+E447+E602</f>
        <v>32</v>
      </c>
      <c r="F3" s="1">
        <f t="shared" si="0"/>
        <v>101152</v>
      </c>
      <c r="G3" s="1">
        <f t="shared" si="0"/>
        <v>689</v>
      </c>
      <c r="H3" s="1">
        <f t="shared" si="0"/>
        <v>42324</v>
      </c>
      <c r="I3" s="1">
        <f t="shared" si="0"/>
        <v>87</v>
      </c>
      <c r="J3" s="1">
        <f t="shared" si="0"/>
        <v>989</v>
      </c>
      <c r="K3" s="1">
        <f t="shared" si="0"/>
        <v>908</v>
      </c>
      <c r="L3" s="1">
        <f t="shared" si="0"/>
        <v>7109</v>
      </c>
      <c r="M3" s="1">
        <f t="shared" si="0"/>
        <v>2250</v>
      </c>
      <c r="N3" s="1">
        <f t="shared" si="0"/>
        <v>9430</v>
      </c>
      <c r="O3" s="1">
        <f t="shared" si="0"/>
        <v>1256</v>
      </c>
      <c r="P3" s="1">
        <f t="shared" si="0"/>
        <v>3788</v>
      </c>
      <c r="Q3" s="1">
        <f t="shared" si="0"/>
        <v>2573</v>
      </c>
      <c r="R3" s="1">
        <f t="shared" si="0"/>
        <v>206</v>
      </c>
      <c r="S3" s="1">
        <f t="shared" si="0"/>
        <v>218</v>
      </c>
      <c r="T3" s="1">
        <f t="shared" si="0"/>
        <v>1493</v>
      </c>
      <c r="U3" s="1">
        <f t="shared" si="0"/>
        <v>71465</v>
      </c>
      <c r="V3" s="1">
        <f t="shared" si="0"/>
        <v>18686</v>
      </c>
      <c r="W3" s="1">
        <f t="shared" si="0"/>
        <v>304209</v>
      </c>
      <c r="X3" s="1">
        <f t="shared" si="0"/>
        <v>20912</v>
      </c>
      <c r="Y3" s="1">
        <f t="shared" si="0"/>
        <v>29189</v>
      </c>
      <c r="Z3" s="1">
        <f t="shared" si="0"/>
        <v>29335</v>
      </c>
      <c r="AA3" s="1">
        <f t="shared" si="0"/>
        <v>25589</v>
      </c>
      <c r="AB3" s="1">
        <f t="shared" si="0"/>
        <v>115986</v>
      </c>
      <c r="AC3" s="1">
        <f t="shared" si="0"/>
        <v>32297</v>
      </c>
      <c r="AD3" s="1">
        <f t="shared" si="0"/>
        <v>45277</v>
      </c>
      <c r="AE3" s="1">
        <f t="shared" si="0"/>
        <v>708</v>
      </c>
      <c r="AF3" s="1">
        <f t="shared" si="0"/>
        <v>45575</v>
      </c>
      <c r="AG3" s="1">
        <f t="shared" si="0"/>
        <v>20888</v>
      </c>
    </row>
    <row r="4" spans="1:33" x14ac:dyDescent="0.3">
      <c r="A4" t="s">
        <v>2</v>
      </c>
      <c r="B4" t="s">
        <v>30</v>
      </c>
      <c r="C4" s="2" t="s">
        <v>34</v>
      </c>
      <c r="D4" s="1">
        <f>D7+D152+D161+D258+D410+D448+D603</f>
        <v>670300</v>
      </c>
      <c r="E4" s="1">
        <f t="shared" ref="E4:AG4" si="1">E7+E152+E161+E258+E410+E448+E603</f>
        <v>26</v>
      </c>
      <c r="F4" s="1">
        <f t="shared" si="1"/>
        <v>117975</v>
      </c>
      <c r="G4" s="1">
        <f t="shared" si="1"/>
        <v>242</v>
      </c>
      <c r="H4" s="1">
        <f t="shared" si="1"/>
        <v>42914</v>
      </c>
      <c r="I4" s="1">
        <f t="shared" si="1"/>
        <v>41</v>
      </c>
      <c r="J4" s="1">
        <f t="shared" si="1"/>
        <v>789</v>
      </c>
      <c r="K4" s="1">
        <f t="shared" si="1"/>
        <v>181</v>
      </c>
      <c r="L4" s="1">
        <f t="shared" si="1"/>
        <v>1409</v>
      </c>
      <c r="M4" s="1">
        <f t="shared" si="1"/>
        <v>400</v>
      </c>
      <c r="N4" s="1">
        <f t="shared" si="1"/>
        <v>12503</v>
      </c>
      <c r="O4" s="1">
        <f t="shared" si="1"/>
        <v>473</v>
      </c>
      <c r="P4" s="1">
        <f t="shared" si="1"/>
        <v>9076</v>
      </c>
      <c r="Q4" s="1">
        <f t="shared" si="1"/>
        <v>792</v>
      </c>
      <c r="R4" s="1">
        <f t="shared" si="1"/>
        <v>3</v>
      </c>
      <c r="S4" s="1">
        <f t="shared" si="1"/>
        <v>3</v>
      </c>
      <c r="T4" s="1">
        <f t="shared" si="1"/>
        <v>2731</v>
      </c>
      <c r="U4" s="1">
        <f t="shared" si="1"/>
        <v>10258</v>
      </c>
      <c r="V4" s="1">
        <f t="shared" si="1"/>
        <v>12923</v>
      </c>
      <c r="W4" s="1">
        <f t="shared" si="1"/>
        <v>32504</v>
      </c>
      <c r="X4" s="1">
        <f t="shared" si="1"/>
        <v>8</v>
      </c>
      <c r="Y4" s="1">
        <f t="shared" si="1"/>
        <v>44234</v>
      </c>
      <c r="Z4" s="1">
        <f t="shared" si="1"/>
        <v>38507</v>
      </c>
      <c r="AA4" s="1">
        <f t="shared" si="1"/>
        <v>48672</v>
      </c>
      <c r="AB4" s="1">
        <f t="shared" si="1"/>
        <v>104802</v>
      </c>
      <c r="AC4" s="1">
        <f t="shared" si="1"/>
        <v>120916</v>
      </c>
      <c r="AD4" s="1">
        <f t="shared" si="1"/>
        <v>16103</v>
      </c>
      <c r="AE4" s="1">
        <f t="shared" si="1"/>
        <v>3181</v>
      </c>
      <c r="AF4" s="1">
        <f t="shared" si="1"/>
        <v>35507</v>
      </c>
      <c r="AG4" s="1">
        <f t="shared" si="1"/>
        <v>13127</v>
      </c>
    </row>
    <row r="5" spans="1:33" x14ac:dyDescent="0.3">
      <c r="A5" t="s">
        <v>31</v>
      </c>
      <c r="B5" t="s">
        <v>30</v>
      </c>
      <c r="C5" s="2" t="s">
        <v>30</v>
      </c>
      <c r="D5" s="1">
        <v>1476519</v>
      </c>
      <c r="E5">
        <v>38</v>
      </c>
      <c r="F5" s="1">
        <v>204724</v>
      </c>
      <c r="G5">
        <v>929</v>
      </c>
      <c r="H5" s="1">
        <v>81303</v>
      </c>
      <c r="I5">
        <v>73</v>
      </c>
      <c r="J5" s="1">
        <v>1067</v>
      </c>
      <c r="K5">
        <v>774</v>
      </c>
      <c r="L5" s="1">
        <v>6695</v>
      </c>
      <c r="M5" s="1">
        <v>1730</v>
      </c>
      <c r="N5" s="1">
        <v>20512</v>
      </c>
      <c r="O5">
        <v>791</v>
      </c>
      <c r="P5">
        <v>388</v>
      </c>
      <c r="Q5" s="1">
        <v>2861</v>
      </c>
      <c r="R5">
        <v>54</v>
      </c>
      <c r="S5">
        <v>68</v>
      </c>
      <c r="T5" s="1">
        <v>2818</v>
      </c>
      <c r="U5" s="1">
        <v>77743</v>
      </c>
      <c r="V5" s="1">
        <v>31609</v>
      </c>
      <c r="W5" s="1">
        <v>336631</v>
      </c>
      <c r="X5" s="1">
        <v>20920</v>
      </c>
      <c r="Y5" s="1">
        <v>67694</v>
      </c>
      <c r="Z5" s="1">
        <v>62943</v>
      </c>
      <c r="AA5" s="1">
        <v>65607</v>
      </c>
      <c r="AB5" s="1">
        <v>213116</v>
      </c>
      <c r="AC5" s="1">
        <v>135173</v>
      </c>
      <c r="AD5" s="1">
        <v>44979</v>
      </c>
      <c r="AE5" s="1">
        <v>2005</v>
      </c>
      <c r="AF5" s="1">
        <v>80795</v>
      </c>
      <c r="AG5" s="1">
        <v>12479</v>
      </c>
    </row>
    <row r="6" spans="1:33" x14ac:dyDescent="0.3">
      <c r="A6" t="s">
        <v>31</v>
      </c>
      <c r="B6" t="s">
        <v>30</v>
      </c>
      <c r="C6" s="2" t="s">
        <v>33</v>
      </c>
      <c r="D6" s="1">
        <f>D9+D12+D15+D18+D21+D24+D27+D30+D33+D36+D39+D42+D45+D48+D51+D54+D57+D60+D63+D66+D69+D72+D75+D78+D81+D84+D87+D90+D93+D96+D99+D102+D105+D108+D111+D114+D117+D120+D123+D126+D129+D132+D135+D138+D141+D144+D147</f>
        <v>867670</v>
      </c>
      <c r="E6" s="1">
        <f t="shared" ref="E6:AG6" si="2">E9+E12+E15+E18+E21+E24+E27+E30+E33+E36+E39+E42+E45+E48+E51+E54+E57+E60+E63+E66+E69+E72+E75+E78+E81+E84+E87+E90+E93+E96+E99+E102+E105+E108+E111+E114+E117+E120+E123+E126+E129+E132+E135+E138+E141+E144+E147</f>
        <v>23</v>
      </c>
      <c r="F6" s="1">
        <f t="shared" si="2"/>
        <v>95322</v>
      </c>
      <c r="G6" s="1">
        <f t="shared" si="2"/>
        <v>689</v>
      </c>
      <c r="H6" s="1">
        <f t="shared" si="2"/>
        <v>41300</v>
      </c>
      <c r="I6" s="1">
        <f t="shared" si="2"/>
        <v>50</v>
      </c>
      <c r="J6" s="1">
        <f t="shared" si="2"/>
        <v>549</v>
      </c>
      <c r="K6" s="1">
        <f t="shared" si="2"/>
        <v>624</v>
      </c>
      <c r="L6" s="1">
        <f t="shared" si="2"/>
        <v>5531</v>
      </c>
      <c r="M6" s="1">
        <f t="shared" si="2"/>
        <v>1387</v>
      </c>
      <c r="N6" s="1">
        <f t="shared" si="2"/>
        <v>8820</v>
      </c>
      <c r="O6" s="1">
        <f t="shared" si="2"/>
        <v>547</v>
      </c>
      <c r="P6" s="1">
        <f t="shared" si="2"/>
        <v>38</v>
      </c>
      <c r="Q6" s="1">
        <f t="shared" si="2"/>
        <v>2160</v>
      </c>
      <c r="R6" s="1">
        <f t="shared" si="2"/>
        <v>53</v>
      </c>
      <c r="S6" s="1">
        <f t="shared" si="2"/>
        <v>67</v>
      </c>
      <c r="T6" s="1">
        <f t="shared" si="2"/>
        <v>762</v>
      </c>
      <c r="U6" s="1">
        <f t="shared" si="2"/>
        <v>69143</v>
      </c>
      <c r="V6" s="1">
        <f t="shared" si="2"/>
        <v>18686</v>
      </c>
      <c r="W6" s="1">
        <f t="shared" si="2"/>
        <v>304142</v>
      </c>
      <c r="X6" s="1">
        <f t="shared" si="2"/>
        <v>20912</v>
      </c>
      <c r="Y6" s="1">
        <f t="shared" si="2"/>
        <v>26492</v>
      </c>
      <c r="Z6" s="1">
        <f t="shared" si="2"/>
        <v>26892</v>
      </c>
      <c r="AA6" s="1">
        <f t="shared" si="2"/>
        <v>21842</v>
      </c>
      <c r="AB6" s="1">
        <f t="shared" si="2"/>
        <v>111394</v>
      </c>
      <c r="AC6" s="1">
        <f t="shared" si="2"/>
        <v>23097</v>
      </c>
      <c r="AD6" s="1">
        <f t="shared" si="2"/>
        <v>33269</v>
      </c>
      <c r="AE6" s="1">
        <f t="shared" si="2"/>
        <v>205</v>
      </c>
      <c r="AF6" s="1">
        <f t="shared" si="2"/>
        <v>45448</v>
      </c>
      <c r="AG6" s="1">
        <f t="shared" si="2"/>
        <v>8226</v>
      </c>
    </row>
    <row r="7" spans="1:33" x14ac:dyDescent="0.3">
      <c r="A7" t="s">
        <v>31</v>
      </c>
      <c r="B7" t="s">
        <v>30</v>
      </c>
      <c r="C7" s="2" t="s">
        <v>34</v>
      </c>
      <c r="D7" s="1">
        <f>D10+D13+D16+D19+D22+D25+D28+D31+D34+D37+D40+D43+D46+D49+D52+D55+D58+D61+D64+D67+D70+D73+D76+D79+D82+D85+D88+D91+D94+D97+D100+D103+D106+D109+D112+D115+D118+D121+D124+D127+D130+D133+D136+D139+D142+D145+D149</f>
        <v>608849</v>
      </c>
      <c r="E7" s="1">
        <f t="shared" ref="E7:AG7" si="3">E10+E13+E16+E19+E22+E25+E28+E31+E34+E37+E40+E43+E46+E49+E52+E55+E58+E61+E64+E67+E70+E73+E76+E79+E82+E85+E88+E91+E94+E97+E100+E103+E106+E109+E112+E115+E118+E121+E124+E127+E130+E133+E136+E139+E142+E145+E149</f>
        <v>15</v>
      </c>
      <c r="F7" s="1">
        <f t="shared" si="3"/>
        <v>109402</v>
      </c>
      <c r="G7" s="1">
        <f t="shared" si="3"/>
        <v>240</v>
      </c>
      <c r="H7" s="1">
        <f t="shared" si="3"/>
        <v>40003</v>
      </c>
      <c r="I7" s="1">
        <f t="shared" si="3"/>
        <v>23</v>
      </c>
      <c r="J7" s="1">
        <f t="shared" si="3"/>
        <v>518</v>
      </c>
      <c r="K7" s="1">
        <f t="shared" si="3"/>
        <v>150</v>
      </c>
      <c r="L7" s="1">
        <f t="shared" si="3"/>
        <v>1164</v>
      </c>
      <c r="M7" s="1">
        <f t="shared" si="3"/>
        <v>343</v>
      </c>
      <c r="N7" s="1">
        <f t="shared" si="3"/>
        <v>11692</v>
      </c>
      <c r="O7" s="1">
        <f t="shared" si="3"/>
        <v>244</v>
      </c>
      <c r="P7" s="1">
        <f t="shared" si="3"/>
        <v>350</v>
      </c>
      <c r="Q7" s="1">
        <f t="shared" si="3"/>
        <v>701</v>
      </c>
      <c r="R7" s="1">
        <f t="shared" si="3"/>
        <v>1</v>
      </c>
      <c r="S7" s="1">
        <f t="shared" si="3"/>
        <v>1</v>
      </c>
      <c r="T7" s="1">
        <f t="shared" si="3"/>
        <v>2056</v>
      </c>
      <c r="U7" s="1">
        <f t="shared" si="3"/>
        <v>8600</v>
      </c>
      <c r="V7" s="1">
        <f t="shared" si="3"/>
        <v>12923</v>
      </c>
      <c r="W7" s="1">
        <f t="shared" si="3"/>
        <v>32489</v>
      </c>
      <c r="X7" s="1">
        <f t="shared" si="3"/>
        <v>8</v>
      </c>
      <c r="Y7" s="1">
        <f t="shared" si="3"/>
        <v>41202</v>
      </c>
      <c r="Z7" s="1">
        <f t="shared" si="3"/>
        <v>36051</v>
      </c>
      <c r="AA7" s="1">
        <f t="shared" si="3"/>
        <v>43765</v>
      </c>
      <c r="AB7" s="1">
        <f t="shared" si="3"/>
        <v>101722</v>
      </c>
      <c r="AC7" s="1">
        <f t="shared" si="3"/>
        <v>112076</v>
      </c>
      <c r="AD7" s="1">
        <f t="shared" si="3"/>
        <v>11710</v>
      </c>
      <c r="AE7" s="1">
        <f t="shared" si="3"/>
        <v>1800</v>
      </c>
      <c r="AF7" s="1">
        <f t="shared" si="3"/>
        <v>35347</v>
      </c>
      <c r="AG7" s="1">
        <f t="shared" si="3"/>
        <v>4253</v>
      </c>
    </row>
    <row r="8" spans="1:33" x14ac:dyDescent="0.3">
      <c r="A8" t="s">
        <v>31</v>
      </c>
      <c r="B8" t="s">
        <v>32</v>
      </c>
      <c r="C8" s="2" t="s">
        <v>30</v>
      </c>
      <c r="D8" s="1">
        <v>293907</v>
      </c>
      <c r="E8">
        <v>17</v>
      </c>
      <c r="F8" s="1">
        <v>56395</v>
      </c>
      <c r="G8">
        <v>183</v>
      </c>
      <c r="H8" s="1">
        <v>54990</v>
      </c>
      <c r="I8">
        <v>2</v>
      </c>
      <c r="J8">
        <v>209</v>
      </c>
      <c r="K8">
        <v>23</v>
      </c>
      <c r="L8">
        <v>454</v>
      </c>
      <c r="M8">
        <v>135</v>
      </c>
      <c r="N8" s="1">
        <v>10218</v>
      </c>
      <c r="O8">
        <v>38</v>
      </c>
      <c r="P8">
        <v>4</v>
      </c>
      <c r="Q8">
        <v>278</v>
      </c>
      <c r="R8">
        <v>0</v>
      </c>
      <c r="S8">
        <v>0</v>
      </c>
      <c r="T8">
        <v>21</v>
      </c>
      <c r="U8" s="1">
        <v>14995</v>
      </c>
      <c r="V8" s="1">
        <v>17393</v>
      </c>
      <c r="W8" s="1">
        <v>42445</v>
      </c>
      <c r="X8" s="1">
        <v>9189</v>
      </c>
      <c r="Y8" s="1">
        <v>26439</v>
      </c>
      <c r="Z8" s="1">
        <v>6828</v>
      </c>
      <c r="AA8" s="1">
        <v>5969</v>
      </c>
      <c r="AB8" s="1">
        <v>2836</v>
      </c>
      <c r="AC8" s="1">
        <v>41473</v>
      </c>
      <c r="AD8" s="1">
        <v>1654</v>
      </c>
      <c r="AE8" s="1">
        <v>0</v>
      </c>
      <c r="AF8" s="1">
        <v>0</v>
      </c>
      <c r="AG8" s="1">
        <v>1719</v>
      </c>
    </row>
    <row r="9" spans="1:33" x14ac:dyDescent="0.3">
      <c r="A9" t="s">
        <v>31</v>
      </c>
      <c r="B9" t="s">
        <v>32</v>
      </c>
      <c r="C9" s="2" t="s">
        <v>33</v>
      </c>
      <c r="D9" s="1">
        <v>154256</v>
      </c>
      <c r="E9">
        <v>15</v>
      </c>
      <c r="F9" s="1">
        <v>24477</v>
      </c>
      <c r="G9">
        <v>129</v>
      </c>
      <c r="H9" s="1">
        <v>29615</v>
      </c>
      <c r="I9">
        <v>2</v>
      </c>
      <c r="J9">
        <v>58</v>
      </c>
      <c r="K9">
        <v>22</v>
      </c>
      <c r="L9">
        <v>287</v>
      </c>
      <c r="M9">
        <v>60</v>
      </c>
      <c r="N9" s="1">
        <v>4020</v>
      </c>
      <c r="O9">
        <v>27</v>
      </c>
      <c r="P9">
        <v>0</v>
      </c>
      <c r="Q9">
        <v>189</v>
      </c>
      <c r="R9">
        <v>0</v>
      </c>
      <c r="S9">
        <v>0</v>
      </c>
      <c r="T9">
        <v>15</v>
      </c>
      <c r="U9" s="1">
        <v>13909</v>
      </c>
      <c r="V9" s="1">
        <v>10022</v>
      </c>
      <c r="W9" s="1">
        <v>38016</v>
      </c>
      <c r="X9" s="1">
        <v>9189</v>
      </c>
      <c r="Y9" s="1">
        <v>10139</v>
      </c>
      <c r="Z9" s="1">
        <v>3483</v>
      </c>
      <c r="AA9" s="1">
        <v>1948</v>
      </c>
      <c r="AB9" s="1">
        <v>1007</v>
      </c>
      <c r="AC9" s="1">
        <v>5538</v>
      </c>
      <c r="AD9">
        <v>966</v>
      </c>
      <c r="AE9" s="1">
        <v>0</v>
      </c>
      <c r="AF9" s="1">
        <v>0</v>
      </c>
      <c r="AG9" s="1">
        <v>1123</v>
      </c>
    </row>
    <row r="10" spans="1:33" x14ac:dyDescent="0.3">
      <c r="A10" t="s">
        <v>31</v>
      </c>
      <c r="B10" t="s">
        <v>32</v>
      </c>
      <c r="C10" s="2" t="s">
        <v>34</v>
      </c>
      <c r="D10" s="1">
        <v>139651</v>
      </c>
      <c r="E10">
        <v>2</v>
      </c>
      <c r="F10" s="1">
        <v>31918</v>
      </c>
      <c r="G10">
        <v>54</v>
      </c>
      <c r="H10" s="1">
        <v>25375</v>
      </c>
      <c r="I10">
        <v>0</v>
      </c>
      <c r="J10">
        <v>151</v>
      </c>
      <c r="K10">
        <v>1</v>
      </c>
      <c r="L10">
        <v>167</v>
      </c>
      <c r="M10">
        <v>75</v>
      </c>
      <c r="N10" s="1">
        <v>6198</v>
      </c>
      <c r="O10">
        <v>11</v>
      </c>
      <c r="P10">
        <v>4</v>
      </c>
      <c r="Q10">
        <v>89</v>
      </c>
      <c r="R10">
        <v>0</v>
      </c>
      <c r="S10">
        <v>0</v>
      </c>
      <c r="T10">
        <v>6</v>
      </c>
      <c r="U10" s="1">
        <v>1086</v>
      </c>
      <c r="V10" s="1">
        <v>7371</v>
      </c>
      <c r="W10" s="1">
        <v>4429</v>
      </c>
      <c r="X10" s="1">
        <v>0</v>
      </c>
      <c r="Y10" s="1">
        <v>16300</v>
      </c>
      <c r="Z10" s="1">
        <v>3345</v>
      </c>
      <c r="AA10" s="1">
        <v>4021</v>
      </c>
      <c r="AB10" s="1">
        <v>1829</v>
      </c>
      <c r="AC10" s="1">
        <v>35935</v>
      </c>
      <c r="AD10">
        <v>688</v>
      </c>
      <c r="AE10" s="1">
        <v>0</v>
      </c>
      <c r="AF10" s="1">
        <v>0</v>
      </c>
      <c r="AG10">
        <v>596</v>
      </c>
    </row>
    <row r="11" spans="1:33" x14ac:dyDescent="0.3">
      <c r="A11" t="s">
        <v>31</v>
      </c>
      <c r="B11" t="s">
        <v>35</v>
      </c>
      <c r="C11" s="2" t="s">
        <v>30</v>
      </c>
      <c r="D11" s="1">
        <v>251037</v>
      </c>
      <c r="E11">
        <v>1</v>
      </c>
      <c r="F11">
        <v>150</v>
      </c>
      <c r="G11">
        <v>110</v>
      </c>
      <c r="H11">
        <v>30</v>
      </c>
      <c r="I11">
        <v>0</v>
      </c>
      <c r="J11">
        <v>0</v>
      </c>
      <c r="K11">
        <v>1</v>
      </c>
      <c r="L11">
        <v>20</v>
      </c>
      <c r="M11">
        <v>0</v>
      </c>
      <c r="N11">
        <v>1</v>
      </c>
      <c r="O11">
        <v>2</v>
      </c>
      <c r="P11">
        <v>0</v>
      </c>
      <c r="Q11">
        <v>3</v>
      </c>
      <c r="R11">
        <v>0</v>
      </c>
      <c r="S11">
        <v>0</v>
      </c>
      <c r="T11">
        <v>0</v>
      </c>
      <c r="U11">
        <v>8</v>
      </c>
      <c r="V11" s="1">
        <v>0</v>
      </c>
      <c r="W11">
        <v>487</v>
      </c>
      <c r="X11">
        <v>1</v>
      </c>
      <c r="Y11" s="1">
        <v>4342</v>
      </c>
      <c r="Z11" s="1">
        <v>13256</v>
      </c>
      <c r="AA11" s="1">
        <v>1994</v>
      </c>
      <c r="AB11" s="1">
        <v>144455</v>
      </c>
      <c r="AC11" s="1">
        <v>15293</v>
      </c>
      <c r="AD11">
        <v>107</v>
      </c>
      <c r="AE11" s="1">
        <v>0</v>
      </c>
      <c r="AF11" s="1">
        <v>70569</v>
      </c>
      <c r="AG11">
        <v>207</v>
      </c>
    </row>
    <row r="12" spans="1:33" x14ac:dyDescent="0.3">
      <c r="A12" t="s">
        <v>31</v>
      </c>
      <c r="B12" t="s">
        <v>35</v>
      </c>
      <c r="C12" s="2" t="s">
        <v>33</v>
      </c>
      <c r="D12" s="1">
        <v>141975</v>
      </c>
      <c r="E12">
        <v>0</v>
      </c>
      <c r="F12">
        <v>72</v>
      </c>
      <c r="G12">
        <v>64</v>
      </c>
      <c r="H12">
        <v>16</v>
      </c>
      <c r="I12">
        <v>0</v>
      </c>
      <c r="J12">
        <v>0</v>
      </c>
      <c r="K12">
        <v>0</v>
      </c>
      <c r="L12">
        <v>16</v>
      </c>
      <c r="M12">
        <v>0</v>
      </c>
      <c r="N12" s="1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5</v>
      </c>
      <c r="V12" s="1">
        <v>0</v>
      </c>
      <c r="W12">
        <v>279</v>
      </c>
      <c r="X12">
        <v>1</v>
      </c>
      <c r="Y12" s="1">
        <v>1967</v>
      </c>
      <c r="Z12" s="1">
        <v>5778</v>
      </c>
      <c r="AA12">
        <v>972</v>
      </c>
      <c r="AB12" s="1">
        <v>85999</v>
      </c>
      <c r="AC12" s="1">
        <v>6648</v>
      </c>
      <c r="AD12">
        <v>72</v>
      </c>
      <c r="AE12" s="1">
        <v>0</v>
      </c>
      <c r="AF12" s="1">
        <v>39916</v>
      </c>
      <c r="AG12">
        <v>168</v>
      </c>
    </row>
    <row r="13" spans="1:33" x14ac:dyDescent="0.3">
      <c r="A13" t="s">
        <v>31</v>
      </c>
      <c r="B13" t="s">
        <v>35</v>
      </c>
      <c r="C13" s="2" t="s">
        <v>34</v>
      </c>
      <c r="D13" s="1">
        <v>109062</v>
      </c>
      <c r="E13">
        <v>1</v>
      </c>
      <c r="F13">
        <v>78</v>
      </c>
      <c r="G13">
        <v>46</v>
      </c>
      <c r="H13">
        <v>14</v>
      </c>
      <c r="I13">
        <v>0</v>
      </c>
      <c r="J13">
        <v>0</v>
      </c>
      <c r="K13">
        <v>1</v>
      </c>
      <c r="L13">
        <v>4</v>
      </c>
      <c r="M13">
        <v>0</v>
      </c>
      <c r="N13">
        <v>1</v>
      </c>
      <c r="O13">
        <v>1</v>
      </c>
      <c r="P13">
        <v>0</v>
      </c>
      <c r="Q13">
        <v>2</v>
      </c>
      <c r="R13">
        <v>0</v>
      </c>
      <c r="S13">
        <v>0</v>
      </c>
      <c r="T13">
        <v>0</v>
      </c>
      <c r="U13">
        <v>3</v>
      </c>
      <c r="V13" s="1">
        <v>0</v>
      </c>
      <c r="W13">
        <v>208</v>
      </c>
      <c r="X13" s="1">
        <v>0</v>
      </c>
      <c r="Y13" s="1">
        <v>2375</v>
      </c>
      <c r="Z13" s="1">
        <v>7478</v>
      </c>
      <c r="AA13" s="1">
        <v>1022</v>
      </c>
      <c r="AB13" s="1">
        <v>58456</v>
      </c>
      <c r="AC13" s="1">
        <v>8645</v>
      </c>
      <c r="AD13">
        <v>35</v>
      </c>
      <c r="AE13" s="1">
        <v>0</v>
      </c>
      <c r="AF13" s="1">
        <v>30653</v>
      </c>
      <c r="AG13">
        <v>39</v>
      </c>
    </row>
    <row r="14" spans="1:33" x14ac:dyDescent="0.3">
      <c r="A14" t="s">
        <v>31</v>
      </c>
      <c r="B14" t="s">
        <v>36</v>
      </c>
      <c r="C14" s="2" t="s">
        <v>30</v>
      </c>
      <c r="D14" s="1">
        <v>226628</v>
      </c>
      <c r="E14">
        <v>5</v>
      </c>
      <c r="F14" s="1">
        <v>72531</v>
      </c>
      <c r="G14">
        <v>333</v>
      </c>
      <c r="H14" s="1">
        <v>5863</v>
      </c>
      <c r="I14">
        <v>21</v>
      </c>
      <c r="J14">
        <v>41</v>
      </c>
      <c r="K14">
        <v>335</v>
      </c>
      <c r="L14" s="1">
        <v>2106</v>
      </c>
      <c r="M14">
        <v>477</v>
      </c>
      <c r="N14" s="1">
        <v>3369</v>
      </c>
      <c r="O14">
        <v>129</v>
      </c>
      <c r="P14">
        <v>236</v>
      </c>
      <c r="Q14">
        <v>380</v>
      </c>
      <c r="R14">
        <v>0</v>
      </c>
      <c r="S14">
        <v>0</v>
      </c>
      <c r="T14">
        <v>210</v>
      </c>
      <c r="U14" s="1">
        <v>9740</v>
      </c>
      <c r="V14">
        <v>87</v>
      </c>
      <c r="W14" s="1">
        <v>1997</v>
      </c>
      <c r="X14">
        <v>940</v>
      </c>
      <c r="Y14" s="1">
        <v>17975</v>
      </c>
      <c r="Z14" s="1">
        <v>26333</v>
      </c>
      <c r="AA14" s="1">
        <v>13388</v>
      </c>
      <c r="AB14" s="1">
        <v>38668</v>
      </c>
      <c r="AC14" s="1">
        <v>26636</v>
      </c>
      <c r="AD14" s="1">
        <v>3698</v>
      </c>
      <c r="AE14" s="1">
        <v>0</v>
      </c>
      <c r="AF14">
        <v>2</v>
      </c>
      <c r="AG14" s="1">
        <v>1128</v>
      </c>
    </row>
    <row r="15" spans="1:33" x14ac:dyDescent="0.3">
      <c r="A15" t="s">
        <v>31</v>
      </c>
      <c r="B15" t="s">
        <v>36</v>
      </c>
      <c r="C15" s="2" t="s">
        <v>33</v>
      </c>
      <c r="D15" s="1">
        <v>87615</v>
      </c>
      <c r="E15">
        <v>3</v>
      </c>
      <c r="F15" s="1">
        <v>30182</v>
      </c>
      <c r="G15">
        <v>255</v>
      </c>
      <c r="H15" s="1">
        <v>2385</v>
      </c>
      <c r="I15">
        <v>11</v>
      </c>
      <c r="J15">
        <v>8</v>
      </c>
      <c r="K15">
        <v>250</v>
      </c>
      <c r="L15" s="1">
        <v>1587</v>
      </c>
      <c r="M15">
        <v>425</v>
      </c>
      <c r="N15" s="1">
        <v>1086</v>
      </c>
      <c r="O15">
        <v>70</v>
      </c>
      <c r="P15">
        <v>12</v>
      </c>
      <c r="Q15">
        <v>266</v>
      </c>
      <c r="R15">
        <v>0</v>
      </c>
      <c r="S15">
        <v>0</v>
      </c>
      <c r="T15">
        <v>119</v>
      </c>
      <c r="U15" s="1">
        <v>6126</v>
      </c>
      <c r="V15">
        <v>52</v>
      </c>
      <c r="W15" s="1">
        <v>1725</v>
      </c>
      <c r="X15">
        <v>940</v>
      </c>
      <c r="Y15" s="1">
        <v>7018</v>
      </c>
      <c r="Z15" s="1">
        <v>9043</v>
      </c>
      <c r="AA15" s="1">
        <v>4719</v>
      </c>
      <c r="AB15" s="1">
        <v>13688</v>
      </c>
      <c r="AC15" s="1">
        <v>5066</v>
      </c>
      <c r="AD15" s="1">
        <v>1997</v>
      </c>
      <c r="AE15" s="1">
        <v>0</v>
      </c>
      <c r="AF15">
        <v>2</v>
      </c>
      <c r="AG15">
        <v>580</v>
      </c>
    </row>
    <row r="16" spans="1:33" x14ac:dyDescent="0.3">
      <c r="A16" t="s">
        <v>31</v>
      </c>
      <c r="B16" t="s">
        <v>36</v>
      </c>
      <c r="C16" s="2" t="s">
        <v>34</v>
      </c>
      <c r="D16" s="1">
        <v>139013</v>
      </c>
      <c r="E16">
        <v>2</v>
      </c>
      <c r="F16" s="1">
        <v>42349</v>
      </c>
      <c r="G16">
        <v>78</v>
      </c>
      <c r="H16" s="1">
        <v>3478</v>
      </c>
      <c r="I16">
        <v>10</v>
      </c>
      <c r="J16">
        <v>33</v>
      </c>
      <c r="K16">
        <v>85</v>
      </c>
      <c r="L16">
        <v>519</v>
      </c>
      <c r="M16">
        <v>52</v>
      </c>
      <c r="N16" s="1">
        <v>2283</v>
      </c>
      <c r="O16">
        <v>59</v>
      </c>
      <c r="P16">
        <v>224</v>
      </c>
      <c r="Q16">
        <v>114</v>
      </c>
      <c r="R16">
        <v>0</v>
      </c>
      <c r="S16">
        <v>0</v>
      </c>
      <c r="T16">
        <v>91</v>
      </c>
      <c r="U16" s="1">
        <v>3614</v>
      </c>
      <c r="V16">
        <v>35</v>
      </c>
      <c r="W16">
        <v>272</v>
      </c>
      <c r="X16">
        <v>0</v>
      </c>
      <c r="Y16" s="1">
        <v>10957</v>
      </c>
      <c r="Z16" s="1">
        <v>17290</v>
      </c>
      <c r="AA16" s="1">
        <v>8669</v>
      </c>
      <c r="AB16" s="1">
        <v>24980</v>
      </c>
      <c r="AC16" s="1">
        <v>21570</v>
      </c>
      <c r="AD16" s="1">
        <v>1701</v>
      </c>
      <c r="AE16" s="1">
        <v>0</v>
      </c>
      <c r="AF16" s="1">
        <v>0</v>
      </c>
      <c r="AG16">
        <v>548</v>
      </c>
    </row>
    <row r="17" spans="1:33" x14ac:dyDescent="0.3">
      <c r="A17" t="s">
        <v>31</v>
      </c>
      <c r="B17" t="s">
        <v>37</v>
      </c>
      <c r="C17" s="2" t="s">
        <v>30</v>
      </c>
      <c r="D17" s="1">
        <v>89521</v>
      </c>
      <c r="E17">
        <v>0</v>
      </c>
      <c r="F17" s="1">
        <v>15577</v>
      </c>
      <c r="G17">
        <v>1</v>
      </c>
      <c r="H17">
        <v>896</v>
      </c>
      <c r="I17">
        <v>0</v>
      </c>
      <c r="J17">
        <v>102</v>
      </c>
      <c r="K17">
        <v>0</v>
      </c>
      <c r="L17">
        <v>81</v>
      </c>
      <c r="M17">
        <v>22</v>
      </c>
      <c r="N17">
        <v>386</v>
      </c>
      <c r="O17">
        <v>15</v>
      </c>
      <c r="P17">
        <v>0</v>
      </c>
      <c r="Q17">
        <v>69</v>
      </c>
      <c r="R17">
        <v>0</v>
      </c>
      <c r="S17">
        <v>0</v>
      </c>
      <c r="T17">
        <v>1</v>
      </c>
      <c r="U17" s="1">
        <v>11329</v>
      </c>
      <c r="V17">
        <v>501</v>
      </c>
      <c r="W17" s="1">
        <v>50193</v>
      </c>
      <c r="X17">
        <v>0</v>
      </c>
      <c r="Y17">
        <v>392</v>
      </c>
      <c r="Z17" s="1">
        <v>1159</v>
      </c>
      <c r="AA17" s="1">
        <v>6266</v>
      </c>
      <c r="AB17">
        <v>257</v>
      </c>
      <c r="AC17">
        <v>728</v>
      </c>
      <c r="AD17">
        <v>728</v>
      </c>
      <c r="AE17" s="1">
        <v>0</v>
      </c>
      <c r="AF17" s="1">
        <v>0</v>
      </c>
      <c r="AG17">
        <v>818</v>
      </c>
    </row>
    <row r="18" spans="1:33" x14ac:dyDescent="0.3">
      <c r="A18" t="s">
        <v>31</v>
      </c>
      <c r="B18" t="s">
        <v>37</v>
      </c>
      <c r="C18" s="2" t="s">
        <v>33</v>
      </c>
      <c r="D18" s="1">
        <v>70906</v>
      </c>
      <c r="E18">
        <v>0</v>
      </c>
      <c r="F18" s="1">
        <v>9295</v>
      </c>
      <c r="G18">
        <v>1</v>
      </c>
      <c r="H18">
        <v>448</v>
      </c>
      <c r="I18">
        <v>0</v>
      </c>
      <c r="J18">
        <v>78</v>
      </c>
      <c r="K18">
        <v>0</v>
      </c>
      <c r="L18">
        <v>70</v>
      </c>
      <c r="M18">
        <v>17</v>
      </c>
      <c r="N18">
        <v>258</v>
      </c>
      <c r="O18">
        <v>13</v>
      </c>
      <c r="P18">
        <v>0</v>
      </c>
      <c r="Q18">
        <v>57</v>
      </c>
      <c r="R18">
        <v>0</v>
      </c>
      <c r="S18">
        <v>0</v>
      </c>
      <c r="T18">
        <v>0</v>
      </c>
      <c r="U18" s="1">
        <v>11031</v>
      </c>
      <c r="V18">
        <v>376</v>
      </c>
      <c r="W18" s="1">
        <v>45654</v>
      </c>
      <c r="X18">
        <v>0</v>
      </c>
      <c r="Y18">
        <v>130</v>
      </c>
      <c r="Z18">
        <v>872</v>
      </c>
      <c r="AA18">
        <v>968</v>
      </c>
      <c r="AB18">
        <v>171</v>
      </c>
      <c r="AC18">
        <v>201</v>
      </c>
      <c r="AD18">
        <v>588</v>
      </c>
      <c r="AE18" s="1">
        <v>0</v>
      </c>
      <c r="AF18" s="1">
        <v>0</v>
      </c>
      <c r="AG18">
        <v>678</v>
      </c>
    </row>
    <row r="19" spans="1:33" x14ac:dyDescent="0.3">
      <c r="A19" t="s">
        <v>31</v>
      </c>
      <c r="B19" t="s">
        <v>37</v>
      </c>
      <c r="C19" s="2" t="s">
        <v>34</v>
      </c>
      <c r="D19" s="1">
        <v>18615</v>
      </c>
      <c r="E19">
        <v>0</v>
      </c>
      <c r="F19" s="1">
        <v>6282</v>
      </c>
      <c r="G19">
        <v>0</v>
      </c>
      <c r="H19">
        <v>448</v>
      </c>
      <c r="I19">
        <v>0</v>
      </c>
      <c r="J19">
        <v>24</v>
      </c>
      <c r="K19">
        <v>0</v>
      </c>
      <c r="L19">
        <v>11</v>
      </c>
      <c r="M19">
        <v>5</v>
      </c>
      <c r="N19">
        <v>128</v>
      </c>
      <c r="O19">
        <v>2</v>
      </c>
      <c r="P19">
        <v>0</v>
      </c>
      <c r="Q19">
        <v>12</v>
      </c>
      <c r="R19">
        <v>0</v>
      </c>
      <c r="S19">
        <v>0</v>
      </c>
      <c r="T19">
        <v>1</v>
      </c>
      <c r="U19">
        <v>298</v>
      </c>
      <c r="V19">
        <v>125</v>
      </c>
      <c r="W19" s="1">
        <v>4539</v>
      </c>
      <c r="X19">
        <v>0</v>
      </c>
      <c r="Y19">
        <v>262</v>
      </c>
      <c r="Z19">
        <v>287</v>
      </c>
      <c r="AA19" s="1">
        <v>5298</v>
      </c>
      <c r="AB19">
        <v>86</v>
      </c>
      <c r="AC19">
        <v>527</v>
      </c>
      <c r="AD19">
        <v>140</v>
      </c>
      <c r="AE19" s="1">
        <v>0</v>
      </c>
      <c r="AF19" s="1">
        <v>0</v>
      </c>
      <c r="AG19">
        <v>140</v>
      </c>
    </row>
    <row r="20" spans="1:33" x14ac:dyDescent="0.3">
      <c r="A20" t="s">
        <v>31</v>
      </c>
      <c r="B20" t="s">
        <v>38</v>
      </c>
      <c r="C20" s="2" t="s">
        <v>30</v>
      </c>
      <c r="D20" s="1">
        <v>69317</v>
      </c>
      <c r="E20">
        <v>1</v>
      </c>
      <c r="F20" s="1">
        <v>18242</v>
      </c>
      <c r="G20">
        <v>51</v>
      </c>
      <c r="H20" s="1">
        <v>1657</v>
      </c>
      <c r="I20">
        <v>0</v>
      </c>
      <c r="J20">
        <v>1</v>
      </c>
      <c r="K20">
        <v>4</v>
      </c>
      <c r="L20">
        <v>124</v>
      </c>
      <c r="M20">
        <v>161</v>
      </c>
      <c r="N20" s="1">
        <v>2075</v>
      </c>
      <c r="O20">
        <v>17</v>
      </c>
      <c r="P20">
        <v>5</v>
      </c>
      <c r="Q20">
        <v>8</v>
      </c>
      <c r="R20">
        <v>0</v>
      </c>
      <c r="S20">
        <v>0</v>
      </c>
      <c r="T20">
        <v>35</v>
      </c>
      <c r="U20" s="1">
        <v>2946</v>
      </c>
      <c r="V20">
        <v>179</v>
      </c>
      <c r="W20" s="1">
        <v>14355</v>
      </c>
      <c r="X20">
        <v>0</v>
      </c>
      <c r="Y20" s="1">
        <v>4760</v>
      </c>
      <c r="Z20" s="1">
        <v>2380</v>
      </c>
      <c r="AA20" s="1">
        <v>8322</v>
      </c>
      <c r="AB20" s="1">
        <v>3774</v>
      </c>
      <c r="AC20" s="1">
        <v>2035</v>
      </c>
      <c r="AD20" s="1">
        <v>1625</v>
      </c>
      <c r="AE20" s="1">
        <v>0</v>
      </c>
      <c r="AF20" s="1">
        <v>5994</v>
      </c>
      <c r="AG20">
        <v>566</v>
      </c>
    </row>
    <row r="21" spans="1:33" x14ac:dyDescent="0.3">
      <c r="A21" t="s">
        <v>31</v>
      </c>
      <c r="B21" t="s">
        <v>38</v>
      </c>
      <c r="C21" s="2" t="s">
        <v>33</v>
      </c>
      <c r="D21" s="1">
        <v>50203</v>
      </c>
      <c r="E21">
        <v>0</v>
      </c>
      <c r="F21" s="1">
        <v>15409</v>
      </c>
      <c r="G21">
        <v>51</v>
      </c>
      <c r="H21" s="1">
        <v>1469</v>
      </c>
      <c r="I21">
        <v>0</v>
      </c>
      <c r="J21">
        <v>1</v>
      </c>
      <c r="K21">
        <v>4</v>
      </c>
      <c r="L21">
        <v>115</v>
      </c>
      <c r="M21">
        <v>149</v>
      </c>
      <c r="N21" s="1">
        <v>1779</v>
      </c>
      <c r="O21">
        <v>13</v>
      </c>
      <c r="P21">
        <v>1</v>
      </c>
      <c r="Q21">
        <v>5</v>
      </c>
      <c r="R21">
        <v>0</v>
      </c>
      <c r="S21">
        <v>0</v>
      </c>
      <c r="T21">
        <v>32</v>
      </c>
      <c r="U21" s="1">
        <v>2859</v>
      </c>
      <c r="V21">
        <v>157</v>
      </c>
      <c r="W21" s="1">
        <v>14141</v>
      </c>
      <c r="X21">
        <v>0</v>
      </c>
      <c r="Y21" s="1">
        <v>2269</v>
      </c>
      <c r="Z21" s="1">
        <v>1323</v>
      </c>
      <c r="AA21" s="1">
        <v>3306</v>
      </c>
      <c r="AB21" s="1">
        <v>1830</v>
      </c>
      <c r="AC21">
        <v>253</v>
      </c>
      <c r="AD21" s="1">
        <v>1437</v>
      </c>
      <c r="AE21" s="1">
        <v>0</v>
      </c>
      <c r="AF21" s="1">
        <v>3141</v>
      </c>
      <c r="AG21">
        <v>459</v>
      </c>
    </row>
    <row r="22" spans="1:33" x14ac:dyDescent="0.3">
      <c r="A22" t="s">
        <v>31</v>
      </c>
      <c r="B22" t="s">
        <v>38</v>
      </c>
      <c r="C22" s="2" t="s">
        <v>34</v>
      </c>
      <c r="D22" s="1">
        <v>19114</v>
      </c>
      <c r="E22">
        <v>1</v>
      </c>
      <c r="F22" s="1">
        <v>2833</v>
      </c>
      <c r="G22">
        <v>0</v>
      </c>
      <c r="H22">
        <v>188</v>
      </c>
      <c r="I22">
        <v>0</v>
      </c>
      <c r="J22">
        <v>0</v>
      </c>
      <c r="K22">
        <v>0</v>
      </c>
      <c r="L22">
        <v>9</v>
      </c>
      <c r="M22">
        <v>12</v>
      </c>
      <c r="N22">
        <v>296</v>
      </c>
      <c r="O22">
        <v>4</v>
      </c>
      <c r="P22">
        <v>4</v>
      </c>
      <c r="Q22">
        <v>3</v>
      </c>
      <c r="R22">
        <v>0</v>
      </c>
      <c r="S22">
        <v>0</v>
      </c>
      <c r="T22">
        <v>3</v>
      </c>
      <c r="U22">
        <v>87</v>
      </c>
      <c r="V22">
        <v>22</v>
      </c>
      <c r="W22">
        <v>214</v>
      </c>
      <c r="X22">
        <v>0</v>
      </c>
      <c r="Y22" s="1">
        <v>2491</v>
      </c>
      <c r="Z22" s="1">
        <v>1057</v>
      </c>
      <c r="AA22" s="1">
        <v>5016</v>
      </c>
      <c r="AB22" s="1">
        <v>1944</v>
      </c>
      <c r="AC22" s="1">
        <v>1782</v>
      </c>
      <c r="AD22">
        <v>188</v>
      </c>
      <c r="AE22" s="1">
        <v>0</v>
      </c>
      <c r="AF22" s="1">
        <v>2853</v>
      </c>
      <c r="AG22">
        <v>107</v>
      </c>
    </row>
    <row r="23" spans="1:33" x14ac:dyDescent="0.3">
      <c r="A23" t="s">
        <v>31</v>
      </c>
      <c r="B23" t="s">
        <v>39</v>
      </c>
      <c r="C23" s="2" t="s">
        <v>30</v>
      </c>
      <c r="D23" s="1">
        <v>65220</v>
      </c>
      <c r="E23">
        <v>0</v>
      </c>
      <c r="F23">
        <v>371</v>
      </c>
      <c r="G23">
        <v>0</v>
      </c>
      <c r="H23">
        <v>176</v>
      </c>
      <c r="I23">
        <v>0</v>
      </c>
      <c r="J23">
        <v>6</v>
      </c>
      <c r="K23">
        <v>6</v>
      </c>
      <c r="L23">
        <v>14</v>
      </c>
      <c r="M23">
        <v>3</v>
      </c>
      <c r="N23">
        <v>63</v>
      </c>
      <c r="O23">
        <v>0</v>
      </c>
      <c r="P23">
        <v>0</v>
      </c>
      <c r="Q23">
        <v>8</v>
      </c>
      <c r="R23">
        <v>0</v>
      </c>
      <c r="S23">
        <v>0</v>
      </c>
      <c r="T23">
        <v>0</v>
      </c>
      <c r="U23" s="1">
        <v>4940</v>
      </c>
      <c r="V23" s="1">
        <v>2219</v>
      </c>
      <c r="W23" s="1">
        <v>48674</v>
      </c>
      <c r="X23" s="1">
        <v>0</v>
      </c>
      <c r="Y23" s="1">
        <v>2383</v>
      </c>
      <c r="Z23">
        <v>315</v>
      </c>
      <c r="AA23">
        <v>939</v>
      </c>
      <c r="AB23">
        <v>153</v>
      </c>
      <c r="AC23" s="1">
        <v>4682</v>
      </c>
      <c r="AD23">
        <v>108</v>
      </c>
      <c r="AE23" s="1">
        <v>0</v>
      </c>
      <c r="AF23" s="1">
        <v>0</v>
      </c>
      <c r="AG23">
        <v>160</v>
      </c>
    </row>
    <row r="24" spans="1:33" x14ac:dyDescent="0.3">
      <c r="A24" t="s">
        <v>31</v>
      </c>
      <c r="B24" t="s">
        <v>39</v>
      </c>
      <c r="C24" s="2" t="s">
        <v>33</v>
      </c>
      <c r="D24" s="1">
        <v>45191</v>
      </c>
      <c r="E24">
        <v>0</v>
      </c>
      <c r="F24">
        <v>195</v>
      </c>
      <c r="G24">
        <v>0</v>
      </c>
      <c r="H24">
        <v>85</v>
      </c>
      <c r="I24">
        <v>0</v>
      </c>
      <c r="J24">
        <v>5</v>
      </c>
      <c r="K24">
        <v>3</v>
      </c>
      <c r="L24">
        <v>12</v>
      </c>
      <c r="M24">
        <v>1</v>
      </c>
      <c r="N24">
        <v>35</v>
      </c>
      <c r="O24">
        <v>0</v>
      </c>
      <c r="P24">
        <v>0</v>
      </c>
      <c r="Q24">
        <v>6</v>
      </c>
      <c r="R24">
        <v>0</v>
      </c>
      <c r="S24">
        <v>0</v>
      </c>
      <c r="T24">
        <v>0</v>
      </c>
      <c r="U24" s="1">
        <v>4447</v>
      </c>
      <c r="V24" s="1">
        <v>1341</v>
      </c>
      <c r="W24" s="1">
        <v>36615</v>
      </c>
      <c r="X24" s="1">
        <v>0</v>
      </c>
      <c r="Y24">
        <v>857</v>
      </c>
      <c r="Z24">
        <v>184</v>
      </c>
      <c r="AA24">
        <v>190</v>
      </c>
      <c r="AB24">
        <v>45</v>
      </c>
      <c r="AC24" s="1">
        <v>1015</v>
      </c>
      <c r="AD24">
        <v>55</v>
      </c>
      <c r="AE24" s="1">
        <v>0</v>
      </c>
      <c r="AF24" s="1">
        <v>0</v>
      </c>
      <c r="AG24">
        <v>100</v>
      </c>
    </row>
    <row r="25" spans="1:33" x14ac:dyDescent="0.3">
      <c r="A25" t="s">
        <v>31</v>
      </c>
      <c r="B25" t="s">
        <v>39</v>
      </c>
      <c r="C25" s="2" t="s">
        <v>34</v>
      </c>
      <c r="D25" s="1">
        <v>20029</v>
      </c>
      <c r="E25">
        <v>0</v>
      </c>
      <c r="F25">
        <v>176</v>
      </c>
      <c r="G25">
        <v>0</v>
      </c>
      <c r="H25">
        <v>91</v>
      </c>
      <c r="I25">
        <v>0</v>
      </c>
      <c r="J25">
        <v>1</v>
      </c>
      <c r="K25">
        <v>3</v>
      </c>
      <c r="L25">
        <v>2</v>
      </c>
      <c r="M25">
        <v>2</v>
      </c>
      <c r="N25">
        <v>28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493</v>
      </c>
      <c r="V25">
        <v>878</v>
      </c>
      <c r="W25" s="1">
        <v>12059</v>
      </c>
      <c r="X25">
        <v>0</v>
      </c>
      <c r="Y25" s="1">
        <v>1526</v>
      </c>
      <c r="Z25">
        <v>131</v>
      </c>
      <c r="AA25">
        <v>749</v>
      </c>
      <c r="AB25">
        <v>108</v>
      </c>
      <c r="AC25" s="1">
        <v>3667</v>
      </c>
      <c r="AD25">
        <v>53</v>
      </c>
      <c r="AE25" s="1">
        <v>0</v>
      </c>
      <c r="AF25" s="1">
        <v>0</v>
      </c>
      <c r="AG25">
        <v>60</v>
      </c>
    </row>
    <row r="26" spans="1:33" x14ac:dyDescent="0.3">
      <c r="A26" t="s">
        <v>31</v>
      </c>
      <c r="B26" t="s">
        <v>40</v>
      </c>
      <c r="C26" s="2" t="s">
        <v>30</v>
      </c>
      <c r="D26" s="1">
        <v>62021</v>
      </c>
      <c r="E26">
        <v>2</v>
      </c>
      <c r="F26" s="1">
        <v>2240</v>
      </c>
      <c r="G26">
        <v>64</v>
      </c>
      <c r="H26">
        <v>423</v>
      </c>
      <c r="I26">
        <v>0</v>
      </c>
      <c r="J26">
        <v>82</v>
      </c>
      <c r="K26">
        <v>28</v>
      </c>
      <c r="L26">
        <v>27</v>
      </c>
      <c r="M26">
        <v>33</v>
      </c>
      <c r="N26">
        <v>259</v>
      </c>
      <c r="O26">
        <v>18</v>
      </c>
      <c r="P26">
        <v>2</v>
      </c>
      <c r="Q26">
        <v>84</v>
      </c>
      <c r="R26">
        <v>3</v>
      </c>
      <c r="S26">
        <v>3</v>
      </c>
      <c r="T26">
        <v>33</v>
      </c>
      <c r="U26" s="1">
        <v>4889</v>
      </c>
      <c r="V26">
        <v>88</v>
      </c>
      <c r="W26" s="1">
        <v>39768</v>
      </c>
      <c r="X26" s="1">
        <v>9777</v>
      </c>
      <c r="Y26">
        <v>145</v>
      </c>
      <c r="Z26">
        <v>350</v>
      </c>
      <c r="AA26" s="1">
        <v>1177</v>
      </c>
      <c r="AB26">
        <v>301</v>
      </c>
      <c r="AC26" s="1">
        <v>1442</v>
      </c>
      <c r="AD26">
        <v>552</v>
      </c>
      <c r="AE26" s="1">
        <v>0</v>
      </c>
      <c r="AF26" s="1">
        <v>0</v>
      </c>
      <c r="AG26">
        <v>231</v>
      </c>
    </row>
    <row r="27" spans="1:33" x14ac:dyDescent="0.3">
      <c r="A27" t="s">
        <v>31</v>
      </c>
      <c r="B27" t="s">
        <v>40</v>
      </c>
      <c r="C27" s="2" t="s">
        <v>33</v>
      </c>
      <c r="D27" s="1">
        <v>55252</v>
      </c>
      <c r="E27">
        <v>0</v>
      </c>
      <c r="F27">
        <v>792</v>
      </c>
      <c r="G27">
        <v>51</v>
      </c>
      <c r="H27">
        <v>166</v>
      </c>
      <c r="I27">
        <v>0</v>
      </c>
      <c r="J27">
        <v>30</v>
      </c>
      <c r="K27">
        <v>23</v>
      </c>
      <c r="L27">
        <v>16</v>
      </c>
      <c r="M27">
        <v>30</v>
      </c>
      <c r="N27">
        <v>98</v>
      </c>
      <c r="O27">
        <v>12</v>
      </c>
      <c r="P27">
        <v>0</v>
      </c>
      <c r="Q27">
        <v>53</v>
      </c>
      <c r="R27">
        <v>3</v>
      </c>
      <c r="S27">
        <v>3</v>
      </c>
      <c r="T27">
        <v>9</v>
      </c>
      <c r="U27" s="1">
        <v>4498</v>
      </c>
      <c r="V27">
        <v>75</v>
      </c>
      <c r="W27" s="1">
        <v>38467</v>
      </c>
      <c r="X27" s="1">
        <v>9777</v>
      </c>
      <c r="Y27">
        <v>37</v>
      </c>
      <c r="Z27">
        <v>149</v>
      </c>
      <c r="AA27">
        <v>290</v>
      </c>
      <c r="AB27">
        <v>65</v>
      </c>
      <c r="AC27">
        <v>140</v>
      </c>
      <c r="AD27">
        <v>342</v>
      </c>
      <c r="AE27" s="1">
        <v>0</v>
      </c>
      <c r="AF27" s="1">
        <v>0</v>
      </c>
      <c r="AG27">
        <v>126</v>
      </c>
    </row>
    <row r="28" spans="1:33" x14ac:dyDescent="0.3">
      <c r="A28" t="s">
        <v>31</v>
      </c>
      <c r="B28" t="s">
        <v>40</v>
      </c>
      <c r="C28" s="2" t="s">
        <v>34</v>
      </c>
      <c r="D28" s="1">
        <v>6769</v>
      </c>
      <c r="E28">
        <v>2</v>
      </c>
      <c r="F28" s="1">
        <v>1448</v>
      </c>
      <c r="G28">
        <v>13</v>
      </c>
      <c r="H28">
        <v>257</v>
      </c>
      <c r="I28">
        <v>0</v>
      </c>
      <c r="J28">
        <v>52</v>
      </c>
      <c r="K28">
        <v>5</v>
      </c>
      <c r="L28">
        <v>11</v>
      </c>
      <c r="M28">
        <v>3</v>
      </c>
      <c r="N28">
        <v>161</v>
      </c>
      <c r="O28">
        <v>6</v>
      </c>
      <c r="P28">
        <v>2</v>
      </c>
      <c r="Q28">
        <v>31</v>
      </c>
      <c r="R28">
        <v>0</v>
      </c>
      <c r="S28">
        <v>0</v>
      </c>
      <c r="T28">
        <v>24</v>
      </c>
      <c r="U28">
        <v>391</v>
      </c>
      <c r="V28">
        <v>13</v>
      </c>
      <c r="W28" s="1">
        <v>1301</v>
      </c>
      <c r="X28" s="1">
        <v>0</v>
      </c>
      <c r="Y28">
        <v>108</v>
      </c>
      <c r="Z28">
        <v>201</v>
      </c>
      <c r="AA28">
        <v>887</v>
      </c>
      <c r="AB28">
        <v>236</v>
      </c>
      <c r="AC28" s="1">
        <v>1302</v>
      </c>
      <c r="AD28">
        <v>210</v>
      </c>
      <c r="AE28" s="1">
        <v>0</v>
      </c>
      <c r="AF28" s="1">
        <v>0</v>
      </c>
      <c r="AG28">
        <v>105</v>
      </c>
    </row>
    <row r="29" spans="1:33" x14ac:dyDescent="0.3">
      <c r="A29" t="s">
        <v>31</v>
      </c>
      <c r="B29" t="s">
        <v>41</v>
      </c>
      <c r="C29" s="2" t="s">
        <v>30</v>
      </c>
      <c r="D29" s="1">
        <v>58016</v>
      </c>
      <c r="E29">
        <v>0</v>
      </c>
      <c r="F29" s="1">
        <v>5518</v>
      </c>
      <c r="G29">
        <v>3</v>
      </c>
      <c r="H29" s="1">
        <v>4127</v>
      </c>
      <c r="I29">
        <v>0</v>
      </c>
      <c r="J29">
        <v>101</v>
      </c>
      <c r="K29">
        <v>0</v>
      </c>
      <c r="L29">
        <v>10</v>
      </c>
      <c r="M29">
        <v>3</v>
      </c>
      <c r="N29">
        <v>449</v>
      </c>
      <c r="O29">
        <v>1</v>
      </c>
      <c r="P29">
        <v>0</v>
      </c>
      <c r="Q29">
        <v>17</v>
      </c>
      <c r="R29">
        <v>0</v>
      </c>
      <c r="S29">
        <v>0</v>
      </c>
      <c r="T29">
        <v>4</v>
      </c>
      <c r="U29" s="1">
        <v>4444</v>
      </c>
      <c r="V29">
        <v>3</v>
      </c>
      <c r="W29" s="1">
        <v>31528</v>
      </c>
      <c r="X29">
        <v>966</v>
      </c>
      <c r="Y29">
        <v>95</v>
      </c>
      <c r="Z29">
        <v>703</v>
      </c>
      <c r="AA29">
        <v>785</v>
      </c>
      <c r="AB29">
        <v>62</v>
      </c>
      <c r="AC29">
        <v>475</v>
      </c>
      <c r="AD29" s="1">
        <v>8529</v>
      </c>
      <c r="AE29" s="1">
        <v>0</v>
      </c>
      <c r="AF29" s="1">
        <v>0</v>
      </c>
      <c r="AG29">
        <v>193</v>
      </c>
    </row>
    <row r="30" spans="1:33" x14ac:dyDescent="0.3">
      <c r="A30" t="s">
        <v>31</v>
      </c>
      <c r="B30" t="s">
        <v>41</v>
      </c>
      <c r="C30" s="2" t="s">
        <v>33</v>
      </c>
      <c r="D30" s="1">
        <v>47852</v>
      </c>
      <c r="E30">
        <v>0</v>
      </c>
      <c r="F30" s="1">
        <v>1253</v>
      </c>
      <c r="G30">
        <v>3</v>
      </c>
      <c r="H30" s="1">
        <v>1439</v>
      </c>
      <c r="I30">
        <v>0</v>
      </c>
      <c r="J30">
        <v>24</v>
      </c>
      <c r="K30">
        <v>0</v>
      </c>
      <c r="L30">
        <v>6</v>
      </c>
      <c r="M30">
        <v>2</v>
      </c>
      <c r="N30">
        <v>116</v>
      </c>
      <c r="O30">
        <v>1</v>
      </c>
      <c r="P30">
        <v>0</v>
      </c>
      <c r="Q30">
        <v>5</v>
      </c>
      <c r="R30">
        <v>0</v>
      </c>
      <c r="S30">
        <v>0</v>
      </c>
      <c r="T30">
        <v>0</v>
      </c>
      <c r="U30" s="1">
        <v>4361</v>
      </c>
      <c r="V30">
        <v>0</v>
      </c>
      <c r="W30" s="1">
        <v>31513</v>
      </c>
      <c r="X30">
        <v>966</v>
      </c>
      <c r="Y30">
        <v>18</v>
      </c>
      <c r="Z30">
        <v>354</v>
      </c>
      <c r="AA30">
        <v>144</v>
      </c>
      <c r="AB30">
        <v>19</v>
      </c>
      <c r="AC30">
        <v>62</v>
      </c>
      <c r="AD30" s="1">
        <v>7441</v>
      </c>
      <c r="AE30" s="1">
        <v>0</v>
      </c>
      <c r="AF30" s="1">
        <v>0</v>
      </c>
      <c r="AG30">
        <v>125</v>
      </c>
    </row>
    <row r="31" spans="1:33" x14ac:dyDescent="0.3">
      <c r="A31" t="s">
        <v>31</v>
      </c>
      <c r="B31" t="s">
        <v>41</v>
      </c>
      <c r="C31" s="2" t="s">
        <v>34</v>
      </c>
      <c r="D31" s="1">
        <v>10164</v>
      </c>
      <c r="E31">
        <v>0</v>
      </c>
      <c r="F31" s="1">
        <v>4265</v>
      </c>
      <c r="G31">
        <v>0</v>
      </c>
      <c r="H31" s="1">
        <v>2688</v>
      </c>
      <c r="I31">
        <v>0</v>
      </c>
      <c r="J31">
        <v>77</v>
      </c>
      <c r="K31">
        <v>0</v>
      </c>
      <c r="L31">
        <v>4</v>
      </c>
      <c r="M31">
        <v>1</v>
      </c>
      <c r="N31">
        <v>333</v>
      </c>
      <c r="O31">
        <v>0</v>
      </c>
      <c r="P31">
        <v>0</v>
      </c>
      <c r="Q31">
        <v>12</v>
      </c>
      <c r="R31">
        <v>0</v>
      </c>
      <c r="S31">
        <v>0</v>
      </c>
      <c r="T31">
        <v>4</v>
      </c>
      <c r="U31">
        <v>83</v>
      </c>
      <c r="V31">
        <v>3</v>
      </c>
      <c r="W31">
        <v>15</v>
      </c>
      <c r="X31" s="1">
        <v>0</v>
      </c>
      <c r="Y31">
        <v>77</v>
      </c>
      <c r="Z31">
        <v>349</v>
      </c>
      <c r="AA31">
        <v>641</v>
      </c>
      <c r="AB31">
        <v>43</v>
      </c>
      <c r="AC31">
        <v>413</v>
      </c>
      <c r="AD31" s="1">
        <v>1088</v>
      </c>
      <c r="AE31" s="1">
        <v>0</v>
      </c>
      <c r="AF31" s="1">
        <v>0</v>
      </c>
      <c r="AG31">
        <v>68</v>
      </c>
    </row>
    <row r="32" spans="1:33" x14ac:dyDescent="0.3">
      <c r="A32" t="s">
        <v>31</v>
      </c>
      <c r="B32" t="s">
        <v>42</v>
      </c>
      <c r="C32" s="2" t="s">
        <v>30</v>
      </c>
      <c r="D32" s="1">
        <v>54866</v>
      </c>
      <c r="E32">
        <v>0</v>
      </c>
      <c r="F32">
        <v>653</v>
      </c>
      <c r="G32">
        <v>98</v>
      </c>
      <c r="H32">
        <v>280</v>
      </c>
      <c r="I32">
        <v>1</v>
      </c>
      <c r="J32">
        <v>209</v>
      </c>
      <c r="K32">
        <v>10</v>
      </c>
      <c r="L32">
        <v>40</v>
      </c>
      <c r="M32">
        <v>94</v>
      </c>
      <c r="N32">
        <v>66</v>
      </c>
      <c r="O32">
        <v>47</v>
      </c>
      <c r="P32">
        <v>1</v>
      </c>
      <c r="Q32">
        <v>49</v>
      </c>
      <c r="R32">
        <v>5</v>
      </c>
      <c r="S32">
        <v>3</v>
      </c>
      <c r="T32" s="1">
        <v>1632</v>
      </c>
      <c r="U32" s="1">
        <v>3325</v>
      </c>
      <c r="V32" s="1">
        <v>4136</v>
      </c>
      <c r="W32" s="1">
        <v>25324</v>
      </c>
      <c r="X32">
        <v>32</v>
      </c>
      <c r="Y32" s="1">
        <v>2613</v>
      </c>
      <c r="Z32">
        <v>632</v>
      </c>
      <c r="AA32">
        <v>834</v>
      </c>
      <c r="AB32">
        <v>691</v>
      </c>
      <c r="AC32" s="1">
        <v>11966</v>
      </c>
      <c r="AD32">
        <v>990</v>
      </c>
      <c r="AE32" s="1">
        <v>0</v>
      </c>
      <c r="AF32" s="1">
        <v>0</v>
      </c>
      <c r="AG32" s="1">
        <v>1135</v>
      </c>
    </row>
    <row r="33" spans="1:33" x14ac:dyDescent="0.3">
      <c r="A33" t="s">
        <v>31</v>
      </c>
      <c r="B33" t="s">
        <v>42</v>
      </c>
      <c r="C33" s="2" t="s">
        <v>33</v>
      </c>
      <c r="D33" s="1">
        <v>32081</v>
      </c>
      <c r="E33">
        <v>0</v>
      </c>
      <c r="F33">
        <v>256</v>
      </c>
      <c r="G33">
        <v>57</v>
      </c>
      <c r="H33">
        <v>110</v>
      </c>
      <c r="I33">
        <v>0</v>
      </c>
      <c r="J33">
        <v>104</v>
      </c>
      <c r="K33">
        <v>7</v>
      </c>
      <c r="L33">
        <v>27</v>
      </c>
      <c r="M33">
        <v>82</v>
      </c>
      <c r="N33">
        <v>26</v>
      </c>
      <c r="O33">
        <v>19</v>
      </c>
      <c r="P33">
        <v>0</v>
      </c>
      <c r="Q33">
        <v>32</v>
      </c>
      <c r="R33">
        <v>5</v>
      </c>
      <c r="S33">
        <v>3</v>
      </c>
      <c r="T33">
        <v>156</v>
      </c>
      <c r="U33" s="1">
        <v>2992</v>
      </c>
      <c r="V33" s="1">
        <v>2868</v>
      </c>
      <c r="W33" s="1">
        <v>22744</v>
      </c>
      <c r="X33">
        <v>25</v>
      </c>
      <c r="Y33">
        <v>558</v>
      </c>
      <c r="Z33">
        <v>223</v>
      </c>
      <c r="AA33">
        <v>232</v>
      </c>
      <c r="AB33">
        <v>78</v>
      </c>
      <c r="AC33">
        <v>640</v>
      </c>
      <c r="AD33">
        <v>425</v>
      </c>
      <c r="AE33" s="1">
        <v>0</v>
      </c>
      <c r="AF33" s="1">
        <v>0</v>
      </c>
      <c r="AG33">
        <v>412</v>
      </c>
    </row>
    <row r="34" spans="1:33" x14ac:dyDescent="0.3">
      <c r="A34" t="s">
        <v>31</v>
      </c>
      <c r="B34" t="s">
        <v>42</v>
      </c>
      <c r="C34" s="2" t="s">
        <v>34</v>
      </c>
      <c r="D34" s="1">
        <v>22785</v>
      </c>
      <c r="E34">
        <v>0</v>
      </c>
      <c r="F34">
        <v>397</v>
      </c>
      <c r="G34">
        <v>41</v>
      </c>
      <c r="H34">
        <v>170</v>
      </c>
      <c r="I34">
        <v>1</v>
      </c>
      <c r="J34">
        <v>105</v>
      </c>
      <c r="K34">
        <v>3</v>
      </c>
      <c r="L34">
        <v>13</v>
      </c>
      <c r="M34">
        <v>12</v>
      </c>
      <c r="N34">
        <v>40</v>
      </c>
      <c r="O34">
        <v>28</v>
      </c>
      <c r="P34">
        <v>1</v>
      </c>
      <c r="Q34">
        <v>17</v>
      </c>
      <c r="R34">
        <v>0</v>
      </c>
      <c r="S34">
        <v>0</v>
      </c>
      <c r="T34" s="1">
        <v>1476</v>
      </c>
      <c r="U34">
        <v>333</v>
      </c>
      <c r="V34" s="1">
        <v>1268</v>
      </c>
      <c r="W34" s="1">
        <v>2580</v>
      </c>
      <c r="X34">
        <v>7</v>
      </c>
      <c r="Y34" s="1">
        <v>2055</v>
      </c>
      <c r="Z34">
        <v>409</v>
      </c>
      <c r="AA34">
        <v>602</v>
      </c>
      <c r="AB34">
        <v>613</v>
      </c>
      <c r="AC34" s="1">
        <v>11326</v>
      </c>
      <c r="AD34">
        <v>565</v>
      </c>
      <c r="AE34" s="1">
        <v>0</v>
      </c>
      <c r="AF34" s="1">
        <v>0</v>
      </c>
      <c r="AG34">
        <v>723</v>
      </c>
    </row>
    <row r="35" spans="1:33" x14ac:dyDescent="0.3">
      <c r="A35" t="s">
        <v>31</v>
      </c>
      <c r="B35" t="s">
        <v>43</v>
      </c>
      <c r="C35" s="2" t="s">
        <v>30</v>
      </c>
      <c r="D35" s="1">
        <v>45892</v>
      </c>
      <c r="E35">
        <v>0</v>
      </c>
      <c r="F35">
        <v>603</v>
      </c>
      <c r="G35">
        <v>9</v>
      </c>
      <c r="H35">
        <v>406</v>
      </c>
      <c r="I35">
        <v>0</v>
      </c>
      <c r="J35">
        <v>11</v>
      </c>
      <c r="K35">
        <v>5</v>
      </c>
      <c r="L35">
        <v>154</v>
      </c>
      <c r="M35">
        <v>18</v>
      </c>
      <c r="N35">
        <v>135</v>
      </c>
      <c r="O35">
        <v>6</v>
      </c>
      <c r="P35">
        <v>1</v>
      </c>
      <c r="Q35">
        <v>16</v>
      </c>
      <c r="R35">
        <v>4</v>
      </c>
      <c r="S35">
        <v>4</v>
      </c>
      <c r="T35">
        <v>75</v>
      </c>
      <c r="U35" s="1">
        <v>3338</v>
      </c>
      <c r="V35">
        <v>390</v>
      </c>
      <c r="W35" s="1">
        <v>27512</v>
      </c>
      <c r="X35">
        <v>0</v>
      </c>
      <c r="Y35" s="1">
        <v>1164</v>
      </c>
      <c r="Z35">
        <v>316</v>
      </c>
      <c r="AA35">
        <v>380</v>
      </c>
      <c r="AB35">
        <v>629</v>
      </c>
      <c r="AC35" s="1">
        <v>9897</v>
      </c>
      <c r="AD35">
        <v>520</v>
      </c>
      <c r="AE35" s="1">
        <v>0</v>
      </c>
      <c r="AF35" s="1">
        <v>0</v>
      </c>
      <c r="AG35">
        <v>299</v>
      </c>
    </row>
    <row r="36" spans="1:33" x14ac:dyDescent="0.3">
      <c r="A36" t="s">
        <v>31</v>
      </c>
      <c r="B36" t="s">
        <v>43</v>
      </c>
      <c r="C36" s="2" t="s">
        <v>33</v>
      </c>
      <c r="D36" s="1">
        <v>27067</v>
      </c>
      <c r="E36">
        <v>0</v>
      </c>
      <c r="F36">
        <v>136</v>
      </c>
      <c r="G36">
        <v>4</v>
      </c>
      <c r="H36">
        <v>57</v>
      </c>
      <c r="I36">
        <v>0</v>
      </c>
      <c r="J36">
        <v>11</v>
      </c>
      <c r="K36">
        <v>4</v>
      </c>
      <c r="L36">
        <v>71</v>
      </c>
      <c r="M36">
        <v>13</v>
      </c>
      <c r="N36">
        <v>82</v>
      </c>
      <c r="O36">
        <v>4</v>
      </c>
      <c r="P36">
        <v>0</v>
      </c>
      <c r="Q36">
        <v>11</v>
      </c>
      <c r="R36">
        <v>4</v>
      </c>
      <c r="S36">
        <v>4</v>
      </c>
      <c r="T36">
        <v>32</v>
      </c>
      <c r="U36" s="1">
        <v>2898</v>
      </c>
      <c r="V36">
        <v>202</v>
      </c>
      <c r="W36" s="1">
        <v>22641</v>
      </c>
      <c r="X36">
        <v>0</v>
      </c>
      <c r="Y36">
        <v>306</v>
      </c>
      <c r="Z36">
        <v>97</v>
      </c>
      <c r="AA36">
        <v>66</v>
      </c>
      <c r="AB36">
        <v>21</v>
      </c>
      <c r="AC36">
        <v>143</v>
      </c>
      <c r="AD36">
        <v>118</v>
      </c>
      <c r="AE36" s="1">
        <v>0</v>
      </c>
      <c r="AF36" s="1">
        <v>0</v>
      </c>
      <c r="AG36">
        <v>142</v>
      </c>
    </row>
    <row r="37" spans="1:33" x14ac:dyDescent="0.3">
      <c r="A37" t="s">
        <v>31</v>
      </c>
      <c r="B37" t="s">
        <v>43</v>
      </c>
      <c r="C37" s="2" t="s">
        <v>34</v>
      </c>
      <c r="D37" s="1">
        <v>18825</v>
      </c>
      <c r="E37">
        <v>0</v>
      </c>
      <c r="F37">
        <v>467</v>
      </c>
      <c r="G37">
        <v>5</v>
      </c>
      <c r="H37">
        <v>349</v>
      </c>
      <c r="I37">
        <v>0</v>
      </c>
      <c r="J37">
        <v>0</v>
      </c>
      <c r="K37">
        <v>1</v>
      </c>
      <c r="L37">
        <v>83</v>
      </c>
      <c r="M37">
        <v>5</v>
      </c>
      <c r="N37">
        <v>53</v>
      </c>
      <c r="O37">
        <v>2</v>
      </c>
      <c r="P37">
        <v>1</v>
      </c>
      <c r="Q37">
        <v>5</v>
      </c>
      <c r="R37">
        <v>0</v>
      </c>
      <c r="S37">
        <v>0</v>
      </c>
      <c r="T37">
        <v>43</v>
      </c>
      <c r="U37">
        <v>440</v>
      </c>
      <c r="V37">
        <v>188</v>
      </c>
      <c r="W37" s="1">
        <v>4871</v>
      </c>
      <c r="X37">
        <v>0</v>
      </c>
      <c r="Y37">
        <v>858</v>
      </c>
      <c r="Z37">
        <v>219</v>
      </c>
      <c r="AA37">
        <v>314</v>
      </c>
      <c r="AB37">
        <v>608</v>
      </c>
      <c r="AC37" s="1">
        <v>9754</v>
      </c>
      <c r="AD37">
        <v>402</v>
      </c>
      <c r="AE37" s="1">
        <v>0</v>
      </c>
      <c r="AF37" s="1">
        <v>0</v>
      </c>
      <c r="AG37">
        <v>157</v>
      </c>
    </row>
    <row r="38" spans="1:33" x14ac:dyDescent="0.3">
      <c r="A38" t="s">
        <v>31</v>
      </c>
      <c r="B38" t="s">
        <v>44</v>
      </c>
      <c r="C38" s="2" t="s">
        <v>30</v>
      </c>
      <c r="D38" s="1">
        <v>42049</v>
      </c>
      <c r="E38">
        <v>2</v>
      </c>
      <c r="F38" s="1">
        <v>13180</v>
      </c>
      <c r="G38">
        <v>0</v>
      </c>
      <c r="H38" s="1">
        <v>6330</v>
      </c>
      <c r="I38">
        <v>0</v>
      </c>
      <c r="J38">
        <v>34</v>
      </c>
      <c r="K38">
        <v>17</v>
      </c>
      <c r="L38">
        <v>165</v>
      </c>
      <c r="M38">
        <v>220</v>
      </c>
      <c r="N38" s="1">
        <v>1819</v>
      </c>
      <c r="O38">
        <v>6</v>
      </c>
      <c r="P38">
        <v>1</v>
      </c>
      <c r="Q38">
        <v>39</v>
      </c>
      <c r="R38">
        <v>0</v>
      </c>
      <c r="S38">
        <v>0</v>
      </c>
      <c r="T38">
        <v>111</v>
      </c>
      <c r="U38">
        <v>741</v>
      </c>
      <c r="V38">
        <v>677</v>
      </c>
      <c r="W38" s="1">
        <v>3828</v>
      </c>
      <c r="X38">
        <v>0</v>
      </c>
      <c r="Y38" s="1">
        <v>1214</v>
      </c>
      <c r="Z38" s="1">
        <v>1786</v>
      </c>
      <c r="AA38" s="1">
        <v>4645</v>
      </c>
      <c r="AB38">
        <v>900</v>
      </c>
      <c r="AC38" s="1">
        <v>2179</v>
      </c>
      <c r="AD38" s="1">
        <v>3513</v>
      </c>
      <c r="AE38" s="1">
        <v>0</v>
      </c>
      <c r="AF38" s="1">
        <v>0</v>
      </c>
      <c r="AG38">
        <v>642</v>
      </c>
    </row>
    <row r="39" spans="1:33" x14ac:dyDescent="0.3">
      <c r="A39" t="s">
        <v>31</v>
      </c>
      <c r="B39" t="s">
        <v>44</v>
      </c>
      <c r="C39" s="2" t="s">
        <v>33</v>
      </c>
      <c r="D39" s="1">
        <v>18814</v>
      </c>
      <c r="E39">
        <v>1</v>
      </c>
      <c r="F39" s="1">
        <v>4718</v>
      </c>
      <c r="G39">
        <v>0</v>
      </c>
      <c r="H39" s="1">
        <v>3107</v>
      </c>
      <c r="I39">
        <v>0</v>
      </c>
      <c r="J39">
        <v>25</v>
      </c>
      <c r="K39">
        <v>13</v>
      </c>
      <c r="L39">
        <v>100</v>
      </c>
      <c r="M39">
        <v>69</v>
      </c>
      <c r="N39">
        <v>600</v>
      </c>
      <c r="O39">
        <v>1</v>
      </c>
      <c r="P39">
        <v>1</v>
      </c>
      <c r="Q39">
        <v>14</v>
      </c>
      <c r="R39">
        <v>0</v>
      </c>
      <c r="S39">
        <v>0</v>
      </c>
      <c r="T39">
        <v>69</v>
      </c>
      <c r="U39">
        <v>455</v>
      </c>
      <c r="V39">
        <v>352</v>
      </c>
      <c r="W39" s="1">
        <v>3036</v>
      </c>
      <c r="X39">
        <v>0</v>
      </c>
      <c r="Y39">
        <v>470</v>
      </c>
      <c r="Z39">
        <v>734</v>
      </c>
      <c r="AA39" s="1">
        <v>2563</v>
      </c>
      <c r="AB39">
        <v>179</v>
      </c>
      <c r="AC39">
        <v>230</v>
      </c>
      <c r="AD39" s="1">
        <v>1771</v>
      </c>
      <c r="AE39" s="1">
        <v>0</v>
      </c>
      <c r="AF39" s="1">
        <v>0</v>
      </c>
      <c r="AG39">
        <v>306</v>
      </c>
    </row>
    <row r="40" spans="1:33" x14ac:dyDescent="0.3">
      <c r="A40" t="s">
        <v>31</v>
      </c>
      <c r="B40" t="s">
        <v>44</v>
      </c>
      <c r="C40" s="2" t="s">
        <v>34</v>
      </c>
      <c r="D40" s="1">
        <v>23235</v>
      </c>
      <c r="E40">
        <v>1</v>
      </c>
      <c r="F40" s="1">
        <v>8462</v>
      </c>
      <c r="G40">
        <v>0</v>
      </c>
      <c r="H40" s="1">
        <v>3223</v>
      </c>
      <c r="I40">
        <v>0</v>
      </c>
      <c r="J40">
        <v>9</v>
      </c>
      <c r="K40">
        <v>4</v>
      </c>
      <c r="L40">
        <v>65</v>
      </c>
      <c r="M40">
        <v>151</v>
      </c>
      <c r="N40" s="1">
        <v>1219</v>
      </c>
      <c r="O40">
        <v>5</v>
      </c>
      <c r="P40">
        <v>0</v>
      </c>
      <c r="Q40">
        <v>25</v>
      </c>
      <c r="R40">
        <v>0</v>
      </c>
      <c r="S40">
        <v>0</v>
      </c>
      <c r="T40">
        <v>42</v>
      </c>
      <c r="U40">
        <v>286</v>
      </c>
      <c r="V40">
        <v>325</v>
      </c>
      <c r="W40">
        <v>792</v>
      </c>
      <c r="X40">
        <v>0</v>
      </c>
      <c r="Y40">
        <v>744</v>
      </c>
      <c r="Z40" s="1">
        <v>1052</v>
      </c>
      <c r="AA40" s="1">
        <v>2082</v>
      </c>
      <c r="AB40">
        <v>721</v>
      </c>
      <c r="AC40" s="1">
        <v>1949</v>
      </c>
      <c r="AD40" s="1">
        <v>1742</v>
      </c>
      <c r="AE40" s="1">
        <v>0</v>
      </c>
      <c r="AF40" s="1">
        <v>0</v>
      </c>
      <c r="AG40">
        <v>336</v>
      </c>
    </row>
    <row r="41" spans="1:33" x14ac:dyDescent="0.3">
      <c r="A41" t="s">
        <v>31</v>
      </c>
      <c r="B41" t="s">
        <v>45</v>
      </c>
      <c r="C41" s="2" t="s">
        <v>30</v>
      </c>
      <c r="D41" s="1">
        <v>36951</v>
      </c>
      <c r="E41">
        <v>0</v>
      </c>
      <c r="F41" s="1">
        <v>1054</v>
      </c>
      <c r="G41">
        <v>12</v>
      </c>
      <c r="H41">
        <v>503</v>
      </c>
      <c r="I41">
        <v>0</v>
      </c>
      <c r="J41">
        <v>67</v>
      </c>
      <c r="K41">
        <v>3</v>
      </c>
      <c r="L41">
        <v>21</v>
      </c>
      <c r="M41">
        <v>4</v>
      </c>
      <c r="N41">
        <v>176</v>
      </c>
      <c r="O41">
        <v>1</v>
      </c>
      <c r="P41">
        <v>0</v>
      </c>
      <c r="Q41">
        <v>26</v>
      </c>
      <c r="R41">
        <v>1</v>
      </c>
      <c r="S41">
        <v>0</v>
      </c>
      <c r="T41">
        <v>2</v>
      </c>
      <c r="U41" s="1">
        <v>6507</v>
      </c>
      <c r="V41">
        <v>10</v>
      </c>
      <c r="W41" s="1">
        <v>22702</v>
      </c>
      <c r="X41">
        <v>13</v>
      </c>
      <c r="Y41">
        <v>145</v>
      </c>
      <c r="Z41">
        <v>414</v>
      </c>
      <c r="AA41" s="1">
        <v>3340</v>
      </c>
      <c r="AB41">
        <v>87</v>
      </c>
      <c r="AC41">
        <v>374</v>
      </c>
      <c r="AD41">
        <v>822</v>
      </c>
      <c r="AE41" s="1">
        <v>0</v>
      </c>
      <c r="AF41" s="1">
        <v>0</v>
      </c>
      <c r="AG41">
        <v>667</v>
      </c>
    </row>
    <row r="42" spans="1:33" x14ac:dyDescent="0.3">
      <c r="A42" t="s">
        <v>31</v>
      </c>
      <c r="B42" t="s">
        <v>45</v>
      </c>
      <c r="C42" s="2" t="s">
        <v>33</v>
      </c>
      <c r="D42" s="1">
        <v>32353</v>
      </c>
      <c r="E42">
        <v>0</v>
      </c>
      <c r="F42">
        <v>369</v>
      </c>
      <c r="G42">
        <v>9</v>
      </c>
      <c r="H42">
        <v>217</v>
      </c>
      <c r="I42">
        <v>0</v>
      </c>
      <c r="J42">
        <v>63</v>
      </c>
      <c r="K42">
        <v>2</v>
      </c>
      <c r="L42">
        <v>18</v>
      </c>
      <c r="M42">
        <v>4</v>
      </c>
      <c r="N42">
        <v>131</v>
      </c>
      <c r="O42">
        <v>0</v>
      </c>
      <c r="P42">
        <v>0</v>
      </c>
      <c r="Q42">
        <v>20</v>
      </c>
      <c r="R42">
        <v>1</v>
      </c>
      <c r="S42">
        <v>0</v>
      </c>
      <c r="T42">
        <v>2</v>
      </c>
      <c r="U42" s="1">
        <v>6453</v>
      </c>
      <c r="V42">
        <v>7</v>
      </c>
      <c r="W42" s="1">
        <v>22324</v>
      </c>
      <c r="X42">
        <v>13</v>
      </c>
      <c r="Y42">
        <v>59</v>
      </c>
      <c r="Z42">
        <v>323</v>
      </c>
      <c r="AA42">
        <v>641</v>
      </c>
      <c r="AB42">
        <v>72</v>
      </c>
      <c r="AC42">
        <v>297</v>
      </c>
      <c r="AD42">
        <v>704</v>
      </c>
      <c r="AE42" s="1">
        <v>0</v>
      </c>
      <c r="AF42" s="1">
        <v>0</v>
      </c>
      <c r="AG42">
        <v>624</v>
      </c>
    </row>
    <row r="43" spans="1:33" x14ac:dyDescent="0.3">
      <c r="A43" t="s">
        <v>31</v>
      </c>
      <c r="B43" t="s">
        <v>45</v>
      </c>
      <c r="C43" s="2" t="s">
        <v>34</v>
      </c>
      <c r="D43" s="1">
        <v>4598</v>
      </c>
      <c r="E43">
        <v>0</v>
      </c>
      <c r="F43">
        <v>685</v>
      </c>
      <c r="G43">
        <v>3</v>
      </c>
      <c r="H43">
        <v>286</v>
      </c>
      <c r="I43">
        <v>0</v>
      </c>
      <c r="J43">
        <v>4</v>
      </c>
      <c r="K43">
        <v>1</v>
      </c>
      <c r="L43">
        <v>3</v>
      </c>
      <c r="M43">
        <v>0</v>
      </c>
      <c r="N43">
        <v>45</v>
      </c>
      <c r="O43">
        <v>1</v>
      </c>
      <c r="P43">
        <v>0</v>
      </c>
      <c r="Q43">
        <v>6</v>
      </c>
      <c r="R43">
        <v>0</v>
      </c>
      <c r="S43">
        <v>0</v>
      </c>
      <c r="T43">
        <v>0</v>
      </c>
      <c r="U43">
        <v>54</v>
      </c>
      <c r="V43">
        <v>3</v>
      </c>
      <c r="W43">
        <v>378</v>
      </c>
      <c r="X43">
        <v>0</v>
      </c>
      <c r="Y43">
        <v>86</v>
      </c>
      <c r="Z43">
        <v>91</v>
      </c>
      <c r="AA43" s="1">
        <v>2699</v>
      </c>
      <c r="AB43">
        <v>15</v>
      </c>
      <c r="AC43">
        <v>77</v>
      </c>
      <c r="AD43">
        <v>118</v>
      </c>
      <c r="AE43" s="1">
        <v>0</v>
      </c>
      <c r="AF43" s="1">
        <v>0</v>
      </c>
      <c r="AG43">
        <v>43</v>
      </c>
    </row>
    <row r="44" spans="1:33" x14ac:dyDescent="0.3">
      <c r="A44" t="s">
        <v>31</v>
      </c>
      <c r="B44" t="s">
        <v>46</v>
      </c>
      <c r="C44" s="2" t="s">
        <v>30</v>
      </c>
      <c r="D44" s="1">
        <v>32407</v>
      </c>
      <c r="E44">
        <v>0</v>
      </c>
      <c r="F44" s="1">
        <v>3688</v>
      </c>
      <c r="G44">
        <v>57</v>
      </c>
      <c r="H44">
        <v>591</v>
      </c>
      <c r="I44">
        <v>0</v>
      </c>
      <c r="J44">
        <v>40</v>
      </c>
      <c r="K44">
        <v>3</v>
      </c>
      <c r="L44">
        <v>49</v>
      </c>
      <c r="M44">
        <v>8</v>
      </c>
      <c r="N44">
        <v>294</v>
      </c>
      <c r="O44">
        <v>15</v>
      </c>
      <c r="P44">
        <v>0</v>
      </c>
      <c r="Q44">
        <v>89</v>
      </c>
      <c r="R44">
        <v>0</v>
      </c>
      <c r="S44">
        <v>0</v>
      </c>
      <c r="T44">
        <v>1</v>
      </c>
      <c r="U44" s="1">
        <v>4979</v>
      </c>
      <c r="V44">
        <v>33</v>
      </c>
      <c r="W44" s="1">
        <v>13448</v>
      </c>
      <c r="X44">
        <v>0</v>
      </c>
      <c r="Y44">
        <v>357</v>
      </c>
      <c r="Z44" s="1">
        <v>1240</v>
      </c>
      <c r="AA44" s="1">
        <v>4940</v>
      </c>
      <c r="AB44">
        <v>291</v>
      </c>
      <c r="AC44">
        <v>338</v>
      </c>
      <c r="AD44" s="1">
        <v>1060</v>
      </c>
      <c r="AE44" s="1">
        <v>0</v>
      </c>
      <c r="AF44" s="1">
        <v>0</v>
      </c>
      <c r="AG44">
        <v>886</v>
      </c>
    </row>
    <row r="45" spans="1:33" x14ac:dyDescent="0.3">
      <c r="A45" t="s">
        <v>31</v>
      </c>
      <c r="B45" t="s">
        <v>46</v>
      </c>
      <c r="C45" s="2" t="s">
        <v>33</v>
      </c>
      <c r="D45" s="1">
        <v>26580</v>
      </c>
      <c r="E45">
        <v>0</v>
      </c>
      <c r="F45" s="1">
        <v>2852</v>
      </c>
      <c r="G45">
        <v>57</v>
      </c>
      <c r="H45">
        <v>468</v>
      </c>
      <c r="I45">
        <v>0</v>
      </c>
      <c r="J45">
        <v>39</v>
      </c>
      <c r="K45">
        <v>2</v>
      </c>
      <c r="L45">
        <v>47</v>
      </c>
      <c r="M45">
        <v>8</v>
      </c>
      <c r="N45">
        <v>230</v>
      </c>
      <c r="O45">
        <v>13</v>
      </c>
      <c r="P45">
        <v>0</v>
      </c>
      <c r="Q45">
        <v>69</v>
      </c>
      <c r="R45">
        <v>0</v>
      </c>
      <c r="S45">
        <v>0</v>
      </c>
      <c r="T45">
        <v>1</v>
      </c>
      <c r="U45" s="1">
        <v>4950</v>
      </c>
      <c r="V45">
        <v>29</v>
      </c>
      <c r="W45" s="1">
        <v>13338</v>
      </c>
      <c r="X45">
        <v>0</v>
      </c>
      <c r="Y45">
        <v>110</v>
      </c>
      <c r="Z45">
        <v>916</v>
      </c>
      <c r="AA45" s="1">
        <v>1273</v>
      </c>
      <c r="AB45">
        <v>230</v>
      </c>
      <c r="AC45">
        <v>193</v>
      </c>
      <c r="AD45">
        <v>933</v>
      </c>
      <c r="AE45" s="1">
        <v>0</v>
      </c>
      <c r="AF45" s="1">
        <v>0</v>
      </c>
      <c r="AG45">
        <v>822</v>
      </c>
    </row>
    <row r="46" spans="1:33" x14ac:dyDescent="0.3">
      <c r="A46" t="s">
        <v>31</v>
      </c>
      <c r="B46" t="s">
        <v>46</v>
      </c>
      <c r="C46" s="2" t="s">
        <v>34</v>
      </c>
      <c r="D46" s="1">
        <v>5827</v>
      </c>
      <c r="E46">
        <v>0</v>
      </c>
      <c r="F46">
        <v>836</v>
      </c>
      <c r="G46">
        <v>0</v>
      </c>
      <c r="H46">
        <v>123</v>
      </c>
      <c r="I46">
        <v>0</v>
      </c>
      <c r="J46">
        <v>1</v>
      </c>
      <c r="K46">
        <v>1</v>
      </c>
      <c r="L46">
        <v>2</v>
      </c>
      <c r="M46">
        <v>0</v>
      </c>
      <c r="N46">
        <v>64</v>
      </c>
      <c r="O46">
        <v>2</v>
      </c>
      <c r="P46">
        <v>0</v>
      </c>
      <c r="Q46">
        <v>20</v>
      </c>
      <c r="R46">
        <v>0</v>
      </c>
      <c r="S46">
        <v>0</v>
      </c>
      <c r="T46">
        <v>0</v>
      </c>
      <c r="U46">
        <v>29</v>
      </c>
      <c r="V46">
        <v>4</v>
      </c>
      <c r="W46">
        <v>110</v>
      </c>
      <c r="X46">
        <v>0</v>
      </c>
      <c r="Y46">
        <v>247</v>
      </c>
      <c r="Z46">
        <v>324</v>
      </c>
      <c r="AA46" s="1">
        <v>3667</v>
      </c>
      <c r="AB46">
        <v>61</v>
      </c>
      <c r="AC46">
        <v>145</v>
      </c>
      <c r="AD46">
        <v>127</v>
      </c>
      <c r="AE46" s="1">
        <v>0</v>
      </c>
      <c r="AF46" s="1">
        <v>0</v>
      </c>
      <c r="AG46">
        <v>64</v>
      </c>
    </row>
    <row r="47" spans="1:33" x14ac:dyDescent="0.3">
      <c r="A47" t="s">
        <v>31</v>
      </c>
      <c r="B47" t="s">
        <v>47</v>
      </c>
      <c r="C47" s="2" t="s">
        <v>30</v>
      </c>
      <c r="D47" s="1">
        <v>29350</v>
      </c>
      <c r="E47">
        <v>3</v>
      </c>
      <c r="F47" s="1">
        <v>2912</v>
      </c>
      <c r="G47">
        <v>0</v>
      </c>
      <c r="H47" s="1">
        <v>1335</v>
      </c>
      <c r="I47">
        <v>39</v>
      </c>
      <c r="J47">
        <v>47</v>
      </c>
      <c r="K47">
        <v>172</v>
      </c>
      <c r="L47" s="1">
        <v>1554</v>
      </c>
      <c r="M47">
        <v>78</v>
      </c>
      <c r="N47">
        <v>206</v>
      </c>
      <c r="O47">
        <v>60</v>
      </c>
      <c r="P47">
        <v>123</v>
      </c>
      <c r="Q47">
        <v>152</v>
      </c>
      <c r="R47">
        <v>1</v>
      </c>
      <c r="S47">
        <v>12</v>
      </c>
      <c r="T47">
        <v>514</v>
      </c>
      <c r="U47">
        <v>712</v>
      </c>
      <c r="V47">
        <v>0</v>
      </c>
      <c r="W47" s="1">
        <v>0</v>
      </c>
      <c r="X47">
        <v>1</v>
      </c>
      <c r="Y47">
        <v>229</v>
      </c>
      <c r="Z47">
        <v>594</v>
      </c>
      <c r="AA47" s="1">
        <v>1082</v>
      </c>
      <c r="AB47" s="1">
        <v>6986</v>
      </c>
      <c r="AC47" s="1">
        <v>10410</v>
      </c>
      <c r="AD47">
        <v>13</v>
      </c>
      <c r="AE47" s="1">
        <v>1596</v>
      </c>
      <c r="AF47" s="1">
        <v>0</v>
      </c>
      <c r="AG47">
        <v>519</v>
      </c>
    </row>
    <row r="48" spans="1:33" x14ac:dyDescent="0.3">
      <c r="A48" t="s">
        <v>31</v>
      </c>
      <c r="B48" t="s">
        <v>47</v>
      </c>
      <c r="C48" s="2" t="s">
        <v>33</v>
      </c>
      <c r="D48" s="1">
        <v>5484</v>
      </c>
      <c r="E48">
        <v>2</v>
      </c>
      <c r="F48">
        <v>399</v>
      </c>
      <c r="G48">
        <v>0</v>
      </c>
      <c r="H48">
        <v>166</v>
      </c>
      <c r="I48">
        <v>31</v>
      </c>
      <c r="J48">
        <v>25</v>
      </c>
      <c r="K48">
        <v>149</v>
      </c>
      <c r="L48" s="1">
        <v>1456</v>
      </c>
      <c r="M48">
        <v>77</v>
      </c>
      <c r="N48">
        <v>19</v>
      </c>
      <c r="O48">
        <v>34</v>
      </c>
      <c r="P48">
        <v>22</v>
      </c>
      <c r="Q48">
        <v>142</v>
      </c>
      <c r="R48">
        <v>1</v>
      </c>
      <c r="S48">
        <v>12</v>
      </c>
      <c r="T48">
        <v>232</v>
      </c>
      <c r="U48">
        <v>219</v>
      </c>
      <c r="V48">
        <v>0</v>
      </c>
      <c r="W48" s="1">
        <v>0</v>
      </c>
      <c r="X48">
        <v>0</v>
      </c>
      <c r="Y48">
        <v>84</v>
      </c>
      <c r="Z48">
        <v>186</v>
      </c>
      <c r="AA48">
        <v>289</v>
      </c>
      <c r="AB48">
        <v>619</v>
      </c>
      <c r="AC48">
        <v>936</v>
      </c>
      <c r="AD48">
        <v>5</v>
      </c>
      <c r="AE48">
        <v>169</v>
      </c>
      <c r="AF48" s="1">
        <v>0</v>
      </c>
      <c r="AG48">
        <v>210</v>
      </c>
    </row>
    <row r="49" spans="1:33" x14ac:dyDescent="0.3">
      <c r="A49" t="s">
        <v>31</v>
      </c>
      <c r="B49" t="s">
        <v>47</v>
      </c>
      <c r="C49" s="2" t="s">
        <v>34</v>
      </c>
      <c r="D49" s="1">
        <v>23866</v>
      </c>
      <c r="E49">
        <v>1</v>
      </c>
      <c r="F49" s="1">
        <v>2513</v>
      </c>
      <c r="G49">
        <v>0</v>
      </c>
      <c r="H49" s="1">
        <v>1169</v>
      </c>
      <c r="I49">
        <v>8</v>
      </c>
      <c r="J49">
        <v>22</v>
      </c>
      <c r="K49">
        <v>23</v>
      </c>
      <c r="L49">
        <v>98</v>
      </c>
      <c r="M49">
        <v>1</v>
      </c>
      <c r="N49">
        <v>187</v>
      </c>
      <c r="O49">
        <v>26</v>
      </c>
      <c r="P49">
        <v>101</v>
      </c>
      <c r="Q49">
        <v>10</v>
      </c>
      <c r="R49">
        <v>0</v>
      </c>
      <c r="S49">
        <v>0</v>
      </c>
      <c r="T49">
        <v>282</v>
      </c>
      <c r="U49">
        <v>493</v>
      </c>
      <c r="V49">
        <v>0</v>
      </c>
      <c r="W49" s="1">
        <v>0</v>
      </c>
      <c r="X49">
        <v>1</v>
      </c>
      <c r="Y49">
        <v>145</v>
      </c>
      <c r="Z49">
        <v>408</v>
      </c>
      <c r="AA49">
        <v>793</v>
      </c>
      <c r="AB49" s="1">
        <v>6367</v>
      </c>
      <c r="AC49" s="1">
        <v>9474</v>
      </c>
      <c r="AD49">
        <v>8</v>
      </c>
      <c r="AE49" s="1">
        <v>1427</v>
      </c>
      <c r="AF49" s="1">
        <v>0</v>
      </c>
      <c r="AG49">
        <v>309</v>
      </c>
    </row>
    <row r="50" spans="1:33" x14ac:dyDescent="0.3">
      <c r="A50" t="s">
        <v>31</v>
      </c>
      <c r="B50" t="s">
        <v>48</v>
      </c>
      <c r="C50" s="2" t="s">
        <v>30</v>
      </c>
      <c r="D50" s="1">
        <v>20009</v>
      </c>
      <c r="E50">
        <v>0</v>
      </c>
      <c r="F50" s="1">
        <v>1464</v>
      </c>
      <c r="G50">
        <v>0</v>
      </c>
      <c r="H50">
        <v>362</v>
      </c>
      <c r="I50">
        <v>1</v>
      </c>
      <c r="J50">
        <v>0</v>
      </c>
      <c r="K50">
        <v>1</v>
      </c>
      <c r="L50">
        <v>40</v>
      </c>
      <c r="M50">
        <v>4</v>
      </c>
      <c r="N50">
        <v>107</v>
      </c>
      <c r="O50">
        <v>5</v>
      </c>
      <c r="P50">
        <v>5</v>
      </c>
      <c r="Q50">
        <v>8</v>
      </c>
      <c r="R50">
        <v>0</v>
      </c>
      <c r="S50">
        <v>0</v>
      </c>
      <c r="T50">
        <v>20</v>
      </c>
      <c r="U50">
        <v>102</v>
      </c>
      <c r="V50">
        <v>1</v>
      </c>
      <c r="W50">
        <v>26</v>
      </c>
      <c r="X50">
        <v>0</v>
      </c>
      <c r="Y50" s="1">
        <v>3476</v>
      </c>
      <c r="Z50">
        <v>603</v>
      </c>
      <c r="AA50" s="1">
        <v>2965</v>
      </c>
      <c r="AB50">
        <v>849</v>
      </c>
      <c r="AC50">
        <v>680</v>
      </c>
      <c r="AD50" s="1">
        <v>5299</v>
      </c>
      <c r="AE50" s="1">
        <v>0</v>
      </c>
      <c r="AF50" s="1">
        <v>3631</v>
      </c>
      <c r="AG50">
        <v>360</v>
      </c>
    </row>
    <row r="51" spans="1:33" x14ac:dyDescent="0.3">
      <c r="A51" t="s">
        <v>31</v>
      </c>
      <c r="B51" t="s">
        <v>48</v>
      </c>
      <c r="C51" s="2" t="s">
        <v>33</v>
      </c>
      <c r="D51" s="1">
        <v>9860</v>
      </c>
      <c r="E51">
        <v>0</v>
      </c>
      <c r="F51">
        <v>419</v>
      </c>
      <c r="G51">
        <v>0</v>
      </c>
      <c r="H51">
        <v>104</v>
      </c>
      <c r="I51">
        <v>1</v>
      </c>
      <c r="J51">
        <v>0</v>
      </c>
      <c r="K51">
        <v>1</v>
      </c>
      <c r="L51">
        <v>29</v>
      </c>
      <c r="M51">
        <v>4</v>
      </c>
      <c r="N51">
        <v>17</v>
      </c>
      <c r="O51">
        <v>1</v>
      </c>
      <c r="P51">
        <v>0</v>
      </c>
      <c r="Q51">
        <v>4</v>
      </c>
      <c r="R51">
        <v>0</v>
      </c>
      <c r="S51">
        <v>0</v>
      </c>
      <c r="T51">
        <v>13</v>
      </c>
      <c r="U51">
        <v>36</v>
      </c>
      <c r="V51">
        <v>0</v>
      </c>
      <c r="W51">
        <v>24</v>
      </c>
      <c r="X51">
        <v>0</v>
      </c>
      <c r="Y51" s="1">
        <v>1610</v>
      </c>
      <c r="Z51">
        <v>225</v>
      </c>
      <c r="AA51" s="1">
        <v>1338</v>
      </c>
      <c r="AB51">
        <v>475</v>
      </c>
      <c r="AC51">
        <v>41</v>
      </c>
      <c r="AD51" s="1">
        <v>3285</v>
      </c>
      <c r="AE51" s="1">
        <v>0</v>
      </c>
      <c r="AF51" s="1">
        <v>2024</v>
      </c>
      <c r="AG51">
        <v>209</v>
      </c>
    </row>
    <row r="52" spans="1:33" x14ac:dyDescent="0.3">
      <c r="A52" t="s">
        <v>31</v>
      </c>
      <c r="B52" t="s">
        <v>48</v>
      </c>
      <c r="C52" s="2" t="s">
        <v>34</v>
      </c>
      <c r="D52" s="1">
        <v>10149</v>
      </c>
      <c r="E52">
        <v>0</v>
      </c>
      <c r="F52" s="1">
        <v>1045</v>
      </c>
      <c r="G52">
        <v>0</v>
      </c>
      <c r="H52">
        <v>258</v>
      </c>
      <c r="I52">
        <v>0</v>
      </c>
      <c r="J52">
        <v>0</v>
      </c>
      <c r="K52">
        <v>0</v>
      </c>
      <c r="L52">
        <v>11</v>
      </c>
      <c r="M52">
        <v>0</v>
      </c>
      <c r="N52">
        <v>90</v>
      </c>
      <c r="O52">
        <v>4</v>
      </c>
      <c r="P52">
        <v>5</v>
      </c>
      <c r="Q52">
        <v>4</v>
      </c>
      <c r="R52">
        <v>0</v>
      </c>
      <c r="S52">
        <v>0</v>
      </c>
      <c r="T52">
        <v>7</v>
      </c>
      <c r="U52">
        <v>66</v>
      </c>
      <c r="V52">
        <v>1</v>
      </c>
      <c r="W52">
        <v>2</v>
      </c>
      <c r="X52">
        <v>0</v>
      </c>
      <c r="Y52" s="1">
        <v>1866</v>
      </c>
      <c r="Z52">
        <v>378</v>
      </c>
      <c r="AA52" s="1">
        <v>1627</v>
      </c>
      <c r="AB52">
        <v>374</v>
      </c>
      <c r="AC52">
        <v>639</v>
      </c>
      <c r="AD52" s="1">
        <v>2014</v>
      </c>
      <c r="AE52" s="1">
        <v>0</v>
      </c>
      <c r="AF52" s="1">
        <v>1607</v>
      </c>
      <c r="AG52">
        <v>151</v>
      </c>
    </row>
    <row r="53" spans="1:33" x14ac:dyDescent="0.3">
      <c r="A53" t="s">
        <v>31</v>
      </c>
      <c r="B53" t="s">
        <v>49</v>
      </c>
      <c r="C53" s="2" t="s">
        <v>30</v>
      </c>
      <c r="D53" s="1">
        <v>17395</v>
      </c>
      <c r="E53">
        <v>1</v>
      </c>
      <c r="F53" s="1">
        <v>2118</v>
      </c>
      <c r="G53">
        <v>0</v>
      </c>
      <c r="H53">
        <v>230</v>
      </c>
      <c r="I53">
        <v>1</v>
      </c>
      <c r="J53">
        <v>16</v>
      </c>
      <c r="K53">
        <v>3</v>
      </c>
      <c r="L53">
        <v>404</v>
      </c>
      <c r="M53">
        <v>72</v>
      </c>
      <c r="N53">
        <v>159</v>
      </c>
      <c r="O53">
        <v>67</v>
      </c>
      <c r="P53">
        <v>0</v>
      </c>
      <c r="Q53">
        <v>220</v>
      </c>
      <c r="R53">
        <v>0</v>
      </c>
      <c r="S53">
        <v>0</v>
      </c>
      <c r="T53">
        <v>0</v>
      </c>
      <c r="U53" s="1">
        <v>1646</v>
      </c>
      <c r="V53">
        <v>1</v>
      </c>
      <c r="W53" s="1">
        <v>4333</v>
      </c>
      <c r="X53">
        <v>0</v>
      </c>
      <c r="Y53">
        <v>195</v>
      </c>
      <c r="Z53" s="1">
        <v>1017</v>
      </c>
      <c r="AA53" s="1">
        <v>2381</v>
      </c>
      <c r="AB53">
        <v>559</v>
      </c>
      <c r="AC53">
        <v>876</v>
      </c>
      <c r="AD53" s="1">
        <v>2221</v>
      </c>
      <c r="AE53" s="1">
        <v>0</v>
      </c>
      <c r="AF53" s="1">
        <v>0</v>
      </c>
      <c r="AG53">
        <v>875</v>
      </c>
    </row>
    <row r="54" spans="1:33" x14ac:dyDescent="0.3">
      <c r="A54" t="s">
        <v>31</v>
      </c>
      <c r="B54" t="s">
        <v>49</v>
      </c>
      <c r="C54" s="2" t="s">
        <v>33</v>
      </c>
      <c r="D54" s="1">
        <v>13939</v>
      </c>
      <c r="E54">
        <v>1</v>
      </c>
      <c r="F54" s="1">
        <v>1587</v>
      </c>
      <c r="G54">
        <v>0</v>
      </c>
      <c r="H54">
        <v>140</v>
      </c>
      <c r="I54">
        <v>1</v>
      </c>
      <c r="J54">
        <v>14</v>
      </c>
      <c r="K54">
        <v>3</v>
      </c>
      <c r="L54">
        <v>397</v>
      </c>
      <c r="M54">
        <v>70</v>
      </c>
      <c r="N54">
        <v>120</v>
      </c>
      <c r="O54">
        <v>57</v>
      </c>
      <c r="P54">
        <v>0</v>
      </c>
      <c r="Q54">
        <v>181</v>
      </c>
      <c r="R54">
        <v>0</v>
      </c>
      <c r="S54">
        <v>0</v>
      </c>
      <c r="T54">
        <v>0</v>
      </c>
      <c r="U54" s="1">
        <v>1629</v>
      </c>
      <c r="V54">
        <v>1</v>
      </c>
      <c r="W54" s="1">
        <v>4310</v>
      </c>
      <c r="X54">
        <v>0</v>
      </c>
      <c r="Y54">
        <v>72</v>
      </c>
      <c r="Z54">
        <v>608</v>
      </c>
      <c r="AA54">
        <v>804</v>
      </c>
      <c r="AB54">
        <v>461</v>
      </c>
      <c r="AC54">
        <v>677</v>
      </c>
      <c r="AD54" s="1">
        <v>2037</v>
      </c>
      <c r="AE54" s="1">
        <v>0</v>
      </c>
      <c r="AF54" s="1">
        <v>0</v>
      </c>
      <c r="AG54">
        <v>769</v>
      </c>
    </row>
    <row r="55" spans="1:33" x14ac:dyDescent="0.3">
      <c r="A55" t="s">
        <v>31</v>
      </c>
      <c r="B55" t="s">
        <v>49</v>
      </c>
      <c r="C55" s="2" t="s">
        <v>34</v>
      </c>
      <c r="D55" s="1">
        <v>3456</v>
      </c>
      <c r="E55">
        <v>0</v>
      </c>
      <c r="F55">
        <v>531</v>
      </c>
      <c r="G55">
        <v>0</v>
      </c>
      <c r="H55">
        <v>90</v>
      </c>
      <c r="I55">
        <v>0</v>
      </c>
      <c r="J55">
        <v>2</v>
      </c>
      <c r="K55">
        <v>0</v>
      </c>
      <c r="L55">
        <v>7</v>
      </c>
      <c r="M55">
        <v>2</v>
      </c>
      <c r="N55">
        <v>39</v>
      </c>
      <c r="O55">
        <v>10</v>
      </c>
      <c r="P55">
        <v>0</v>
      </c>
      <c r="Q55">
        <v>39</v>
      </c>
      <c r="R55">
        <v>0</v>
      </c>
      <c r="S55">
        <v>0</v>
      </c>
      <c r="T55">
        <v>0</v>
      </c>
      <c r="U55">
        <v>17</v>
      </c>
      <c r="V55">
        <v>0</v>
      </c>
      <c r="W55">
        <v>23</v>
      </c>
      <c r="X55">
        <v>0</v>
      </c>
      <c r="Y55">
        <v>123</v>
      </c>
      <c r="Z55">
        <v>409</v>
      </c>
      <c r="AA55" s="1">
        <v>1577</v>
      </c>
      <c r="AB55">
        <v>98</v>
      </c>
      <c r="AC55">
        <v>199</v>
      </c>
      <c r="AD55">
        <v>184</v>
      </c>
      <c r="AE55" s="1">
        <v>0</v>
      </c>
      <c r="AF55" s="1">
        <v>0</v>
      </c>
      <c r="AG55">
        <v>106</v>
      </c>
    </row>
    <row r="56" spans="1:33" x14ac:dyDescent="0.3">
      <c r="A56" t="s">
        <v>31</v>
      </c>
      <c r="B56" t="s">
        <v>50</v>
      </c>
      <c r="C56" s="2" t="s">
        <v>30</v>
      </c>
      <c r="D56" s="1">
        <v>17187</v>
      </c>
      <c r="E56">
        <v>4</v>
      </c>
      <c r="F56" s="1">
        <v>1043</v>
      </c>
      <c r="G56">
        <v>0</v>
      </c>
      <c r="H56">
        <v>485</v>
      </c>
      <c r="I56">
        <v>2</v>
      </c>
      <c r="J56">
        <v>12</v>
      </c>
      <c r="K56">
        <v>31</v>
      </c>
      <c r="L56">
        <v>105</v>
      </c>
      <c r="M56">
        <v>17</v>
      </c>
      <c r="N56">
        <v>149</v>
      </c>
      <c r="O56">
        <v>6</v>
      </c>
      <c r="P56">
        <v>6</v>
      </c>
      <c r="Q56">
        <v>34</v>
      </c>
      <c r="R56">
        <v>6</v>
      </c>
      <c r="S56">
        <v>12</v>
      </c>
      <c r="T56">
        <v>41</v>
      </c>
      <c r="U56">
        <v>365</v>
      </c>
      <c r="V56">
        <v>0</v>
      </c>
      <c r="W56">
        <v>0</v>
      </c>
      <c r="X56">
        <v>0</v>
      </c>
      <c r="Y56">
        <v>386</v>
      </c>
      <c r="Z56" s="1">
        <v>2340</v>
      </c>
      <c r="AA56">
        <v>109</v>
      </c>
      <c r="AB56" s="1">
        <v>9965</v>
      </c>
      <c r="AC56" s="1">
        <v>1662</v>
      </c>
      <c r="AD56">
        <v>3</v>
      </c>
      <c r="AE56">
        <v>349</v>
      </c>
      <c r="AF56" s="1">
        <v>0</v>
      </c>
      <c r="AG56">
        <v>55</v>
      </c>
    </row>
    <row r="57" spans="1:33" x14ac:dyDescent="0.3">
      <c r="A57" t="s">
        <v>31</v>
      </c>
      <c r="B57" t="s">
        <v>50</v>
      </c>
      <c r="C57" s="2" t="s">
        <v>33</v>
      </c>
      <c r="D57" s="1">
        <v>7666</v>
      </c>
      <c r="E57">
        <v>1</v>
      </c>
      <c r="F57">
        <v>127</v>
      </c>
      <c r="G57">
        <v>0</v>
      </c>
      <c r="H57">
        <v>59</v>
      </c>
      <c r="I57">
        <v>1</v>
      </c>
      <c r="J57">
        <v>3</v>
      </c>
      <c r="K57">
        <v>26</v>
      </c>
      <c r="L57">
        <v>62</v>
      </c>
      <c r="M57">
        <v>16</v>
      </c>
      <c r="N57">
        <v>18</v>
      </c>
      <c r="O57">
        <v>2</v>
      </c>
      <c r="P57">
        <v>2</v>
      </c>
      <c r="Q57">
        <v>25</v>
      </c>
      <c r="R57">
        <v>6</v>
      </c>
      <c r="S57">
        <v>11</v>
      </c>
      <c r="T57">
        <v>15</v>
      </c>
      <c r="U57">
        <v>64</v>
      </c>
      <c r="V57">
        <v>0</v>
      </c>
      <c r="W57">
        <v>0</v>
      </c>
      <c r="X57">
        <v>0</v>
      </c>
      <c r="Y57">
        <v>198</v>
      </c>
      <c r="Z57" s="1">
        <v>1227</v>
      </c>
      <c r="AA57">
        <v>39</v>
      </c>
      <c r="AB57" s="1">
        <v>5530</v>
      </c>
      <c r="AC57">
        <v>180</v>
      </c>
      <c r="AD57">
        <v>3</v>
      </c>
      <c r="AE57">
        <v>28</v>
      </c>
      <c r="AF57" s="1">
        <v>0</v>
      </c>
      <c r="AG57">
        <v>23</v>
      </c>
    </row>
    <row r="58" spans="1:33" x14ac:dyDescent="0.3">
      <c r="A58" t="s">
        <v>31</v>
      </c>
      <c r="B58" t="s">
        <v>50</v>
      </c>
      <c r="C58" s="2" t="s">
        <v>34</v>
      </c>
      <c r="D58" s="1">
        <v>9521</v>
      </c>
      <c r="E58">
        <v>3</v>
      </c>
      <c r="F58">
        <v>916</v>
      </c>
      <c r="G58">
        <v>0</v>
      </c>
      <c r="H58">
        <v>426</v>
      </c>
      <c r="I58">
        <v>1</v>
      </c>
      <c r="J58">
        <v>9</v>
      </c>
      <c r="K58">
        <v>5</v>
      </c>
      <c r="L58">
        <v>43</v>
      </c>
      <c r="M58">
        <v>1</v>
      </c>
      <c r="N58">
        <v>131</v>
      </c>
      <c r="O58">
        <v>4</v>
      </c>
      <c r="P58">
        <v>4</v>
      </c>
      <c r="Q58">
        <v>9</v>
      </c>
      <c r="R58">
        <v>0</v>
      </c>
      <c r="S58">
        <v>1</v>
      </c>
      <c r="T58">
        <v>26</v>
      </c>
      <c r="U58">
        <v>301</v>
      </c>
      <c r="V58">
        <v>0</v>
      </c>
      <c r="W58">
        <v>0</v>
      </c>
      <c r="X58">
        <v>0</v>
      </c>
      <c r="Y58">
        <v>188</v>
      </c>
      <c r="Z58" s="1">
        <v>1113</v>
      </c>
      <c r="AA58">
        <v>70</v>
      </c>
      <c r="AB58" s="1">
        <v>4435</v>
      </c>
      <c r="AC58" s="1">
        <v>1482</v>
      </c>
      <c r="AD58" s="1">
        <v>0</v>
      </c>
      <c r="AE58">
        <v>321</v>
      </c>
      <c r="AF58" s="1">
        <v>0</v>
      </c>
      <c r="AG58">
        <v>32</v>
      </c>
    </row>
    <row r="59" spans="1:33" x14ac:dyDescent="0.3">
      <c r="A59" t="s">
        <v>31</v>
      </c>
      <c r="B59" t="s">
        <v>51</v>
      </c>
      <c r="C59" s="2" t="s">
        <v>30</v>
      </c>
      <c r="D59" s="1">
        <v>15837</v>
      </c>
      <c r="E59">
        <v>0</v>
      </c>
      <c r="F59" s="1">
        <v>1874</v>
      </c>
      <c r="G59">
        <v>4</v>
      </c>
      <c r="H59">
        <v>406</v>
      </c>
      <c r="I59">
        <v>3</v>
      </c>
      <c r="J59">
        <v>57</v>
      </c>
      <c r="K59">
        <v>97</v>
      </c>
      <c r="L59">
        <v>224</v>
      </c>
      <c r="M59">
        <v>130</v>
      </c>
      <c r="N59">
        <v>161</v>
      </c>
      <c r="O59">
        <v>307</v>
      </c>
      <c r="P59">
        <v>1</v>
      </c>
      <c r="Q59" s="1">
        <v>1197</v>
      </c>
      <c r="R59">
        <v>15</v>
      </c>
      <c r="S59">
        <v>6</v>
      </c>
      <c r="T59">
        <v>23</v>
      </c>
      <c r="U59" s="1">
        <v>1641</v>
      </c>
      <c r="V59">
        <v>0</v>
      </c>
      <c r="W59">
        <v>9</v>
      </c>
      <c r="X59">
        <v>0</v>
      </c>
      <c r="Y59">
        <v>116</v>
      </c>
      <c r="Z59">
        <v>834</v>
      </c>
      <c r="AA59" s="1">
        <v>2368</v>
      </c>
      <c r="AB59">
        <v>615</v>
      </c>
      <c r="AC59">
        <v>332</v>
      </c>
      <c r="AD59" s="1">
        <v>4657</v>
      </c>
      <c r="AE59">
        <v>0</v>
      </c>
      <c r="AF59" s="1">
        <v>0</v>
      </c>
      <c r="AG59">
        <v>760</v>
      </c>
    </row>
    <row r="60" spans="1:33" x14ac:dyDescent="0.3">
      <c r="A60" t="s">
        <v>31</v>
      </c>
      <c r="B60" t="s">
        <v>51</v>
      </c>
      <c r="C60" s="2" t="s">
        <v>33</v>
      </c>
      <c r="D60" s="1">
        <v>10880</v>
      </c>
      <c r="E60">
        <v>0</v>
      </c>
      <c r="F60">
        <v>779</v>
      </c>
      <c r="G60">
        <v>4</v>
      </c>
      <c r="H60">
        <v>189</v>
      </c>
      <c r="I60">
        <v>2</v>
      </c>
      <c r="J60">
        <v>42</v>
      </c>
      <c r="K60">
        <v>90</v>
      </c>
      <c r="L60">
        <v>204</v>
      </c>
      <c r="M60">
        <v>126</v>
      </c>
      <c r="N60">
        <v>70</v>
      </c>
      <c r="O60">
        <v>247</v>
      </c>
      <c r="P60">
        <v>0</v>
      </c>
      <c r="Q60">
        <v>968</v>
      </c>
      <c r="R60">
        <v>14</v>
      </c>
      <c r="S60">
        <v>6</v>
      </c>
      <c r="T60">
        <v>13</v>
      </c>
      <c r="U60" s="1">
        <v>1536</v>
      </c>
      <c r="V60">
        <v>0</v>
      </c>
      <c r="W60">
        <v>9</v>
      </c>
      <c r="X60">
        <v>0</v>
      </c>
      <c r="Y60">
        <v>43</v>
      </c>
      <c r="Z60">
        <v>372</v>
      </c>
      <c r="AA60">
        <v>652</v>
      </c>
      <c r="AB60">
        <v>472</v>
      </c>
      <c r="AC60">
        <v>192</v>
      </c>
      <c r="AD60" s="1">
        <v>4228</v>
      </c>
      <c r="AE60">
        <v>0</v>
      </c>
      <c r="AF60" s="1">
        <v>0</v>
      </c>
      <c r="AG60">
        <v>622</v>
      </c>
    </row>
    <row r="61" spans="1:33" x14ac:dyDescent="0.3">
      <c r="A61" t="s">
        <v>31</v>
      </c>
      <c r="B61" t="s">
        <v>51</v>
      </c>
      <c r="C61" s="2" t="s">
        <v>34</v>
      </c>
      <c r="D61" s="1">
        <v>4957</v>
      </c>
      <c r="E61">
        <v>0</v>
      </c>
      <c r="F61" s="1">
        <v>1095</v>
      </c>
      <c r="G61">
        <v>0</v>
      </c>
      <c r="H61">
        <v>217</v>
      </c>
      <c r="I61">
        <v>1</v>
      </c>
      <c r="J61">
        <v>15</v>
      </c>
      <c r="K61">
        <v>7</v>
      </c>
      <c r="L61">
        <v>20</v>
      </c>
      <c r="M61">
        <v>4</v>
      </c>
      <c r="N61">
        <v>91</v>
      </c>
      <c r="O61">
        <v>60</v>
      </c>
      <c r="P61">
        <v>1</v>
      </c>
      <c r="Q61">
        <v>229</v>
      </c>
      <c r="R61">
        <v>1</v>
      </c>
      <c r="S61">
        <v>0</v>
      </c>
      <c r="T61">
        <v>10</v>
      </c>
      <c r="U61">
        <v>105</v>
      </c>
      <c r="V61">
        <v>0</v>
      </c>
      <c r="W61">
        <v>0</v>
      </c>
      <c r="X61">
        <v>0</v>
      </c>
      <c r="Y61">
        <v>73</v>
      </c>
      <c r="Z61">
        <v>462</v>
      </c>
      <c r="AA61" s="1">
        <v>1716</v>
      </c>
      <c r="AB61">
        <v>143</v>
      </c>
      <c r="AC61">
        <v>140</v>
      </c>
      <c r="AD61">
        <v>429</v>
      </c>
      <c r="AE61">
        <v>0</v>
      </c>
      <c r="AF61" s="1">
        <v>0</v>
      </c>
      <c r="AG61">
        <v>138</v>
      </c>
    </row>
    <row r="62" spans="1:33" x14ac:dyDescent="0.3">
      <c r="A62" t="s">
        <v>31</v>
      </c>
      <c r="B62" t="s">
        <v>52</v>
      </c>
      <c r="C62" s="2" t="s">
        <v>30</v>
      </c>
      <c r="D62" s="1">
        <v>11543</v>
      </c>
      <c r="E62">
        <v>0</v>
      </c>
      <c r="F62">
        <v>144</v>
      </c>
      <c r="G62">
        <v>0</v>
      </c>
      <c r="H62">
        <v>98</v>
      </c>
      <c r="I62">
        <v>0</v>
      </c>
      <c r="J62">
        <v>2</v>
      </c>
      <c r="K62">
        <v>2</v>
      </c>
      <c r="L62">
        <v>0</v>
      </c>
      <c r="M62">
        <v>0</v>
      </c>
      <c r="N62">
        <v>8</v>
      </c>
      <c r="O62">
        <v>0</v>
      </c>
      <c r="P62">
        <v>0</v>
      </c>
      <c r="Q62">
        <v>3</v>
      </c>
      <c r="R62">
        <v>0</v>
      </c>
      <c r="S62">
        <v>0</v>
      </c>
      <c r="T62">
        <v>12</v>
      </c>
      <c r="U62">
        <v>13</v>
      </c>
      <c r="V62" s="1">
        <v>5863</v>
      </c>
      <c r="W62" s="1">
        <v>4028</v>
      </c>
      <c r="X62">
        <v>0</v>
      </c>
      <c r="Y62">
        <v>179</v>
      </c>
      <c r="Z62">
        <v>16</v>
      </c>
      <c r="AA62">
        <v>14</v>
      </c>
      <c r="AB62">
        <v>36</v>
      </c>
      <c r="AC62" s="1">
        <v>1098</v>
      </c>
      <c r="AD62">
        <v>6</v>
      </c>
      <c r="AE62">
        <v>0</v>
      </c>
      <c r="AF62" s="1">
        <v>0</v>
      </c>
      <c r="AG62">
        <v>21</v>
      </c>
    </row>
    <row r="63" spans="1:33" x14ac:dyDescent="0.3">
      <c r="A63" t="s">
        <v>31</v>
      </c>
      <c r="B63" t="s">
        <v>52</v>
      </c>
      <c r="C63" s="2" t="s">
        <v>33</v>
      </c>
      <c r="D63" s="1">
        <v>6917</v>
      </c>
      <c r="E63">
        <v>0</v>
      </c>
      <c r="F63">
        <v>63</v>
      </c>
      <c r="G63">
        <v>0</v>
      </c>
      <c r="H63">
        <v>45</v>
      </c>
      <c r="I63">
        <v>0</v>
      </c>
      <c r="J63">
        <v>2</v>
      </c>
      <c r="K63">
        <v>1</v>
      </c>
      <c r="L63">
        <v>0</v>
      </c>
      <c r="M63">
        <v>0</v>
      </c>
      <c r="N63">
        <v>2</v>
      </c>
      <c r="O63">
        <v>0</v>
      </c>
      <c r="P63">
        <v>0</v>
      </c>
      <c r="Q63">
        <v>2</v>
      </c>
      <c r="R63">
        <v>0</v>
      </c>
      <c r="S63">
        <v>0</v>
      </c>
      <c r="T63">
        <v>12</v>
      </c>
      <c r="U63">
        <v>5</v>
      </c>
      <c r="V63" s="1">
        <v>3181</v>
      </c>
      <c r="W63" s="1">
        <v>3521</v>
      </c>
      <c r="X63">
        <v>0</v>
      </c>
      <c r="Y63">
        <v>48</v>
      </c>
      <c r="Z63">
        <v>4</v>
      </c>
      <c r="AA63">
        <v>5</v>
      </c>
      <c r="AB63">
        <v>1</v>
      </c>
      <c r="AC63">
        <v>9</v>
      </c>
      <c r="AD63">
        <v>2</v>
      </c>
      <c r="AE63">
        <v>0</v>
      </c>
      <c r="AF63" s="1">
        <v>0</v>
      </c>
      <c r="AG63">
        <v>14</v>
      </c>
    </row>
    <row r="64" spans="1:33" x14ac:dyDescent="0.3">
      <c r="A64" t="s">
        <v>31</v>
      </c>
      <c r="B64" t="s">
        <v>52</v>
      </c>
      <c r="C64" s="2" t="s">
        <v>34</v>
      </c>
      <c r="D64" s="1">
        <v>4626</v>
      </c>
      <c r="E64">
        <v>0</v>
      </c>
      <c r="F64">
        <v>81</v>
      </c>
      <c r="G64">
        <v>0</v>
      </c>
      <c r="H64">
        <v>53</v>
      </c>
      <c r="I64">
        <v>0</v>
      </c>
      <c r="J64">
        <v>0</v>
      </c>
      <c r="K64">
        <v>1</v>
      </c>
      <c r="L64">
        <v>0</v>
      </c>
      <c r="M64">
        <v>0</v>
      </c>
      <c r="N64">
        <v>6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8</v>
      </c>
      <c r="V64" s="1">
        <v>2682</v>
      </c>
      <c r="W64">
        <v>507</v>
      </c>
      <c r="X64">
        <v>0</v>
      </c>
      <c r="Y64">
        <v>131</v>
      </c>
      <c r="Z64">
        <v>12</v>
      </c>
      <c r="AA64">
        <v>9</v>
      </c>
      <c r="AB64">
        <v>35</v>
      </c>
      <c r="AC64" s="1">
        <v>1089</v>
      </c>
      <c r="AD64">
        <v>4</v>
      </c>
      <c r="AE64">
        <v>0</v>
      </c>
      <c r="AF64" s="1">
        <v>0</v>
      </c>
      <c r="AG64">
        <v>7</v>
      </c>
    </row>
    <row r="65" spans="1:33" x14ac:dyDescent="0.3">
      <c r="A65" t="s">
        <v>31</v>
      </c>
      <c r="B65" t="s">
        <v>53</v>
      </c>
      <c r="C65" s="2" t="s">
        <v>30</v>
      </c>
      <c r="D65" s="1">
        <v>9170</v>
      </c>
      <c r="E65">
        <v>0</v>
      </c>
      <c r="F65" s="1">
        <v>1565</v>
      </c>
      <c r="G65">
        <v>0</v>
      </c>
      <c r="H65">
        <v>893</v>
      </c>
      <c r="I65">
        <v>0</v>
      </c>
      <c r="J65">
        <v>0</v>
      </c>
      <c r="K65">
        <v>0</v>
      </c>
      <c r="L65">
        <v>284</v>
      </c>
      <c r="M65">
        <v>14</v>
      </c>
      <c r="N65">
        <v>66</v>
      </c>
      <c r="O65">
        <v>0</v>
      </c>
      <c r="P65">
        <v>0</v>
      </c>
      <c r="Q65">
        <v>1</v>
      </c>
      <c r="R65">
        <v>0</v>
      </c>
      <c r="S65">
        <v>0</v>
      </c>
      <c r="T65">
        <v>6</v>
      </c>
      <c r="U65">
        <v>213</v>
      </c>
      <c r="V65">
        <v>21</v>
      </c>
      <c r="W65" s="1">
        <v>1546</v>
      </c>
      <c r="X65">
        <v>1</v>
      </c>
      <c r="Y65">
        <v>769</v>
      </c>
      <c r="Z65">
        <v>251</v>
      </c>
      <c r="AA65" s="1">
        <v>1283</v>
      </c>
      <c r="AB65">
        <v>310</v>
      </c>
      <c r="AC65">
        <v>387</v>
      </c>
      <c r="AD65">
        <v>929</v>
      </c>
      <c r="AE65">
        <v>0</v>
      </c>
      <c r="AF65">
        <v>526</v>
      </c>
      <c r="AG65">
        <v>105</v>
      </c>
    </row>
    <row r="66" spans="1:33" x14ac:dyDescent="0.3">
      <c r="A66" t="s">
        <v>31</v>
      </c>
      <c r="B66" t="s">
        <v>53</v>
      </c>
      <c r="C66" s="2" t="s">
        <v>33</v>
      </c>
      <c r="D66" s="1">
        <v>5658</v>
      </c>
      <c r="E66">
        <v>0</v>
      </c>
      <c r="F66">
        <v>836</v>
      </c>
      <c r="G66">
        <v>0</v>
      </c>
      <c r="H66">
        <v>566</v>
      </c>
      <c r="I66">
        <v>0</v>
      </c>
      <c r="J66">
        <v>0</v>
      </c>
      <c r="K66">
        <v>0</v>
      </c>
      <c r="L66">
        <v>268</v>
      </c>
      <c r="M66">
        <v>12</v>
      </c>
      <c r="N66">
        <v>24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175</v>
      </c>
      <c r="V66">
        <v>16</v>
      </c>
      <c r="W66" s="1">
        <v>1443</v>
      </c>
      <c r="X66">
        <v>1</v>
      </c>
      <c r="Y66">
        <v>350</v>
      </c>
      <c r="Z66">
        <v>111</v>
      </c>
      <c r="AA66">
        <v>524</v>
      </c>
      <c r="AB66">
        <v>126</v>
      </c>
      <c r="AC66">
        <v>33</v>
      </c>
      <c r="AD66">
        <v>792</v>
      </c>
      <c r="AE66">
        <v>0</v>
      </c>
      <c r="AF66">
        <v>309</v>
      </c>
      <c r="AG66">
        <v>71</v>
      </c>
    </row>
    <row r="67" spans="1:33" x14ac:dyDescent="0.3">
      <c r="A67" t="s">
        <v>31</v>
      </c>
      <c r="B67" t="s">
        <v>53</v>
      </c>
      <c r="C67" s="2" t="s">
        <v>34</v>
      </c>
      <c r="D67" s="1">
        <v>3512</v>
      </c>
      <c r="E67">
        <v>0</v>
      </c>
      <c r="F67">
        <v>729</v>
      </c>
      <c r="G67">
        <v>0</v>
      </c>
      <c r="H67">
        <v>327</v>
      </c>
      <c r="I67">
        <v>0</v>
      </c>
      <c r="J67">
        <v>0</v>
      </c>
      <c r="K67">
        <v>0</v>
      </c>
      <c r="L67">
        <v>16</v>
      </c>
      <c r="M67">
        <v>2</v>
      </c>
      <c r="N67">
        <v>42</v>
      </c>
      <c r="O67">
        <v>0</v>
      </c>
      <c r="P67">
        <v>0</v>
      </c>
      <c r="Q67">
        <v>1</v>
      </c>
      <c r="R67">
        <v>0</v>
      </c>
      <c r="S67">
        <v>0</v>
      </c>
      <c r="T67">
        <v>5</v>
      </c>
      <c r="U67">
        <v>38</v>
      </c>
      <c r="V67">
        <v>5</v>
      </c>
      <c r="W67">
        <v>103</v>
      </c>
      <c r="X67">
        <v>0</v>
      </c>
      <c r="Y67">
        <v>419</v>
      </c>
      <c r="Z67">
        <v>140</v>
      </c>
      <c r="AA67">
        <v>759</v>
      </c>
      <c r="AB67">
        <v>184</v>
      </c>
      <c r="AC67">
        <v>354</v>
      </c>
      <c r="AD67">
        <v>137</v>
      </c>
      <c r="AE67">
        <v>0</v>
      </c>
      <c r="AF67">
        <v>217</v>
      </c>
      <c r="AG67">
        <v>34</v>
      </c>
    </row>
    <row r="68" spans="1:33" x14ac:dyDescent="0.3">
      <c r="A68" t="s">
        <v>31</v>
      </c>
      <c r="B68" t="s">
        <v>54</v>
      </c>
      <c r="C68" s="2" t="s">
        <v>30</v>
      </c>
      <c r="D68" s="1">
        <v>5406</v>
      </c>
      <c r="E68">
        <v>0</v>
      </c>
      <c r="F68" s="1">
        <v>1079</v>
      </c>
      <c r="G68">
        <v>4</v>
      </c>
      <c r="H68">
        <v>160</v>
      </c>
      <c r="I68">
        <v>0</v>
      </c>
      <c r="J68">
        <v>6</v>
      </c>
      <c r="K68">
        <v>2</v>
      </c>
      <c r="L68">
        <v>32</v>
      </c>
      <c r="M68">
        <v>116</v>
      </c>
      <c r="N68">
        <v>71</v>
      </c>
      <c r="O68">
        <v>10</v>
      </c>
      <c r="P68">
        <v>0</v>
      </c>
      <c r="Q68">
        <v>28</v>
      </c>
      <c r="R68">
        <v>16</v>
      </c>
      <c r="S68">
        <v>22</v>
      </c>
      <c r="T68">
        <v>12</v>
      </c>
      <c r="U68">
        <v>233</v>
      </c>
      <c r="V68">
        <v>0</v>
      </c>
      <c r="W68" s="1">
        <v>0</v>
      </c>
      <c r="X68">
        <v>0</v>
      </c>
      <c r="Y68">
        <v>18</v>
      </c>
      <c r="Z68">
        <v>134</v>
      </c>
      <c r="AA68">
        <v>234</v>
      </c>
      <c r="AB68">
        <v>156</v>
      </c>
      <c r="AC68">
        <v>336</v>
      </c>
      <c r="AD68" s="1">
        <v>2567</v>
      </c>
      <c r="AE68">
        <v>0</v>
      </c>
      <c r="AF68">
        <v>0</v>
      </c>
      <c r="AG68">
        <v>170</v>
      </c>
    </row>
    <row r="69" spans="1:33" x14ac:dyDescent="0.3">
      <c r="A69" t="s">
        <v>31</v>
      </c>
      <c r="B69" t="s">
        <v>54</v>
      </c>
      <c r="C69" s="2" t="s">
        <v>33</v>
      </c>
      <c r="D69" s="1">
        <v>2778</v>
      </c>
      <c r="E69">
        <v>0</v>
      </c>
      <c r="F69">
        <v>366</v>
      </c>
      <c r="G69">
        <v>4</v>
      </c>
      <c r="H69">
        <v>55</v>
      </c>
      <c r="I69">
        <v>0</v>
      </c>
      <c r="J69">
        <v>4</v>
      </c>
      <c r="K69">
        <v>2</v>
      </c>
      <c r="L69">
        <v>19</v>
      </c>
      <c r="M69">
        <v>107</v>
      </c>
      <c r="N69">
        <v>17</v>
      </c>
      <c r="O69">
        <v>2</v>
      </c>
      <c r="P69">
        <v>0</v>
      </c>
      <c r="Q69">
        <v>14</v>
      </c>
      <c r="R69">
        <v>16</v>
      </c>
      <c r="S69">
        <v>22</v>
      </c>
      <c r="T69">
        <v>7</v>
      </c>
      <c r="U69">
        <v>113</v>
      </c>
      <c r="V69">
        <v>0</v>
      </c>
      <c r="W69" s="1">
        <v>0</v>
      </c>
      <c r="X69">
        <v>0</v>
      </c>
      <c r="Y69">
        <v>7</v>
      </c>
      <c r="Z69">
        <v>35</v>
      </c>
      <c r="AA69">
        <v>82</v>
      </c>
      <c r="AB69">
        <v>33</v>
      </c>
      <c r="AC69">
        <v>70</v>
      </c>
      <c r="AD69" s="1">
        <v>1711</v>
      </c>
      <c r="AE69">
        <v>0</v>
      </c>
      <c r="AF69">
        <v>0</v>
      </c>
      <c r="AG69">
        <v>92</v>
      </c>
    </row>
    <row r="70" spans="1:33" x14ac:dyDescent="0.3">
      <c r="A70" t="s">
        <v>31</v>
      </c>
      <c r="B70" t="s">
        <v>54</v>
      </c>
      <c r="C70" s="2" t="s">
        <v>34</v>
      </c>
      <c r="D70" s="1">
        <v>2628</v>
      </c>
      <c r="E70">
        <v>0</v>
      </c>
      <c r="F70">
        <v>713</v>
      </c>
      <c r="G70">
        <v>0</v>
      </c>
      <c r="H70">
        <v>105</v>
      </c>
      <c r="I70">
        <v>0</v>
      </c>
      <c r="J70">
        <v>2</v>
      </c>
      <c r="K70">
        <v>0</v>
      </c>
      <c r="L70">
        <v>13</v>
      </c>
      <c r="M70">
        <v>9</v>
      </c>
      <c r="N70">
        <v>54</v>
      </c>
      <c r="O70">
        <v>8</v>
      </c>
      <c r="P70">
        <v>0</v>
      </c>
      <c r="Q70">
        <v>14</v>
      </c>
      <c r="R70">
        <v>0</v>
      </c>
      <c r="S70">
        <v>0</v>
      </c>
      <c r="T70">
        <v>5</v>
      </c>
      <c r="U70">
        <v>120</v>
      </c>
      <c r="V70">
        <v>0</v>
      </c>
      <c r="W70" s="1">
        <v>0</v>
      </c>
      <c r="X70">
        <v>0</v>
      </c>
      <c r="Y70">
        <v>11</v>
      </c>
      <c r="Z70">
        <v>99</v>
      </c>
      <c r="AA70">
        <v>152</v>
      </c>
      <c r="AB70">
        <v>123</v>
      </c>
      <c r="AC70">
        <v>266</v>
      </c>
      <c r="AD70">
        <v>856</v>
      </c>
      <c r="AE70">
        <v>0</v>
      </c>
      <c r="AF70">
        <v>0</v>
      </c>
      <c r="AG70">
        <v>78</v>
      </c>
    </row>
    <row r="71" spans="1:33" x14ac:dyDescent="0.3">
      <c r="A71" t="s">
        <v>31</v>
      </c>
      <c r="B71" t="s">
        <v>55</v>
      </c>
      <c r="C71" s="2" t="s">
        <v>30</v>
      </c>
      <c r="D71" s="1">
        <v>4679</v>
      </c>
      <c r="E71">
        <v>0</v>
      </c>
      <c r="F71">
        <v>41</v>
      </c>
      <c r="G71">
        <v>0</v>
      </c>
      <c r="H71">
        <v>8</v>
      </c>
      <c r="I71">
        <v>0</v>
      </c>
      <c r="J71">
        <v>12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151</v>
      </c>
      <c r="V71">
        <v>0</v>
      </c>
      <c r="W71" s="1">
        <v>4396</v>
      </c>
      <c r="X71">
        <v>0</v>
      </c>
      <c r="Y71">
        <v>0</v>
      </c>
      <c r="Z71">
        <v>1</v>
      </c>
      <c r="AA71">
        <v>8</v>
      </c>
      <c r="AB71">
        <v>3</v>
      </c>
      <c r="AC71">
        <v>3</v>
      </c>
      <c r="AD71">
        <v>4</v>
      </c>
      <c r="AE71">
        <v>0</v>
      </c>
      <c r="AF71">
        <v>0</v>
      </c>
      <c r="AG71">
        <v>51</v>
      </c>
    </row>
    <row r="72" spans="1:33" x14ac:dyDescent="0.3">
      <c r="A72" t="s">
        <v>31</v>
      </c>
      <c r="B72" t="s">
        <v>55</v>
      </c>
      <c r="C72" s="2" t="s">
        <v>33</v>
      </c>
      <c r="D72" s="1">
        <v>4534</v>
      </c>
      <c r="E72">
        <v>0</v>
      </c>
      <c r="F72">
        <v>19</v>
      </c>
      <c r="G72">
        <v>0</v>
      </c>
      <c r="H72">
        <v>1</v>
      </c>
      <c r="I72">
        <v>0</v>
      </c>
      <c r="J72">
        <v>4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150</v>
      </c>
      <c r="V72">
        <v>0</v>
      </c>
      <c r="W72" s="1">
        <v>4310</v>
      </c>
      <c r="X72">
        <v>0</v>
      </c>
      <c r="Y72">
        <v>0</v>
      </c>
      <c r="Z72">
        <v>0</v>
      </c>
      <c r="AA72">
        <v>0</v>
      </c>
      <c r="AB72">
        <v>2</v>
      </c>
      <c r="AC72">
        <v>2</v>
      </c>
      <c r="AD72">
        <v>4</v>
      </c>
      <c r="AE72">
        <v>0</v>
      </c>
      <c r="AF72">
        <v>0</v>
      </c>
      <c r="AG72">
        <v>41</v>
      </c>
    </row>
    <row r="73" spans="1:33" x14ac:dyDescent="0.3">
      <c r="A73" t="s">
        <v>31</v>
      </c>
      <c r="B73" t="s">
        <v>55</v>
      </c>
      <c r="C73" s="2" t="s">
        <v>34</v>
      </c>
      <c r="D73">
        <v>145</v>
      </c>
      <c r="E73">
        <v>0</v>
      </c>
      <c r="F73">
        <v>22</v>
      </c>
      <c r="G73">
        <v>0</v>
      </c>
      <c r="H73">
        <v>7</v>
      </c>
      <c r="I73">
        <v>0</v>
      </c>
      <c r="J73">
        <v>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86</v>
      </c>
      <c r="X73">
        <v>0</v>
      </c>
      <c r="Y73">
        <v>0</v>
      </c>
      <c r="Z73">
        <v>1</v>
      </c>
      <c r="AA73">
        <v>8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10</v>
      </c>
    </row>
    <row r="74" spans="1:33" x14ac:dyDescent="0.3">
      <c r="A74" t="s">
        <v>31</v>
      </c>
      <c r="B74" t="s">
        <v>56</v>
      </c>
      <c r="C74" s="2" t="s">
        <v>30</v>
      </c>
      <c r="D74" s="1">
        <v>3477</v>
      </c>
      <c r="E74">
        <v>0</v>
      </c>
      <c r="F74">
        <v>494</v>
      </c>
      <c r="G74">
        <v>0</v>
      </c>
      <c r="H74">
        <v>277</v>
      </c>
      <c r="I74">
        <v>0</v>
      </c>
      <c r="J74">
        <v>3</v>
      </c>
      <c r="K74">
        <v>6</v>
      </c>
      <c r="L74">
        <v>43</v>
      </c>
      <c r="M74">
        <v>23</v>
      </c>
      <c r="N74">
        <v>39</v>
      </c>
      <c r="O74">
        <v>7</v>
      </c>
      <c r="P74">
        <v>1</v>
      </c>
      <c r="Q74">
        <v>8</v>
      </c>
      <c r="R74">
        <v>0</v>
      </c>
      <c r="S74">
        <v>0</v>
      </c>
      <c r="T74">
        <v>23</v>
      </c>
      <c r="U74">
        <v>92</v>
      </c>
      <c r="V74">
        <v>0</v>
      </c>
      <c r="W74" s="1">
        <v>0</v>
      </c>
      <c r="X74">
        <v>0</v>
      </c>
      <c r="Y74">
        <v>23</v>
      </c>
      <c r="Z74">
        <v>144</v>
      </c>
      <c r="AA74">
        <v>142</v>
      </c>
      <c r="AB74">
        <v>44</v>
      </c>
      <c r="AC74">
        <v>553</v>
      </c>
      <c r="AD74" s="1">
        <v>1350</v>
      </c>
      <c r="AE74">
        <v>0</v>
      </c>
      <c r="AF74">
        <v>0</v>
      </c>
      <c r="AG74">
        <v>205</v>
      </c>
    </row>
    <row r="75" spans="1:33" x14ac:dyDescent="0.3">
      <c r="A75" t="s">
        <v>31</v>
      </c>
      <c r="B75" t="s">
        <v>56</v>
      </c>
      <c r="C75" s="2" t="s">
        <v>33</v>
      </c>
      <c r="D75" s="1">
        <v>1956</v>
      </c>
      <c r="E75">
        <v>0</v>
      </c>
      <c r="F75">
        <v>117</v>
      </c>
      <c r="G75">
        <v>0</v>
      </c>
      <c r="H75">
        <v>60</v>
      </c>
      <c r="I75">
        <v>0</v>
      </c>
      <c r="J75">
        <v>3</v>
      </c>
      <c r="K75">
        <v>3</v>
      </c>
      <c r="L75">
        <v>41</v>
      </c>
      <c r="M75">
        <v>22</v>
      </c>
      <c r="N75">
        <v>6</v>
      </c>
      <c r="O75">
        <v>5</v>
      </c>
      <c r="P75">
        <v>0</v>
      </c>
      <c r="Q75">
        <v>5</v>
      </c>
      <c r="R75">
        <v>0</v>
      </c>
      <c r="S75">
        <v>0</v>
      </c>
      <c r="T75">
        <v>13</v>
      </c>
      <c r="U75">
        <v>59</v>
      </c>
      <c r="V75">
        <v>0</v>
      </c>
      <c r="W75" s="1">
        <v>0</v>
      </c>
      <c r="X75">
        <v>0</v>
      </c>
      <c r="Y75">
        <v>9</v>
      </c>
      <c r="Z75">
        <v>44</v>
      </c>
      <c r="AA75">
        <v>51</v>
      </c>
      <c r="AB75">
        <v>23</v>
      </c>
      <c r="AC75">
        <v>175</v>
      </c>
      <c r="AD75" s="1">
        <v>1191</v>
      </c>
      <c r="AE75">
        <v>0</v>
      </c>
      <c r="AF75">
        <v>0</v>
      </c>
      <c r="AG75">
        <v>129</v>
      </c>
    </row>
    <row r="76" spans="1:33" x14ac:dyDescent="0.3">
      <c r="A76" t="s">
        <v>31</v>
      </c>
      <c r="B76" t="s">
        <v>56</v>
      </c>
      <c r="C76" s="2" t="s">
        <v>34</v>
      </c>
      <c r="D76" s="1">
        <v>1521</v>
      </c>
      <c r="E76">
        <v>0</v>
      </c>
      <c r="F76">
        <v>377</v>
      </c>
      <c r="G76">
        <v>0</v>
      </c>
      <c r="H76">
        <v>217</v>
      </c>
      <c r="I76">
        <v>0</v>
      </c>
      <c r="J76">
        <v>0</v>
      </c>
      <c r="K76">
        <v>3</v>
      </c>
      <c r="L76">
        <v>2</v>
      </c>
      <c r="M76">
        <v>1</v>
      </c>
      <c r="N76">
        <v>33</v>
      </c>
      <c r="O76">
        <v>2</v>
      </c>
      <c r="P76">
        <v>1</v>
      </c>
      <c r="Q76">
        <v>3</v>
      </c>
      <c r="R76">
        <v>0</v>
      </c>
      <c r="S76">
        <v>0</v>
      </c>
      <c r="T76">
        <v>10</v>
      </c>
      <c r="U76">
        <v>33</v>
      </c>
      <c r="V76">
        <v>0</v>
      </c>
      <c r="W76" s="1">
        <v>0</v>
      </c>
      <c r="X76">
        <v>0</v>
      </c>
      <c r="Y76">
        <v>14</v>
      </c>
      <c r="Z76">
        <v>100</v>
      </c>
      <c r="AA76">
        <v>91</v>
      </c>
      <c r="AB76">
        <v>21</v>
      </c>
      <c r="AC76">
        <v>378</v>
      </c>
      <c r="AD76">
        <v>159</v>
      </c>
      <c r="AE76">
        <v>0</v>
      </c>
      <c r="AF76">
        <v>0</v>
      </c>
      <c r="AG76">
        <v>76</v>
      </c>
    </row>
    <row r="77" spans="1:33" x14ac:dyDescent="0.3">
      <c r="A77" t="s">
        <v>31</v>
      </c>
      <c r="B77" t="s">
        <v>57</v>
      </c>
      <c r="C77" s="2" t="s">
        <v>30</v>
      </c>
      <c r="D77" s="1">
        <v>2284</v>
      </c>
      <c r="E77">
        <v>0</v>
      </c>
      <c r="F77">
        <v>443</v>
      </c>
      <c r="G77">
        <v>0</v>
      </c>
      <c r="H77">
        <v>142</v>
      </c>
      <c r="I77">
        <v>1</v>
      </c>
      <c r="J77">
        <v>7</v>
      </c>
      <c r="K77">
        <v>7</v>
      </c>
      <c r="L77">
        <v>66</v>
      </c>
      <c r="M77">
        <v>0</v>
      </c>
      <c r="N77">
        <v>88</v>
      </c>
      <c r="O77">
        <v>5</v>
      </c>
      <c r="P77">
        <v>1</v>
      </c>
      <c r="Q77">
        <v>6</v>
      </c>
      <c r="R77">
        <v>0</v>
      </c>
      <c r="S77">
        <v>0</v>
      </c>
      <c r="T77">
        <v>9</v>
      </c>
      <c r="U77">
        <v>163</v>
      </c>
      <c r="V77">
        <v>0</v>
      </c>
      <c r="W77" s="1">
        <v>0</v>
      </c>
      <c r="X77">
        <v>0</v>
      </c>
      <c r="Y77">
        <v>27</v>
      </c>
      <c r="Z77">
        <v>319</v>
      </c>
      <c r="AA77">
        <v>76</v>
      </c>
      <c r="AB77">
        <v>169</v>
      </c>
      <c r="AC77">
        <v>689</v>
      </c>
      <c r="AD77">
        <v>3</v>
      </c>
      <c r="AE77">
        <v>53</v>
      </c>
      <c r="AF77">
        <v>0</v>
      </c>
      <c r="AG77">
        <v>10</v>
      </c>
    </row>
    <row r="78" spans="1:33" x14ac:dyDescent="0.3">
      <c r="A78" t="s">
        <v>31</v>
      </c>
      <c r="B78" t="s">
        <v>57</v>
      </c>
      <c r="C78" s="2" t="s">
        <v>33</v>
      </c>
      <c r="D78">
        <v>479</v>
      </c>
      <c r="E78">
        <v>0</v>
      </c>
      <c r="F78">
        <v>60</v>
      </c>
      <c r="G78">
        <v>0</v>
      </c>
      <c r="H78">
        <v>20</v>
      </c>
      <c r="I78">
        <v>1</v>
      </c>
      <c r="J78">
        <v>5</v>
      </c>
      <c r="K78">
        <v>5</v>
      </c>
      <c r="L78">
        <v>42</v>
      </c>
      <c r="M78">
        <v>0</v>
      </c>
      <c r="N78">
        <v>7</v>
      </c>
      <c r="O78">
        <v>4</v>
      </c>
      <c r="P78">
        <v>0</v>
      </c>
      <c r="Q78">
        <v>4</v>
      </c>
      <c r="R78">
        <v>0</v>
      </c>
      <c r="S78">
        <v>0</v>
      </c>
      <c r="T78">
        <v>7</v>
      </c>
      <c r="U78">
        <v>46</v>
      </c>
      <c r="V78">
        <v>0</v>
      </c>
      <c r="W78" s="1">
        <v>0</v>
      </c>
      <c r="X78">
        <v>0</v>
      </c>
      <c r="Y78">
        <v>8</v>
      </c>
      <c r="Z78">
        <v>99</v>
      </c>
      <c r="AA78">
        <v>27</v>
      </c>
      <c r="AB78">
        <v>50</v>
      </c>
      <c r="AC78">
        <v>85</v>
      </c>
      <c r="AD78">
        <v>1</v>
      </c>
      <c r="AE78">
        <v>6</v>
      </c>
      <c r="AF78">
        <v>0</v>
      </c>
      <c r="AG78">
        <v>2</v>
      </c>
    </row>
    <row r="79" spans="1:33" x14ac:dyDescent="0.3">
      <c r="A79" t="s">
        <v>31</v>
      </c>
      <c r="B79" t="s">
        <v>57</v>
      </c>
      <c r="C79" s="2" t="s">
        <v>34</v>
      </c>
      <c r="D79" s="1">
        <v>1805</v>
      </c>
      <c r="E79">
        <v>0</v>
      </c>
      <c r="F79">
        <v>383</v>
      </c>
      <c r="G79">
        <v>0</v>
      </c>
      <c r="H79">
        <v>122</v>
      </c>
      <c r="I79">
        <v>0</v>
      </c>
      <c r="J79">
        <v>2</v>
      </c>
      <c r="K79">
        <v>2</v>
      </c>
      <c r="L79">
        <v>24</v>
      </c>
      <c r="M79">
        <v>0</v>
      </c>
      <c r="N79">
        <v>81</v>
      </c>
      <c r="O79">
        <v>1</v>
      </c>
      <c r="P79">
        <v>1</v>
      </c>
      <c r="Q79">
        <v>2</v>
      </c>
      <c r="R79">
        <v>0</v>
      </c>
      <c r="S79">
        <v>0</v>
      </c>
      <c r="T79">
        <v>2</v>
      </c>
      <c r="U79">
        <v>117</v>
      </c>
      <c r="V79">
        <v>0</v>
      </c>
      <c r="W79" s="1">
        <v>0</v>
      </c>
      <c r="X79">
        <v>0</v>
      </c>
      <c r="Y79">
        <v>19</v>
      </c>
      <c r="Z79">
        <v>220</v>
      </c>
      <c r="AA79">
        <v>49</v>
      </c>
      <c r="AB79">
        <v>119</v>
      </c>
      <c r="AC79">
        <v>604</v>
      </c>
      <c r="AD79">
        <v>2</v>
      </c>
      <c r="AE79">
        <v>47</v>
      </c>
      <c r="AF79">
        <v>0</v>
      </c>
      <c r="AG79">
        <v>8</v>
      </c>
    </row>
    <row r="80" spans="1:33" x14ac:dyDescent="0.3">
      <c r="A80" t="s">
        <v>31</v>
      </c>
      <c r="B80" t="s">
        <v>58</v>
      </c>
      <c r="C80" s="2" t="s">
        <v>30</v>
      </c>
      <c r="D80" s="1">
        <v>2040</v>
      </c>
      <c r="E80">
        <v>0</v>
      </c>
      <c r="F80">
        <v>284</v>
      </c>
      <c r="G80">
        <v>0</v>
      </c>
      <c r="H80">
        <v>127</v>
      </c>
      <c r="I80">
        <v>0</v>
      </c>
      <c r="J80">
        <v>0</v>
      </c>
      <c r="K80">
        <v>0</v>
      </c>
      <c r="L80">
        <v>97</v>
      </c>
      <c r="M80">
        <v>16</v>
      </c>
      <c r="N80">
        <v>46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26</v>
      </c>
      <c r="V80">
        <v>7</v>
      </c>
      <c r="W80">
        <v>4</v>
      </c>
      <c r="X80">
        <v>0</v>
      </c>
      <c r="Y80">
        <v>96</v>
      </c>
      <c r="Z80">
        <v>71</v>
      </c>
      <c r="AA80">
        <v>342</v>
      </c>
      <c r="AB80">
        <v>23</v>
      </c>
      <c r="AC80">
        <v>24</v>
      </c>
      <c r="AD80">
        <v>763</v>
      </c>
      <c r="AE80">
        <v>0</v>
      </c>
      <c r="AF80">
        <v>70</v>
      </c>
      <c r="AG80">
        <v>44</v>
      </c>
    </row>
    <row r="81" spans="1:33" x14ac:dyDescent="0.3">
      <c r="A81" t="s">
        <v>31</v>
      </c>
      <c r="B81" t="s">
        <v>58</v>
      </c>
      <c r="C81" s="2" t="s">
        <v>33</v>
      </c>
      <c r="D81" s="1">
        <v>1505</v>
      </c>
      <c r="E81">
        <v>0</v>
      </c>
      <c r="F81">
        <v>191</v>
      </c>
      <c r="G81">
        <v>0</v>
      </c>
      <c r="H81">
        <v>92</v>
      </c>
      <c r="I81">
        <v>0</v>
      </c>
      <c r="J81">
        <v>0</v>
      </c>
      <c r="K81">
        <v>0</v>
      </c>
      <c r="L81">
        <v>92</v>
      </c>
      <c r="M81">
        <v>16</v>
      </c>
      <c r="N81">
        <v>33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20</v>
      </c>
      <c r="V81">
        <v>7</v>
      </c>
      <c r="W81">
        <v>4</v>
      </c>
      <c r="X81">
        <v>0</v>
      </c>
      <c r="Y81">
        <v>51</v>
      </c>
      <c r="Z81">
        <v>36</v>
      </c>
      <c r="AA81">
        <v>126</v>
      </c>
      <c r="AB81">
        <v>17</v>
      </c>
      <c r="AC81">
        <v>7</v>
      </c>
      <c r="AD81">
        <v>731</v>
      </c>
      <c r="AE81">
        <v>0</v>
      </c>
      <c r="AF81">
        <v>54</v>
      </c>
      <c r="AG81">
        <v>28</v>
      </c>
    </row>
    <row r="82" spans="1:33" x14ac:dyDescent="0.3">
      <c r="A82" t="s">
        <v>31</v>
      </c>
      <c r="B82" t="s">
        <v>58</v>
      </c>
      <c r="C82" s="2" t="s">
        <v>34</v>
      </c>
      <c r="D82">
        <v>535</v>
      </c>
      <c r="E82">
        <v>0</v>
      </c>
      <c r="F82">
        <v>93</v>
      </c>
      <c r="G82">
        <v>0</v>
      </c>
      <c r="H82">
        <v>35</v>
      </c>
      <c r="I82">
        <v>0</v>
      </c>
      <c r="J82">
        <v>0</v>
      </c>
      <c r="K82">
        <v>0</v>
      </c>
      <c r="L82">
        <v>5</v>
      </c>
      <c r="M82">
        <v>0</v>
      </c>
      <c r="N82">
        <v>13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</v>
      </c>
      <c r="V82">
        <v>0</v>
      </c>
      <c r="W82" s="1">
        <v>0</v>
      </c>
      <c r="X82">
        <v>0</v>
      </c>
      <c r="Y82">
        <v>45</v>
      </c>
      <c r="Z82">
        <v>35</v>
      </c>
      <c r="AA82">
        <v>216</v>
      </c>
      <c r="AB82">
        <v>6</v>
      </c>
      <c r="AC82">
        <v>17</v>
      </c>
      <c r="AD82">
        <v>32</v>
      </c>
      <c r="AE82">
        <v>0</v>
      </c>
      <c r="AF82">
        <v>16</v>
      </c>
      <c r="AG82">
        <v>16</v>
      </c>
    </row>
    <row r="83" spans="1:33" x14ac:dyDescent="0.3">
      <c r="A83" t="s">
        <v>31</v>
      </c>
      <c r="B83" t="s">
        <v>59</v>
      </c>
      <c r="C83" s="2" t="s">
        <v>30</v>
      </c>
      <c r="D83" s="1">
        <v>1926</v>
      </c>
      <c r="E83">
        <v>0</v>
      </c>
      <c r="F83">
        <v>15</v>
      </c>
      <c r="G83">
        <v>0</v>
      </c>
      <c r="H83">
        <v>4</v>
      </c>
      <c r="I83">
        <v>0</v>
      </c>
      <c r="J83">
        <v>0</v>
      </c>
      <c r="K83">
        <v>0</v>
      </c>
      <c r="L83">
        <v>91</v>
      </c>
      <c r="M83">
        <v>1</v>
      </c>
      <c r="N83">
        <v>2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 s="1">
        <v>0</v>
      </c>
      <c r="X83">
        <v>0</v>
      </c>
      <c r="Y83">
        <v>8</v>
      </c>
      <c r="Z83">
        <v>40</v>
      </c>
      <c r="AA83">
        <v>230</v>
      </c>
      <c r="AB83">
        <v>29</v>
      </c>
      <c r="AC83">
        <v>23</v>
      </c>
      <c r="AD83" s="1">
        <v>1467</v>
      </c>
      <c r="AE83">
        <v>0</v>
      </c>
      <c r="AF83">
        <v>0</v>
      </c>
      <c r="AG83">
        <v>14</v>
      </c>
    </row>
    <row r="84" spans="1:33" x14ac:dyDescent="0.3">
      <c r="A84" t="s">
        <v>31</v>
      </c>
      <c r="B84" t="s">
        <v>59</v>
      </c>
      <c r="C84" s="2" t="s">
        <v>33</v>
      </c>
      <c r="D84" s="1">
        <v>1288</v>
      </c>
      <c r="E84">
        <v>0</v>
      </c>
      <c r="F84">
        <v>9</v>
      </c>
      <c r="G84">
        <v>0</v>
      </c>
      <c r="H84">
        <v>0</v>
      </c>
      <c r="I84">
        <v>0</v>
      </c>
      <c r="J84">
        <v>0</v>
      </c>
      <c r="K84">
        <v>0</v>
      </c>
      <c r="L84">
        <v>88</v>
      </c>
      <c r="M84">
        <v>1</v>
      </c>
      <c r="N84">
        <v>2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 s="1">
        <v>0</v>
      </c>
      <c r="X84">
        <v>0</v>
      </c>
      <c r="Y84">
        <v>5</v>
      </c>
      <c r="Z84">
        <v>20</v>
      </c>
      <c r="AA84">
        <v>101</v>
      </c>
      <c r="AB84">
        <v>18</v>
      </c>
      <c r="AC84">
        <v>21</v>
      </c>
      <c r="AD84" s="1">
        <v>1011</v>
      </c>
      <c r="AE84">
        <v>0</v>
      </c>
      <c r="AF84">
        <v>0</v>
      </c>
      <c r="AG84">
        <v>10</v>
      </c>
    </row>
    <row r="85" spans="1:33" x14ac:dyDescent="0.3">
      <c r="A85" t="s">
        <v>31</v>
      </c>
      <c r="B85" t="s">
        <v>59</v>
      </c>
      <c r="C85" s="2" t="s">
        <v>34</v>
      </c>
      <c r="D85">
        <v>638</v>
      </c>
      <c r="E85">
        <v>0</v>
      </c>
      <c r="F85">
        <v>6</v>
      </c>
      <c r="G85">
        <v>0</v>
      </c>
      <c r="H85">
        <v>4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s="1">
        <v>0</v>
      </c>
      <c r="X85">
        <v>0</v>
      </c>
      <c r="Y85">
        <v>3</v>
      </c>
      <c r="Z85">
        <v>20</v>
      </c>
      <c r="AA85">
        <v>129</v>
      </c>
      <c r="AB85">
        <v>11</v>
      </c>
      <c r="AC85">
        <v>2</v>
      </c>
      <c r="AD85">
        <v>456</v>
      </c>
      <c r="AE85">
        <v>0</v>
      </c>
      <c r="AF85">
        <v>0</v>
      </c>
      <c r="AG85">
        <v>4</v>
      </c>
    </row>
    <row r="86" spans="1:33" x14ac:dyDescent="0.3">
      <c r="A86" t="s">
        <v>31</v>
      </c>
      <c r="B86" t="s">
        <v>60</v>
      </c>
      <c r="C86" s="2" t="s">
        <v>30</v>
      </c>
      <c r="D86" s="1">
        <v>1439</v>
      </c>
      <c r="E86">
        <v>0</v>
      </c>
      <c r="F86">
        <v>333</v>
      </c>
      <c r="G86">
        <v>0</v>
      </c>
      <c r="H86">
        <v>116</v>
      </c>
      <c r="I86">
        <v>0</v>
      </c>
      <c r="J86">
        <v>0</v>
      </c>
      <c r="K86">
        <v>2</v>
      </c>
      <c r="L86">
        <v>6</v>
      </c>
      <c r="M86">
        <v>4</v>
      </c>
      <c r="N86">
        <v>37</v>
      </c>
      <c r="O86">
        <v>15</v>
      </c>
      <c r="P86">
        <v>0</v>
      </c>
      <c r="Q86">
        <v>120</v>
      </c>
      <c r="R86">
        <v>0</v>
      </c>
      <c r="S86">
        <v>0</v>
      </c>
      <c r="T86">
        <v>10</v>
      </c>
      <c r="U86">
        <v>42</v>
      </c>
      <c r="V86">
        <v>0</v>
      </c>
      <c r="W86">
        <v>27</v>
      </c>
      <c r="X86">
        <v>0</v>
      </c>
      <c r="Y86">
        <v>18</v>
      </c>
      <c r="Z86">
        <v>154</v>
      </c>
      <c r="AA86">
        <v>120</v>
      </c>
      <c r="AB86">
        <v>111</v>
      </c>
      <c r="AC86">
        <v>197</v>
      </c>
      <c r="AD86">
        <v>53</v>
      </c>
      <c r="AE86">
        <v>0</v>
      </c>
      <c r="AF86">
        <v>0</v>
      </c>
      <c r="AG86">
        <v>74</v>
      </c>
    </row>
    <row r="87" spans="1:33" x14ac:dyDescent="0.3">
      <c r="A87" t="s">
        <v>31</v>
      </c>
      <c r="B87" t="s">
        <v>60</v>
      </c>
      <c r="C87" s="2" t="s">
        <v>33</v>
      </c>
      <c r="D87">
        <v>610</v>
      </c>
      <c r="E87">
        <v>0</v>
      </c>
      <c r="F87">
        <v>97</v>
      </c>
      <c r="G87">
        <v>0</v>
      </c>
      <c r="H87">
        <v>12</v>
      </c>
      <c r="I87">
        <v>0</v>
      </c>
      <c r="J87">
        <v>0</v>
      </c>
      <c r="K87">
        <v>2</v>
      </c>
      <c r="L87">
        <v>3</v>
      </c>
      <c r="M87">
        <v>3</v>
      </c>
      <c r="N87">
        <v>9</v>
      </c>
      <c r="O87">
        <v>11</v>
      </c>
      <c r="P87">
        <v>0</v>
      </c>
      <c r="Q87">
        <v>74</v>
      </c>
      <c r="R87">
        <v>0</v>
      </c>
      <c r="S87">
        <v>0</v>
      </c>
      <c r="T87">
        <v>4</v>
      </c>
      <c r="U87">
        <v>19</v>
      </c>
      <c r="V87">
        <v>0</v>
      </c>
      <c r="W87">
        <v>27</v>
      </c>
      <c r="X87">
        <v>0</v>
      </c>
      <c r="Y87">
        <v>6</v>
      </c>
      <c r="Z87">
        <v>68</v>
      </c>
      <c r="AA87">
        <v>29</v>
      </c>
      <c r="AB87">
        <v>81</v>
      </c>
      <c r="AC87">
        <v>87</v>
      </c>
      <c r="AD87">
        <v>41</v>
      </c>
      <c r="AE87">
        <v>0</v>
      </c>
      <c r="AF87">
        <v>0</v>
      </c>
      <c r="AG87">
        <v>37</v>
      </c>
    </row>
    <row r="88" spans="1:33" x14ac:dyDescent="0.3">
      <c r="A88" t="s">
        <v>31</v>
      </c>
      <c r="B88" t="s">
        <v>60</v>
      </c>
      <c r="C88" s="2" t="s">
        <v>34</v>
      </c>
      <c r="D88">
        <v>829</v>
      </c>
      <c r="E88">
        <v>0</v>
      </c>
      <c r="F88">
        <v>236</v>
      </c>
      <c r="G88">
        <v>0</v>
      </c>
      <c r="H88">
        <v>104</v>
      </c>
      <c r="I88">
        <v>0</v>
      </c>
      <c r="J88">
        <v>0</v>
      </c>
      <c r="K88">
        <v>0</v>
      </c>
      <c r="L88">
        <v>3</v>
      </c>
      <c r="M88">
        <v>1</v>
      </c>
      <c r="N88">
        <v>28</v>
      </c>
      <c r="O88">
        <v>4</v>
      </c>
      <c r="P88">
        <v>0</v>
      </c>
      <c r="Q88">
        <v>46</v>
      </c>
      <c r="R88">
        <v>0</v>
      </c>
      <c r="S88">
        <v>0</v>
      </c>
      <c r="T88">
        <v>6</v>
      </c>
      <c r="U88">
        <v>23</v>
      </c>
      <c r="V88">
        <v>0</v>
      </c>
      <c r="W88" s="1">
        <v>0</v>
      </c>
      <c r="X88">
        <v>0</v>
      </c>
      <c r="Y88">
        <v>12</v>
      </c>
      <c r="Z88">
        <v>86</v>
      </c>
      <c r="AA88">
        <v>91</v>
      </c>
      <c r="AB88">
        <v>30</v>
      </c>
      <c r="AC88">
        <v>110</v>
      </c>
      <c r="AD88">
        <v>12</v>
      </c>
      <c r="AE88">
        <v>0</v>
      </c>
      <c r="AF88">
        <v>0</v>
      </c>
      <c r="AG88">
        <v>37</v>
      </c>
    </row>
    <row r="89" spans="1:33" x14ac:dyDescent="0.3">
      <c r="A89" t="s">
        <v>31</v>
      </c>
      <c r="B89" t="s">
        <v>61</v>
      </c>
      <c r="C89" s="2" t="s">
        <v>30</v>
      </c>
      <c r="D89" s="1">
        <v>1234</v>
      </c>
      <c r="E89">
        <v>0</v>
      </c>
      <c r="F89">
        <v>19</v>
      </c>
      <c r="G89">
        <v>0</v>
      </c>
      <c r="H89">
        <v>5</v>
      </c>
      <c r="I89">
        <v>0</v>
      </c>
      <c r="J89">
        <v>0</v>
      </c>
      <c r="K89">
        <v>0</v>
      </c>
      <c r="L89">
        <v>44</v>
      </c>
      <c r="M89">
        <v>12</v>
      </c>
      <c r="N89">
        <v>3</v>
      </c>
      <c r="O89">
        <v>1</v>
      </c>
      <c r="P89">
        <v>0</v>
      </c>
      <c r="Q89">
        <v>2</v>
      </c>
      <c r="R89">
        <v>0</v>
      </c>
      <c r="S89">
        <v>0</v>
      </c>
      <c r="T89">
        <v>0</v>
      </c>
      <c r="U89">
        <v>2</v>
      </c>
      <c r="V89">
        <v>0</v>
      </c>
      <c r="W89" s="1">
        <v>0</v>
      </c>
      <c r="X89">
        <v>0</v>
      </c>
      <c r="Y89">
        <v>16</v>
      </c>
      <c r="Z89">
        <v>78</v>
      </c>
      <c r="AA89">
        <v>166</v>
      </c>
      <c r="AB89">
        <v>14</v>
      </c>
      <c r="AC89">
        <v>21</v>
      </c>
      <c r="AD89">
        <v>840</v>
      </c>
      <c r="AE89">
        <v>0</v>
      </c>
      <c r="AF89">
        <v>0</v>
      </c>
      <c r="AG89">
        <v>11</v>
      </c>
    </row>
    <row r="90" spans="1:33" x14ac:dyDescent="0.3">
      <c r="A90" t="s">
        <v>31</v>
      </c>
      <c r="B90" t="s">
        <v>61</v>
      </c>
      <c r="C90" s="2" t="s">
        <v>33</v>
      </c>
      <c r="D90">
        <v>930</v>
      </c>
      <c r="E90">
        <v>0</v>
      </c>
      <c r="F90">
        <v>11</v>
      </c>
      <c r="G90">
        <v>0</v>
      </c>
      <c r="H90">
        <v>2</v>
      </c>
      <c r="I90">
        <v>0</v>
      </c>
      <c r="J90">
        <v>0</v>
      </c>
      <c r="K90">
        <v>0</v>
      </c>
      <c r="L90">
        <v>44</v>
      </c>
      <c r="M90">
        <v>12</v>
      </c>
      <c r="N90">
        <v>1</v>
      </c>
      <c r="O90">
        <v>1</v>
      </c>
      <c r="P90">
        <v>0</v>
      </c>
      <c r="Q90">
        <v>2</v>
      </c>
      <c r="R90">
        <v>0</v>
      </c>
      <c r="S90">
        <v>0</v>
      </c>
      <c r="T90">
        <v>0</v>
      </c>
      <c r="U90">
        <v>2</v>
      </c>
      <c r="V90">
        <v>0</v>
      </c>
      <c r="W90" s="1">
        <v>0</v>
      </c>
      <c r="X90">
        <v>0</v>
      </c>
      <c r="Y90">
        <v>3</v>
      </c>
      <c r="Z90">
        <v>48</v>
      </c>
      <c r="AA90">
        <v>65</v>
      </c>
      <c r="AB90">
        <v>12</v>
      </c>
      <c r="AC90">
        <v>17</v>
      </c>
      <c r="AD90">
        <v>700</v>
      </c>
      <c r="AE90">
        <v>0</v>
      </c>
      <c r="AF90">
        <v>0</v>
      </c>
      <c r="AG90">
        <v>10</v>
      </c>
    </row>
    <row r="91" spans="1:33" x14ac:dyDescent="0.3">
      <c r="A91" t="s">
        <v>31</v>
      </c>
      <c r="B91" t="s">
        <v>61</v>
      </c>
      <c r="C91" s="2" t="s">
        <v>34</v>
      </c>
      <c r="D91">
        <v>304</v>
      </c>
      <c r="E91">
        <v>0</v>
      </c>
      <c r="F91">
        <v>8</v>
      </c>
      <c r="G91">
        <v>0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1">
        <v>0</v>
      </c>
      <c r="X91">
        <v>0</v>
      </c>
      <c r="Y91">
        <v>13</v>
      </c>
      <c r="Z91">
        <v>30</v>
      </c>
      <c r="AA91">
        <v>101</v>
      </c>
      <c r="AB91">
        <v>2</v>
      </c>
      <c r="AC91">
        <v>4</v>
      </c>
      <c r="AD91">
        <v>140</v>
      </c>
      <c r="AE91">
        <v>0</v>
      </c>
      <c r="AF91">
        <v>0</v>
      </c>
      <c r="AG91">
        <v>1</v>
      </c>
    </row>
    <row r="92" spans="1:33" x14ac:dyDescent="0.3">
      <c r="A92" t="s">
        <v>31</v>
      </c>
      <c r="B92" t="s">
        <v>62</v>
      </c>
      <c r="C92" s="2" t="s">
        <v>30</v>
      </c>
      <c r="D92">
        <v>920</v>
      </c>
      <c r="E92">
        <v>0</v>
      </c>
      <c r="F92">
        <v>41</v>
      </c>
      <c r="G92">
        <v>0</v>
      </c>
      <c r="H92">
        <v>8</v>
      </c>
      <c r="I92">
        <v>0</v>
      </c>
      <c r="J92">
        <v>0</v>
      </c>
      <c r="K92">
        <v>0</v>
      </c>
      <c r="L92">
        <v>42</v>
      </c>
      <c r="M92">
        <v>1</v>
      </c>
      <c r="N92">
        <v>4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4</v>
      </c>
      <c r="V92">
        <v>0</v>
      </c>
      <c r="W92" s="1">
        <v>0</v>
      </c>
      <c r="X92">
        <v>0</v>
      </c>
      <c r="Y92">
        <v>18</v>
      </c>
      <c r="Z92">
        <v>478</v>
      </c>
      <c r="AA92">
        <v>86</v>
      </c>
      <c r="AB92">
        <v>9</v>
      </c>
      <c r="AC92">
        <v>4</v>
      </c>
      <c r="AD92">
        <v>193</v>
      </c>
      <c r="AE92">
        <v>0</v>
      </c>
      <c r="AF92">
        <v>0</v>
      </c>
      <c r="AG92">
        <v>29</v>
      </c>
    </row>
    <row r="93" spans="1:33" x14ac:dyDescent="0.3">
      <c r="A93" t="s">
        <v>31</v>
      </c>
      <c r="B93" t="s">
        <v>62</v>
      </c>
      <c r="C93" s="2" t="s">
        <v>33</v>
      </c>
      <c r="D93">
        <v>556</v>
      </c>
      <c r="E93">
        <v>0</v>
      </c>
      <c r="F93">
        <v>31</v>
      </c>
      <c r="G93">
        <v>0</v>
      </c>
      <c r="H93">
        <v>3</v>
      </c>
      <c r="I93">
        <v>0</v>
      </c>
      <c r="J93">
        <v>0</v>
      </c>
      <c r="K93">
        <v>0</v>
      </c>
      <c r="L93">
        <v>42</v>
      </c>
      <c r="M93">
        <v>1</v>
      </c>
      <c r="N93">
        <v>3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2</v>
      </c>
      <c r="V93">
        <v>0</v>
      </c>
      <c r="W93" s="1">
        <v>0</v>
      </c>
      <c r="X93">
        <v>0</v>
      </c>
      <c r="Y93">
        <v>7</v>
      </c>
      <c r="Z93">
        <v>257</v>
      </c>
      <c r="AA93">
        <v>25</v>
      </c>
      <c r="AB93">
        <v>8</v>
      </c>
      <c r="AC93">
        <v>4</v>
      </c>
      <c r="AD93">
        <v>152</v>
      </c>
      <c r="AE93">
        <v>0</v>
      </c>
      <c r="AF93">
        <v>0</v>
      </c>
      <c r="AG93">
        <v>19</v>
      </c>
    </row>
    <row r="94" spans="1:33" x14ac:dyDescent="0.3">
      <c r="A94" t="s">
        <v>31</v>
      </c>
      <c r="B94" t="s">
        <v>62</v>
      </c>
      <c r="C94" s="2" t="s">
        <v>34</v>
      </c>
      <c r="D94">
        <v>364</v>
      </c>
      <c r="E94">
        <v>0</v>
      </c>
      <c r="F94">
        <v>10</v>
      </c>
      <c r="G94">
        <v>0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2</v>
      </c>
      <c r="V94">
        <v>0</v>
      </c>
      <c r="W94" s="1">
        <v>0</v>
      </c>
      <c r="X94">
        <v>0</v>
      </c>
      <c r="Y94">
        <v>11</v>
      </c>
      <c r="Z94">
        <v>221</v>
      </c>
      <c r="AA94">
        <v>61</v>
      </c>
      <c r="AB94">
        <v>1</v>
      </c>
      <c r="AC94">
        <v>0</v>
      </c>
      <c r="AD94">
        <v>41</v>
      </c>
      <c r="AE94">
        <v>0</v>
      </c>
      <c r="AF94">
        <v>0</v>
      </c>
      <c r="AG94">
        <v>10</v>
      </c>
    </row>
    <row r="95" spans="1:33" x14ac:dyDescent="0.3">
      <c r="A95" t="s">
        <v>31</v>
      </c>
      <c r="B95" t="s">
        <v>63</v>
      </c>
      <c r="C95" s="2" t="s">
        <v>30</v>
      </c>
      <c r="D95">
        <v>918</v>
      </c>
      <c r="E95">
        <v>0</v>
      </c>
      <c r="F95">
        <v>247</v>
      </c>
      <c r="G95">
        <v>0</v>
      </c>
      <c r="H95">
        <v>49</v>
      </c>
      <c r="I95">
        <v>2</v>
      </c>
      <c r="J95">
        <v>1</v>
      </c>
      <c r="K95">
        <v>10</v>
      </c>
      <c r="L95">
        <v>56</v>
      </c>
      <c r="M95">
        <v>7</v>
      </c>
      <c r="N95">
        <v>17</v>
      </c>
      <c r="O95">
        <v>6</v>
      </c>
      <c r="P95">
        <v>0</v>
      </c>
      <c r="Q95">
        <v>4</v>
      </c>
      <c r="R95">
        <v>1</v>
      </c>
      <c r="S95">
        <v>2</v>
      </c>
      <c r="T95">
        <v>13</v>
      </c>
      <c r="U95">
        <v>81</v>
      </c>
      <c r="V95">
        <v>0</v>
      </c>
      <c r="W95" s="1">
        <v>0</v>
      </c>
      <c r="X95">
        <v>0</v>
      </c>
      <c r="Y95">
        <v>13</v>
      </c>
      <c r="Z95">
        <v>47</v>
      </c>
      <c r="AA95">
        <v>73</v>
      </c>
      <c r="AB95">
        <v>57</v>
      </c>
      <c r="AC95">
        <v>198</v>
      </c>
      <c r="AD95">
        <v>0</v>
      </c>
      <c r="AE95">
        <v>0</v>
      </c>
      <c r="AF95">
        <v>0</v>
      </c>
      <c r="AG95">
        <v>34</v>
      </c>
    </row>
    <row r="96" spans="1:33" x14ac:dyDescent="0.3">
      <c r="A96" t="s">
        <v>31</v>
      </c>
      <c r="B96" t="s">
        <v>63</v>
      </c>
      <c r="C96" s="2" t="s">
        <v>33</v>
      </c>
      <c r="D96">
        <v>344</v>
      </c>
      <c r="E96">
        <v>0</v>
      </c>
      <c r="F96">
        <v>79</v>
      </c>
      <c r="G96">
        <v>0</v>
      </c>
      <c r="H96">
        <v>13</v>
      </c>
      <c r="I96">
        <v>0</v>
      </c>
      <c r="J96">
        <v>0</v>
      </c>
      <c r="K96">
        <v>6</v>
      </c>
      <c r="L96">
        <v>39</v>
      </c>
      <c r="M96">
        <v>5</v>
      </c>
      <c r="N96">
        <v>1</v>
      </c>
      <c r="O96">
        <v>5</v>
      </c>
      <c r="P96">
        <v>0</v>
      </c>
      <c r="Q96">
        <v>2</v>
      </c>
      <c r="R96">
        <v>1</v>
      </c>
      <c r="S96">
        <v>2</v>
      </c>
      <c r="T96">
        <v>6</v>
      </c>
      <c r="U96">
        <v>41</v>
      </c>
      <c r="V96">
        <v>0</v>
      </c>
      <c r="W96" s="1">
        <v>0</v>
      </c>
      <c r="X96">
        <v>0</v>
      </c>
      <c r="Y96">
        <v>10</v>
      </c>
      <c r="Z96">
        <v>17</v>
      </c>
      <c r="AA96">
        <v>23</v>
      </c>
      <c r="AB96">
        <v>11</v>
      </c>
      <c r="AC96">
        <v>71</v>
      </c>
      <c r="AD96">
        <v>0</v>
      </c>
      <c r="AE96">
        <v>0</v>
      </c>
      <c r="AF96">
        <v>0</v>
      </c>
      <c r="AG96">
        <v>12</v>
      </c>
    </row>
    <row r="97" spans="1:33" x14ac:dyDescent="0.3">
      <c r="A97" t="s">
        <v>31</v>
      </c>
      <c r="B97" t="s">
        <v>63</v>
      </c>
      <c r="C97" s="2" t="s">
        <v>34</v>
      </c>
      <c r="D97">
        <v>574</v>
      </c>
      <c r="E97">
        <v>0</v>
      </c>
      <c r="F97">
        <v>168</v>
      </c>
      <c r="G97">
        <v>0</v>
      </c>
      <c r="H97">
        <v>36</v>
      </c>
      <c r="I97">
        <v>2</v>
      </c>
      <c r="J97">
        <v>1</v>
      </c>
      <c r="K97">
        <v>4</v>
      </c>
      <c r="L97">
        <v>17</v>
      </c>
      <c r="M97">
        <v>2</v>
      </c>
      <c r="N97">
        <v>16</v>
      </c>
      <c r="O97">
        <v>1</v>
      </c>
      <c r="P97">
        <v>0</v>
      </c>
      <c r="Q97">
        <v>2</v>
      </c>
      <c r="R97">
        <v>0</v>
      </c>
      <c r="S97">
        <v>0</v>
      </c>
      <c r="T97">
        <v>7</v>
      </c>
      <c r="U97">
        <v>40</v>
      </c>
      <c r="V97">
        <v>0</v>
      </c>
      <c r="W97" s="1">
        <v>0</v>
      </c>
      <c r="X97">
        <v>0</v>
      </c>
      <c r="Y97">
        <v>3</v>
      </c>
      <c r="Z97">
        <v>30</v>
      </c>
      <c r="AA97">
        <v>50</v>
      </c>
      <c r="AB97">
        <v>46</v>
      </c>
      <c r="AC97">
        <v>127</v>
      </c>
      <c r="AD97">
        <v>0</v>
      </c>
      <c r="AE97">
        <v>0</v>
      </c>
      <c r="AF97">
        <v>0</v>
      </c>
      <c r="AG97">
        <v>22</v>
      </c>
    </row>
    <row r="98" spans="1:33" x14ac:dyDescent="0.3">
      <c r="A98" t="s">
        <v>31</v>
      </c>
      <c r="B98" t="s">
        <v>64</v>
      </c>
      <c r="C98" s="2" t="s">
        <v>30</v>
      </c>
      <c r="D98">
        <v>872</v>
      </c>
      <c r="E98">
        <v>0</v>
      </c>
      <c r="F98">
        <v>67</v>
      </c>
      <c r="G98">
        <v>0</v>
      </c>
      <c r="H98">
        <v>174</v>
      </c>
      <c r="I98">
        <v>0</v>
      </c>
      <c r="J98">
        <v>0</v>
      </c>
      <c r="K98">
        <v>0</v>
      </c>
      <c r="L98">
        <v>62</v>
      </c>
      <c r="M98">
        <v>0</v>
      </c>
      <c r="N98">
        <v>3</v>
      </c>
      <c r="O98">
        <v>2</v>
      </c>
      <c r="P98">
        <v>0</v>
      </c>
      <c r="Q98">
        <v>0</v>
      </c>
      <c r="R98">
        <v>0</v>
      </c>
      <c r="S98">
        <v>0</v>
      </c>
      <c r="T98">
        <v>1</v>
      </c>
      <c r="U98">
        <v>6</v>
      </c>
      <c r="V98">
        <v>0</v>
      </c>
      <c r="W98" s="1">
        <v>0</v>
      </c>
      <c r="X98">
        <v>0</v>
      </c>
      <c r="Y98">
        <v>6</v>
      </c>
      <c r="Z98">
        <v>12</v>
      </c>
      <c r="AA98">
        <v>340</v>
      </c>
      <c r="AB98">
        <v>2</v>
      </c>
      <c r="AC98">
        <v>7</v>
      </c>
      <c r="AD98">
        <v>9</v>
      </c>
      <c r="AE98">
        <v>0</v>
      </c>
      <c r="AF98">
        <v>0</v>
      </c>
      <c r="AG98">
        <v>181</v>
      </c>
    </row>
    <row r="99" spans="1:33" x14ac:dyDescent="0.3">
      <c r="A99" t="s">
        <v>31</v>
      </c>
      <c r="B99" t="s">
        <v>64</v>
      </c>
      <c r="C99" s="2" t="s">
        <v>33</v>
      </c>
      <c r="D99">
        <v>461</v>
      </c>
      <c r="E99">
        <v>0</v>
      </c>
      <c r="F99">
        <v>32</v>
      </c>
      <c r="G99">
        <v>0</v>
      </c>
      <c r="H99">
        <v>128</v>
      </c>
      <c r="I99">
        <v>0</v>
      </c>
      <c r="J99">
        <v>0</v>
      </c>
      <c r="K99">
        <v>0</v>
      </c>
      <c r="L99">
        <v>60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5</v>
      </c>
      <c r="V99">
        <v>0</v>
      </c>
      <c r="W99" s="1">
        <v>0</v>
      </c>
      <c r="X99">
        <v>0</v>
      </c>
      <c r="Y99">
        <v>2</v>
      </c>
      <c r="Z99">
        <v>7</v>
      </c>
      <c r="AA99">
        <v>117</v>
      </c>
      <c r="AB99">
        <v>2</v>
      </c>
      <c r="AC99">
        <v>4</v>
      </c>
      <c r="AD99">
        <v>4</v>
      </c>
      <c r="AE99">
        <v>0</v>
      </c>
      <c r="AF99">
        <v>0</v>
      </c>
      <c r="AG99">
        <v>98</v>
      </c>
    </row>
    <row r="100" spans="1:33" x14ac:dyDescent="0.3">
      <c r="A100" t="s">
        <v>31</v>
      </c>
      <c r="B100" t="s">
        <v>64</v>
      </c>
      <c r="C100" s="2" t="s">
        <v>34</v>
      </c>
      <c r="D100">
        <v>411</v>
      </c>
      <c r="E100">
        <v>0</v>
      </c>
      <c r="F100">
        <v>35</v>
      </c>
      <c r="G100">
        <v>0</v>
      </c>
      <c r="H100">
        <v>46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 s="1">
        <v>0</v>
      </c>
      <c r="X100">
        <v>0</v>
      </c>
      <c r="Y100">
        <v>4</v>
      </c>
      <c r="Z100">
        <v>5</v>
      </c>
      <c r="AA100">
        <v>223</v>
      </c>
      <c r="AB100">
        <v>0</v>
      </c>
      <c r="AC100">
        <v>3</v>
      </c>
      <c r="AD100">
        <v>5</v>
      </c>
      <c r="AE100">
        <v>0</v>
      </c>
      <c r="AF100">
        <v>0</v>
      </c>
      <c r="AG100">
        <v>83</v>
      </c>
    </row>
    <row r="101" spans="1:33" x14ac:dyDescent="0.3">
      <c r="A101" t="s">
        <v>31</v>
      </c>
      <c r="B101" t="s">
        <v>65</v>
      </c>
      <c r="C101" s="2" t="s">
        <v>30</v>
      </c>
      <c r="D101">
        <v>695</v>
      </c>
      <c r="E101">
        <v>0</v>
      </c>
      <c r="F101">
        <v>67</v>
      </c>
      <c r="G101">
        <v>0</v>
      </c>
      <c r="H101">
        <v>34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9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2</v>
      </c>
      <c r="U101">
        <v>6</v>
      </c>
      <c r="V101">
        <v>0</v>
      </c>
      <c r="W101" s="1">
        <v>0</v>
      </c>
      <c r="X101">
        <v>0</v>
      </c>
      <c r="Y101">
        <v>64</v>
      </c>
      <c r="Z101">
        <v>17</v>
      </c>
      <c r="AA101">
        <v>140</v>
      </c>
      <c r="AB101">
        <v>19</v>
      </c>
      <c r="AC101">
        <v>10</v>
      </c>
      <c r="AD101">
        <v>293</v>
      </c>
      <c r="AE101">
        <v>0</v>
      </c>
      <c r="AF101">
        <v>3</v>
      </c>
      <c r="AG101">
        <v>28</v>
      </c>
    </row>
    <row r="102" spans="1:33" x14ac:dyDescent="0.3">
      <c r="A102" t="s">
        <v>31</v>
      </c>
      <c r="B102" t="s">
        <v>65</v>
      </c>
      <c r="C102" s="2" t="s">
        <v>33</v>
      </c>
      <c r="D102">
        <v>426</v>
      </c>
      <c r="E102">
        <v>0</v>
      </c>
      <c r="F102">
        <v>21</v>
      </c>
      <c r="G102">
        <v>0</v>
      </c>
      <c r="H102">
        <v>13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3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4</v>
      </c>
      <c r="V102">
        <v>0</v>
      </c>
      <c r="W102" s="1">
        <v>0</v>
      </c>
      <c r="X102">
        <v>0</v>
      </c>
      <c r="Y102">
        <v>37</v>
      </c>
      <c r="Z102">
        <v>9</v>
      </c>
      <c r="AA102">
        <v>72</v>
      </c>
      <c r="AB102">
        <v>12</v>
      </c>
      <c r="AC102">
        <v>3</v>
      </c>
      <c r="AD102">
        <v>231</v>
      </c>
      <c r="AE102">
        <v>0</v>
      </c>
      <c r="AF102">
        <v>2</v>
      </c>
      <c r="AG102">
        <v>15</v>
      </c>
    </row>
    <row r="103" spans="1:33" x14ac:dyDescent="0.3">
      <c r="A103" t="s">
        <v>31</v>
      </c>
      <c r="B103" t="s">
        <v>65</v>
      </c>
      <c r="C103" s="2" t="s">
        <v>34</v>
      </c>
      <c r="D103">
        <v>269</v>
      </c>
      <c r="E103">
        <v>0</v>
      </c>
      <c r="F103">
        <v>46</v>
      </c>
      <c r="G103">
        <v>0</v>
      </c>
      <c r="H103">
        <v>21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0</v>
      </c>
      <c r="W103" s="1">
        <v>0</v>
      </c>
      <c r="X103">
        <v>0</v>
      </c>
      <c r="Y103">
        <v>27</v>
      </c>
      <c r="Z103">
        <v>8</v>
      </c>
      <c r="AA103">
        <v>68</v>
      </c>
      <c r="AB103">
        <v>7</v>
      </c>
      <c r="AC103">
        <v>7</v>
      </c>
      <c r="AD103">
        <v>62</v>
      </c>
      <c r="AE103">
        <v>0</v>
      </c>
      <c r="AF103">
        <v>1</v>
      </c>
      <c r="AG103">
        <v>13</v>
      </c>
    </row>
    <row r="104" spans="1:33" x14ac:dyDescent="0.3">
      <c r="A104" t="s">
        <v>31</v>
      </c>
      <c r="B104" t="s">
        <v>66</v>
      </c>
      <c r="C104" s="2" t="s">
        <v>30</v>
      </c>
      <c r="D104">
        <v>610</v>
      </c>
      <c r="E104">
        <v>0</v>
      </c>
      <c r="F104">
        <v>34</v>
      </c>
      <c r="G104">
        <v>0</v>
      </c>
      <c r="H104">
        <v>10</v>
      </c>
      <c r="I104">
        <v>0</v>
      </c>
      <c r="J104">
        <v>1</v>
      </c>
      <c r="K104">
        <v>0</v>
      </c>
      <c r="L104">
        <v>149</v>
      </c>
      <c r="M104">
        <v>32</v>
      </c>
      <c r="N104">
        <v>6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1</v>
      </c>
      <c r="U104">
        <v>6</v>
      </c>
      <c r="V104">
        <v>0</v>
      </c>
      <c r="W104" s="1">
        <v>0</v>
      </c>
      <c r="X104">
        <v>0</v>
      </c>
      <c r="Y104">
        <v>3</v>
      </c>
      <c r="Z104">
        <v>33</v>
      </c>
      <c r="AA104">
        <v>254</v>
      </c>
      <c r="AB104">
        <v>13</v>
      </c>
      <c r="AC104">
        <v>25</v>
      </c>
      <c r="AD104">
        <v>30</v>
      </c>
      <c r="AE104">
        <v>0</v>
      </c>
      <c r="AF104">
        <v>0</v>
      </c>
      <c r="AG104">
        <v>10</v>
      </c>
    </row>
    <row r="105" spans="1:33" x14ac:dyDescent="0.3">
      <c r="A105" t="s">
        <v>31</v>
      </c>
      <c r="B105" t="s">
        <v>66</v>
      </c>
      <c r="C105" s="2" t="s">
        <v>33</v>
      </c>
      <c r="D105">
        <v>372</v>
      </c>
      <c r="E105">
        <v>0</v>
      </c>
      <c r="F105">
        <v>12</v>
      </c>
      <c r="G105">
        <v>0</v>
      </c>
      <c r="H105">
        <v>8</v>
      </c>
      <c r="I105">
        <v>0</v>
      </c>
      <c r="J105">
        <v>1</v>
      </c>
      <c r="K105">
        <v>0</v>
      </c>
      <c r="L105">
        <v>148</v>
      </c>
      <c r="M105">
        <v>32</v>
      </c>
      <c r="N105">
        <v>2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0</v>
      </c>
      <c r="W105" s="1">
        <v>0</v>
      </c>
      <c r="X105">
        <v>0</v>
      </c>
      <c r="Y105">
        <v>1</v>
      </c>
      <c r="Z105">
        <v>20</v>
      </c>
      <c r="AA105">
        <v>88</v>
      </c>
      <c r="AB105">
        <v>10</v>
      </c>
      <c r="AC105">
        <v>12</v>
      </c>
      <c r="AD105">
        <v>27</v>
      </c>
      <c r="AE105">
        <v>0</v>
      </c>
      <c r="AF105">
        <v>0</v>
      </c>
      <c r="AG105">
        <v>7</v>
      </c>
    </row>
    <row r="106" spans="1:33" x14ac:dyDescent="0.3">
      <c r="A106" t="s">
        <v>31</v>
      </c>
      <c r="B106" t="s">
        <v>66</v>
      </c>
      <c r="C106" s="2" t="s">
        <v>34</v>
      </c>
      <c r="D106">
        <v>238</v>
      </c>
      <c r="E106">
        <v>0</v>
      </c>
      <c r="F106">
        <v>22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4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5</v>
      </c>
      <c r="V106">
        <v>0</v>
      </c>
      <c r="W106" s="1">
        <v>0</v>
      </c>
      <c r="X106">
        <v>0</v>
      </c>
      <c r="Y106">
        <v>2</v>
      </c>
      <c r="Z106">
        <v>13</v>
      </c>
      <c r="AA106">
        <v>166</v>
      </c>
      <c r="AB106">
        <v>3</v>
      </c>
      <c r="AC106">
        <v>13</v>
      </c>
      <c r="AD106">
        <v>3</v>
      </c>
      <c r="AE106">
        <v>0</v>
      </c>
      <c r="AF106">
        <v>0</v>
      </c>
      <c r="AG106">
        <v>3</v>
      </c>
    </row>
    <row r="107" spans="1:33" x14ac:dyDescent="0.3">
      <c r="A107" t="s">
        <v>31</v>
      </c>
      <c r="B107" t="s">
        <v>67</v>
      </c>
      <c r="C107" s="2" t="s">
        <v>30</v>
      </c>
      <c r="D107">
        <v>565</v>
      </c>
      <c r="E107">
        <v>0</v>
      </c>
      <c r="F107">
        <v>20</v>
      </c>
      <c r="G107">
        <v>0</v>
      </c>
      <c r="H107">
        <v>19</v>
      </c>
      <c r="I107">
        <v>0</v>
      </c>
      <c r="J107">
        <v>0</v>
      </c>
      <c r="K107">
        <v>0</v>
      </c>
      <c r="L107">
        <v>76</v>
      </c>
      <c r="M107">
        <v>14</v>
      </c>
      <c r="N107">
        <v>4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6</v>
      </c>
      <c r="V107">
        <v>0</v>
      </c>
      <c r="W107">
        <v>1</v>
      </c>
      <c r="X107">
        <v>0</v>
      </c>
      <c r="Y107">
        <v>4</v>
      </c>
      <c r="Z107">
        <v>18</v>
      </c>
      <c r="AA107">
        <v>119</v>
      </c>
      <c r="AB107">
        <v>15</v>
      </c>
      <c r="AC107">
        <v>21</v>
      </c>
      <c r="AD107">
        <v>178</v>
      </c>
      <c r="AE107">
        <v>0</v>
      </c>
      <c r="AF107">
        <v>0</v>
      </c>
      <c r="AG107">
        <v>68</v>
      </c>
    </row>
    <row r="108" spans="1:33" x14ac:dyDescent="0.3">
      <c r="A108" t="s">
        <v>31</v>
      </c>
      <c r="B108" t="s">
        <v>67</v>
      </c>
      <c r="C108" s="2" t="s">
        <v>33</v>
      </c>
      <c r="D108">
        <v>389</v>
      </c>
      <c r="E108">
        <v>0</v>
      </c>
      <c r="F108">
        <v>10</v>
      </c>
      <c r="G108">
        <v>0</v>
      </c>
      <c r="H108">
        <v>14</v>
      </c>
      <c r="I108">
        <v>0</v>
      </c>
      <c r="J108">
        <v>0</v>
      </c>
      <c r="K108">
        <v>0</v>
      </c>
      <c r="L108">
        <v>74</v>
      </c>
      <c r="M108">
        <v>14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1</v>
      </c>
      <c r="Z108">
        <v>10</v>
      </c>
      <c r="AA108">
        <v>40</v>
      </c>
      <c r="AB108">
        <v>10</v>
      </c>
      <c r="AC108">
        <v>9</v>
      </c>
      <c r="AD108">
        <v>166</v>
      </c>
      <c r="AE108">
        <v>0</v>
      </c>
      <c r="AF108">
        <v>0</v>
      </c>
      <c r="AG108">
        <v>37</v>
      </c>
    </row>
    <row r="109" spans="1:33" x14ac:dyDescent="0.3">
      <c r="A109" t="s">
        <v>31</v>
      </c>
      <c r="B109" t="s">
        <v>67</v>
      </c>
      <c r="C109" s="2" t="s">
        <v>34</v>
      </c>
      <c r="D109">
        <v>176</v>
      </c>
      <c r="E109">
        <v>0</v>
      </c>
      <c r="F109">
        <v>10</v>
      </c>
      <c r="G109">
        <v>0</v>
      </c>
      <c r="H109">
        <v>5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4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4</v>
      </c>
      <c r="V109">
        <v>0</v>
      </c>
      <c r="W109" s="1">
        <v>0</v>
      </c>
      <c r="X109">
        <v>0</v>
      </c>
      <c r="Y109">
        <v>3</v>
      </c>
      <c r="Z109">
        <v>8</v>
      </c>
      <c r="AA109">
        <v>79</v>
      </c>
      <c r="AB109">
        <v>5</v>
      </c>
      <c r="AC109">
        <v>12</v>
      </c>
      <c r="AD109">
        <v>12</v>
      </c>
      <c r="AE109">
        <v>0</v>
      </c>
      <c r="AF109">
        <v>0</v>
      </c>
      <c r="AG109">
        <v>31</v>
      </c>
    </row>
    <row r="110" spans="1:33" x14ac:dyDescent="0.3">
      <c r="A110" t="s">
        <v>31</v>
      </c>
      <c r="B110" t="s">
        <v>68</v>
      </c>
      <c r="C110" s="2" t="s">
        <v>30</v>
      </c>
      <c r="D110">
        <v>250</v>
      </c>
      <c r="E110">
        <v>1</v>
      </c>
      <c r="F110">
        <v>37</v>
      </c>
      <c r="G110">
        <v>0</v>
      </c>
      <c r="H110">
        <v>25</v>
      </c>
      <c r="I110">
        <v>0</v>
      </c>
      <c r="J110">
        <v>0</v>
      </c>
      <c r="K110">
        <v>2</v>
      </c>
      <c r="L110">
        <v>15</v>
      </c>
      <c r="M110">
        <v>2</v>
      </c>
      <c r="N110">
        <v>4</v>
      </c>
      <c r="O110">
        <v>2</v>
      </c>
      <c r="P110">
        <v>0</v>
      </c>
      <c r="Q110">
        <v>2</v>
      </c>
      <c r="R110">
        <v>0</v>
      </c>
      <c r="S110">
        <v>0</v>
      </c>
      <c r="T110">
        <v>3</v>
      </c>
      <c r="U110">
        <v>14</v>
      </c>
      <c r="V110">
        <v>0</v>
      </c>
      <c r="W110" s="1">
        <v>0</v>
      </c>
      <c r="X110">
        <v>0</v>
      </c>
      <c r="Y110">
        <v>1</v>
      </c>
      <c r="Z110">
        <v>5</v>
      </c>
      <c r="AA110">
        <v>41</v>
      </c>
      <c r="AB110">
        <v>7</v>
      </c>
      <c r="AC110">
        <v>40</v>
      </c>
      <c r="AD110">
        <v>7</v>
      </c>
      <c r="AE110">
        <v>7</v>
      </c>
      <c r="AF110">
        <v>0</v>
      </c>
      <c r="AG110">
        <v>35</v>
      </c>
    </row>
    <row r="111" spans="1:33" x14ac:dyDescent="0.3">
      <c r="A111" t="s">
        <v>31</v>
      </c>
      <c r="B111" t="s">
        <v>68</v>
      </c>
      <c r="C111" s="2" t="s">
        <v>33</v>
      </c>
      <c r="D111">
        <v>97</v>
      </c>
      <c r="E111">
        <v>0</v>
      </c>
      <c r="F111">
        <v>7</v>
      </c>
      <c r="G111">
        <v>0</v>
      </c>
      <c r="H111">
        <v>4</v>
      </c>
      <c r="I111">
        <v>0</v>
      </c>
      <c r="J111">
        <v>0</v>
      </c>
      <c r="K111">
        <v>2</v>
      </c>
      <c r="L111">
        <v>13</v>
      </c>
      <c r="M111">
        <v>2</v>
      </c>
      <c r="N111">
        <v>2</v>
      </c>
      <c r="O111">
        <v>2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12</v>
      </c>
      <c r="V111">
        <v>0</v>
      </c>
      <c r="W111" s="1">
        <v>0</v>
      </c>
      <c r="X111">
        <v>0</v>
      </c>
      <c r="Y111">
        <v>1</v>
      </c>
      <c r="Z111">
        <v>1</v>
      </c>
      <c r="AA111">
        <v>11</v>
      </c>
      <c r="AB111">
        <v>5</v>
      </c>
      <c r="AC111">
        <v>19</v>
      </c>
      <c r="AD111">
        <v>0</v>
      </c>
      <c r="AE111">
        <v>2</v>
      </c>
      <c r="AF111">
        <v>0</v>
      </c>
      <c r="AG111">
        <v>13</v>
      </c>
    </row>
    <row r="112" spans="1:33" x14ac:dyDescent="0.3">
      <c r="A112" t="s">
        <v>31</v>
      </c>
      <c r="B112" t="s">
        <v>68</v>
      </c>
      <c r="C112" s="2" t="s">
        <v>34</v>
      </c>
      <c r="D112">
        <v>153</v>
      </c>
      <c r="E112">
        <v>1</v>
      </c>
      <c r="F112">
        <v>30</v>
      </c>
      <c r="G112">
        <v>0</v>
      </c>
      <c r="H112">
        <v>21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3</v>
      </c>
      <c r="U112">
        <v>2</v>
      </c>
      <c r="V112">
        <v>0</v>
      </c>
      <c r="W112" s="1">
        <v>0</v>
      </c>
      <c r="X112">
        <v>0</v>
      </c>
      <c r="Y112">
        <v>0</v>
      </c>
      <c r="Z112">
        <v>4</v>
      </c>
      <c r="AA112">
        <v>30</v>
      </c>
      <c r="AB112">
        <v>2</v>
      </c>
      <c r="AC112">
        <v>21</v>
      </c>
      <c r="AD112">
        <v>7</v>
      </c>
      <c r="AE112">
        <v>5</v>
      </c>
      <c r="AF112">
        <v>0</v>
      </c>
      <c r="AG112">
        <v>22</v>
      </c>
    </row>
    <row r="113" spans="1:33" x14ac:dyDescent="0.3">
      <c r="A113" t="s">
        <v>31</v>
      </c>
      <c r="B113" t="s">
        <v>69</v>
      </c>
      <c r="C113" s="2" t="s">
        <v>30</v>
      </c>
      <c r="D113">
        <v>236</v>
      </c>
      <c r="E113">
        <v>0</v>
      </c>
      <c r="F113">
        <v>30</v>
      </c>
      <c r="G113">
        <v>0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1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133</v>
      </c>
      <c r="AE113">
        <v>0</v>
      </c>
      <c r="AF113">
        <v>0</v>
      </c>
      <c r="AG113">
        <v>57</v>
      </c>
    </row>
    <row r="114" spans="1:33" x14ac:dyDescent="0.3">
      <c r="A114" t="s">
        <v>31</v>
      </c>
      <c r="B114" t="s">
        <v>69</v>
      </c>
      <c r="C114" s="2" t="s">
        <v>33</v>
      </c>
      <c r="D114">
        <v>130</v>
      </c>
      <c r="E114">
        <v>0</v>
      </c>
      <c r="F114">
        <v>15</v>
      </c>
      <c r="G114">
        <v>0</v>
      </c>
      <c r="H114">
        <v>13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1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69</v>
      </c>
      <c r="AE114">
        <v>0</v>
      </c>
      <c r="AF114">
        <v>0</v>
      </c>
      <c r="AG114">
        <v>32</v>
      </c>
    </row>
    <row r="115" spans="1:33" x14ac:dyDescent="0.3">
      <c r="A115" t="s">
        <v>31</v>
      </c>
      <c r="B115" t="s">
        <v>69</v>
      </c>
      <c r="C115" s="2" t="s">
        <v>34</v>
      </c>
      <c r="D115">
        <v>106</v>
      </c>
      <c r="E115">
        <v>0</v>
      </c>
      <c r="F115">
        <v>15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1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64</v>
      </c>
      <c r="AE115">
        <v>0</v>
      </c>
      <c r="AF115">
        <v>0</v>
      </c>
      <c r="AG115">
        <v>25</v>
      </c>
    </row>
    <row r="116" spans="1:33" x14ac:dyDescent="0.3">
      <c r="A116" t="s">
        <v>31</v>
      </c>
      <c r="B116" t="s">
        <v>70</v>
      </c>
      <c r="C116" s="2" t="s">
        <v>30</v>
      </c>
      <c r="D116">
        <v>137</v>
      </c>
      <c r="E116">
        <v>0</v>
      </c>
      <c r="F116">
        <v>39</v>
      </c>
      <c r="G116">
        <v>0</v>
      </c>
      <c r="H116">
        <v>13</v>
      </c>
      <c r="I116">
        <v>0</v>
      </c>
      <c r="J116">
        <v>0</v>
      </c>
      <c r="K116">
        <v>0</v>
      </c>
      <c r="L116">
        <v>7</v>
      </c>
      <c r="M116">
        <v>0</v>
      </c>
      <c r="N116">
        <v>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25</v>
      </c>
      <c r="V116">
        <v>0</v>
      </c>
      <c r="W116" s="1">
        <v>0</v>
      </c>
      <c r="X116">
        <v>0</v>
      </c>
      <c r="Y116">
        <v>3</v>
      </c>
      <c r="Z116">
        <v>13</v>
      </c>
      <c r="AA116">
        <v>3</v>
      </c>
      <c r="AB116">
        <v>3</v>
      </c>
      <c r="AC116">
        <v>23</v>
      </c>
      <c r="AD116">
        <v>2</v>
      </c>
      <c r="AE116">
        <v>0</v>
      </c>
      <c r="AF116">
        <v>0</v>
      </c>
      <c r="AG116">
        <v>0</v>
      </c>
    </row>
    <row r="117" spans="1:33" x14ac:dyDescent="0.3">
      <c r="A117" t="s">
        <v>31</v>
      </c>
      <c r="B117" t="s">
        <v>70</v>
      </c>
      <c r="C117" s="2" t="s">
        <v>33</v>
      </c>
      <c r="D117">
        <v>38</v>
      </c>
      <c r="E117">
        <v>0</v>
      </c>
      <c r="F117">
        <v>5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14</v>
      </c>
      <c r="V117">
        <v>0</v>
      </c>
      <c r="W117" s="1">
        <v>0</v>
      </c>
      <c r="X117">
        <v>0</v>
      </c>
      <c r="Y117">
        <v>1</v>
      </c>
      <c r="Z117">
        <v>5</v>
      </c>
      <c r="AA117">
        <v>1</v>
      </c>
      <c r="AB117">
        <v>0</v>
      </c>
      <c r="AC117">
        <v>3</v>
      </c>
      <c r="AD117">
        <v>0</v>
      </c>
      <c r="AE117">
        <v>0</v>
      </c>
      <c r="AF117">
        <v>0</v>
      </c>
      <c r="AG117">
        <v>0</v>
      </c>
    </row>
    <row r="118" spans="1:33" x14ac:dyDescent="0.3">
      <c r="A118" t="s">
        <v>31</v>
      </c>
      <c r="B118" t="s">
        <v>70</v>
      </c>
      <c r="C118" s="2" t="s">
        <v>34</v>
      </c>
      <c r="D118">
        <v>99</v>
      </c>
      <c r="E118">
        <v>0</v>
      </c>
      <c r="F118">
        <v>34</v>
      </c>
      <c r="G118">
        <v>0</v>
      </c>
      <c r="H118">
        <v>10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</v>
      </c>
      <c r="V118">
        <v>0</v>
      </c>
      <c r="W118" s="1">
        <v>0</v>
      </c>
      <c r="X118">
        <v>0</v>
      </c>
      <c r="Y118">
        <v>2</v>
      </c>
      <c r="Z118">
        <v>8</v>
      </c>
      <c r="AA118">
        <v>2</v>
      </c>
      <c r="AB118">
        <v>3</v>
      </c>
      <c r="AC118">
        <v>20</v>
      </c>
      <c r="AD118">
        <v>2</v>
      </c>
      <c r="AE118">
        <v>0</v>
      </c>
      <c r="AF118">
        <v>0</v>
      </c>
      <c r="AG118">
        <v>0</v>
      </c>
    </row>
    <row r="119" spans="1:33" x14ac:dyDescent="0.3">
      <c r="A119" t="s">
        <v>31</v>
      </c>
      <c r="B119" t="s">
        <v>71</v>
      </c>
      <c r="C119" s="2" t="s">
        <v>30</v>
      </c>
      <c r="D119">
        <v>115</v>
      </c>
      <c r="E119">
        <v>1</v>
      </c>
      <c r="F119">
        <v>14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26</v>
      </c>
      <c r="M119">
        <v>5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s="1">
        <v>0</v>
      </c>
      <c r="X119">
        <v>0</v>
      </c>
      <c r="Y119">
        <v>0</v>
      </c>
      <c r="Z119">
        <v>6</v>
      </c>
      <c r="AA119">
        <v>29</v>
      </c>
      <c r="AB119">
        <v>8</v>
      </c>
      <c r="AC119">
        <v>6</v>
      </c>
      <c r="AD119">
        <v>15</v>
      </c>
      <c r="AE119">
        <v>0</v>
      </c>
      <c r="AF119">
        <v>0</v>
      </c>
      <c r="AG119">
        <v>0</v>
      </c>
    </row>
    <row r="120" spans="1:33" x14ac:dyDescent="0.3">
      <c r="A120" t="s">
        <v>31</v>
      </c>
      <c r="B120" t="s">
        <v>71</v>
      </c>
      <c r="C120" s="2" t="s">
        <v>33</v>
      </c>
      <c r="D120">
        <v>71</v>
      </c>
      <c r="E120">
        <v>0</v>
      </c>
      <c r="F120">
        <v>6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26</v>
      </c>
      <c r="M120">
        <v>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1">
        <v>0</v>
      </c>
      <c r="X120">
        <v>0</v>
      </c>
      <c r="Y120">
        <v>0</v>
      </c>
      <c r="Z120">
        <v>1</v>
      </c>
      <c r="AA120">
        <v>12</v>
      </c>
      <c r="AB120">
        <v>7</v>
      </c>
      <c r="AC120">
        <v>3</v>
      </c>
      <c r="AD120">
        <v>10</v>
      </c>
      <c r="AE120">
        <v>0</v>
      </c>
      <c r="AF120">
        <v>0</v>
      </c>
      <c r="AG120">
        <v>0</v>
      </c>
    </row>
    <row r="121" spans="1:33" x14ac:dyDescent="0.3">
      <c r="A121" t="s">
        <v>31</v>
      </c>
      <c r="B121" t="s">
        <v>71</v>
      </c>
      <c r="C121" s="2" t="s">
        <v>34</v>
      </c>
      <c r="D121">
        <v>44</v>
      </c>
      <c r="E121">
        <v>1</v>
      </c>
      <c r="F121">
        <v>8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1">
        <v>0</v>
      </c>
      <c r="X121">
        <v>0</v>
      </c>
      <c r="Y121">
        <v>0</v>
      </c>
      <c r="Z121">
        <v>5</v>
      </c>
      <c r="AA121">
        <v>17</v>
      </c>
      <c r="AB121">
        <v>1</v>
      </c>
      <c r="AC121">
        <v>3</v>
      </c>
      <c r="AD121">
        <v>5</v>
      </c>
      <c r="AE121">
        <v>0</v>
      </c>
      <c r="AF121">
        <v>0</v>
      </c>
      <c r="AG121">
        <v>0</v>
      </c>
    </row>
    <row r="122" spans="1:33" x14ac:dyDescent="0.3">
      <c r="A122" t="s">
        <v>31</v>
      </c>
      <c r="B122" t="s">
        <v>72</v>
      </c>
      <c r="C122" s="2" t="s">
        <v>30</v>
      </c>
      <c r="D122">
        <v>91</v>
      </c>
      <c r="E122">
        <v>0</v>
      </c>
      <c r="F122">
        <v>59</v>
      </c>
      <c r="G122">
        <v>0</v>
      </c>
      <c r="H122">
        <v>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3</v>
      </c>
      <c r="V122">
        <v>0</v>
      </c>
      <c r="W122" s="1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4</v>
      </c>
      <c r="AD122">
        <v>2</v>
      </c>
      <c r="AE122">
        <v>0</v>
      </c>
      <c r="AF122">
        <v>0</v>
      </c>
      <c r="AG122">
        <v>10</v>
      </c>
    </row>
    <row r="123" spans="1:33" x14ac:dyDescent="0.3">
      <c r="A123" t="s">
        <v>31</v>
      </c>
      <c r="B123" t="s">
        <v>72</v>
      </c>
      <c r="C123" s="2" t="s">
        <v>33</v>
      </c>
      <c r="D123">
        <v>18</v>
      </c>
      <c r="E123">
        <v>0</v>
      </c>
      <c r="F123">
        <v>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0</v>
      </c>
      <c r="V123">
        <v>0</v>
      </c>
      <c r="W123" s="1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4</v>
      </c>
    </row>
    <row r="124" spans="1:33" x14ac:dyDescent="0.3">
      <c r="A124" t="s">
        <v>31</v>
      </c>
      <c r="B124" t="s">
        <v>72</v>
      </c>
      <c r="C124" s="2" t="s">
        <v>34</v>
      </c>
      <c r="D124">
        <v>73</v>
      </c>
      <c r="E124">
        <v>0</v>
      </c>
      <c r="F124">
        <v>50</v>
      </c>
      <c r="G124">
        <v>0</v>
      </c>
      <c r="H124">
        <v>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</v>
      </c>
      <c r="V124">
        <v>0</v>
      </c>
      <c r="W124" s="1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3</v>
      </c>
      <c r="AD124">
        <v>2</v>
      </c>
      <c r="AE124">
        <v>0</v>
      </c>
      <c r="AF124">
        <v>0</v>
      </c>
      <c r="AG124">
        <v>6</v>
      </c>
    </row>
    <row r="125" spans="1:33" x14ac:dyDescent="0.3">
      <c r="A125" t="s">
        <v>31</v>
      </c>
      <c r="B125" t="s">
        <v>73</v>
      </c>
      <c r="C125" s="2" t="s">
        <v>30</v>
      </c>
      <c r="D125">
        <v>67</v>
      </c>
      <c r="E125">
        <v>0</v>
      </c>
      <c r="F125">
        <v>3</v>
      </c>
      <c r="G125">
        <v>0</v>
      </c>
      <c r="H125">
        <v>2</v>
      </c>
      <c r="I125">
        <v>0</v>
      </c>
      <c r="J125">
        <v>0</v>
      </c>
      <c r="K125">
        <v>4</v>
      </c>
      <c r="L125">
        <v>2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1">
        <v>0</v>
      </c>
      <c r="X125">
        <v>0</v>
      </c>
      <c r="Y125">
        <v>0</v>
      </c>
      <c r="Z125">
        <v>0</v>
      </c>
      <c r="AA125">
        <v>6</v>
      </c>
      <c r="AB125">
        <v>0</v>
      </c>
      <c r="AC125">
        <v>1</v>
      </c>
      <c r="AD125">
        <v>17</v>
      </c>
      <c r="AE125">
        <v>0</v>
      </c>
      <c r="AF125">
        <v>0</v>
      </c>
      <c r="AG125">
        <v>30</v>
      </c>
    </row>
    <row r="126" spans="1:33" x14ac:dyDescent="0.3">
      <c r="A126" t="s">
        <v>31</v>
      </c>
      <c r="B126" t="s">
        <v>73</v>
      </c>
      <c r="C126" s="2" t="s">
        <v>33</v>
      </c>
      <c r="D126">
        <v>31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4</v>
      </c>
      <c r="L126">
        <v>2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1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1</v>
      </c>
      <c r="AD126">
        <v>7</v>
      </c>
      <c r="AE126">
        <v>0</v>
      </c>
      <c r="AF126">
        <v>0</v>
      </c>
      <c r="AG126">
        <v>14</v>
      </c>
    </row>
    <row r="127" spans="1:33" x14ac:dyDescent="0.3">
      <c r="A127" t="s">
        <v>31</v>
      </c>
      <c r="B127" t="s">
        <v>73</v>
      </c>
      <c r="C127" s="2" t="s">
        <v>34</v>
      </c>
      <c r="D127">
        <v>36</v>
      </c>
      <c r="E127">
        <v>0</v>
      </c>
      <c r="F127">
        <v>3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1">
        <v>0</v>
      </c>
      <c r="X127">
        <v>0</v>
      </c>
      <c r="Y127">
        <v>0</v>
      </c>
      <c r="Z127">
        <v>0</v>
      </c>
      <c r="AA127">
        <v>5</v>
      </c>
      <c r="AB127">
        <v>0</v>
      </c>
      <c r="AC127">
        <v>0</v>
      </c>
      <c r="AD127">
        <v>10</v>
      </c>
      <c r="AE127">
        <v>0</v>
      </c>
      <c r="AF127">
        <v>0</v>
      </c>
      <c r="AG127">
        <v>16</v>
      </c>
    </row>
    <row r="128" spans="1:33" x14ac:dyDescent="0.3">
      <c r="A128" t="s">
        <v>31</v>
      </c>
      <c r="B128" t="s">
        <v>74</v>
      </c>
      <c r="C128" s="2" t="s">
        <v>30</v>
      </c>
      <c r="D128">
        <v>60</v>
      </c>
      <c r="E128">
        <v>0</v>
      </c>
      <c r="F128">
        <v>11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5</v>
      </c>
      <c r="V128">
        <v>0</v>
      </c>
      <c r="W128" s="1">
        <v>0</v>
      </c>
      <c r="X128">
        <v>0</v>
      </c>
      <c r="Y128">
        <v>2</v>
      </c>
      <c r="Z128">
        <v>2</v>
      </c>
      <c r="AA128">
        <v>3</v>
      </c>
      <c r="AB128">
        <v>2</v>
      </c>
      <c r="AC128">
        <v>7</v>
      </c>
      <c r="AD128">
        <v>11</v>
      </c>
      <c r="AE128">
        <v>0</v>
      </c>
      <c r="AF128">
        <v>0</v>
      </c>
      <c r="AG128">
        <v>6</v>
      </c>
    </row>
    <row r="129" spans="1:33" x14ac:dyDescent="0.3">
      <c r="A129" t="s">
        <v>31</v>
      </c>
      <c r="B129" t="s">
        <v>74</v>
      </c>
      <c r="C129" s="2" t="s">
        <v>33</v>
      </c>
      <c r="D129">
        <v>29</v>
      </c>
      <c r="E129">
        <v>0</v>
      </c>
      <c r="F129">
        <v>4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3</v>
      </c>
      <c r="V129">
        <v>0</v>
      </c>
      <c r="W129" s="1">
        <v>0</v>
      </c>
      <c r="X129">
        <v>0</v>
      </c>
      <c r="Y129">
        <v>0</v>
      </c>
      <c r="Z129">
        <v>2</v>
      </c>
      <c r="AA129">
        <v>0</v>
      </c>
      <c r="AB129">
        <v>1</v>
      </c>
      <c r="AC129">
        <v>3</v>
      </c>
      <c r="AD129">
        <v>8</v>
      </c>
      <c r="AE129">
        <v>0</v>
      </c>
      <c r="AF129">
        <v>0</v>
      </c>
      <c r="AG129">
        <v>4</v>
      </c>
    </row>
    <row r="130" spans="1:33" x14ac:dyDescent="0.3">
      <c r="A130" t="s">
        <v>31</v>
      </c>
      <c r="B130" t="s">
        <v>74</v>
      </c>
      <c r="C130" s="2" t="s">
        <v>34</v>
      </c>
      <c r="D130">
        <v>31</v>
      </c>
      <c r="E130">
        <v>0</v>
      </c>
      <c r="F130">
        <v>7</v>
      </c>
      <c r="G130">
        <v>0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2</v>
      </c>
      <c r="V130">
        <v>0</v>
      </c>
      <c r="W130" s="1">
        <v>0</v>
      </c>
      <c r="X130">
        <v>0</v>
      </c>
      <c r="Y130">
        <v>2</v>
      </c>
      <c r="Z130">
        <v>0</v>
      </c>
      <c r="AA130">
        <v>3</v>
      </c>
      <c r="AB130">
        <v>1</v>
      </c>
      <c r="AC130">
        <v>4</v>
      </c>
      <c r="AD130">
        <v>3</v>
      </c>
      <c r="AE130">
        <v>0</v>
      </c>
      <c r="AF130">
        <v>0</v>
      </c>
      <c r="AG130">
        <v>2</v>
      </c>
    </row>
    <row r="131" spans="1:33" x14ac:dyDescent="0.3">
      <c r="A131" t="s">
        <v>31</v>
      </c>
      <c r="B131" t="s">
        <v>75</v>
      </c>
      <c r="C131" s="2" t="s">
        <v>30</v>
      </c>
      <c r="D131">
        <v>55</v>
      </c>
      <c r="E131">
        <v>0</v>
      </c>
      <c r="F131">
        <v>5</v>
      </c>
      <c r="G131">
        <v>0</v>
      </c>
      <c r="H131">
        <v>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 s="1">
        <v>0</v>
      </c>
      <c r="X131">
        <v>0</v>
      </c>
      <c r="Y131">
        <v>0</v>
      </c>
      <c r="Z131">
        <v>0</v>
      </c>
      <c r="AA131">
        <v>11</v>
      </c>
      <c r="AB131">
        <v>0</v>
      </c>
      <c r="AC131">
        <v>1</v>
      </c>
      <c r="AD131">
        <v>6</v>
      </c>
      <c r="AE131">
        <v>0</v>
      </c>
      <c r="AF131">
        <v>0</v>
      </c>
      <c r="AG131">
        <v>22</v>
      </c>
    </row>
    <row r="132" spans="1:33" x14ac:dyDescent="0.3">
      <c r="A132" t="s">
        <v>31</v>
      </c>
      <c r="B132" t="s">
        <v>75</v>
      </c>
      <c r="C132" s="2" t="s">
        <v>33</v>
      </c>
      <c r="D132">
        <v>28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 s="1">
        <v>0</v>
      </c>
      <c r="X132">
        <v>0</v>
      </c>
      <c r="Y132">
        <v>0</v>
      </c>
      <c r="Z132">
        <v>0</v>
      </c>
      <c r="AA132">
        <v>7</v>
      </c>
      <c r="AB132">
        <v>0</v>
      </c>
      <c r="AC132">
        <v>1</v>
      </c>
      <c r="AD132">
        <v>3</v>
      </c>
      <c r="AE132">
        <v>0</v>
      </c>
      <c r="AF132">
        <v>0</v>
      </c>
      <c r="AG132">
        <v>13</v>
      </c>
    </row>
    <row r="133" spans="1:33" x14ac:dyDescent="0.3">
      <c r="A133" t="s">
        <v>31</v>
      </c>
      <c r="B133" t="s">
        <v>75</v>
      </c>
      <c r="C133" s="2" t="s">
        <v>34</v>
      </c>
      <c r="D133">
        <v>27</v>
      </c>
      <c r="E133">
        <v>0</v>
      </c>
      <c r="F133">
        <v>3</v>
      </c>
      <c r="G133">
        <v>0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 s="1">
        <v>0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0</v>
      </c>
      <c r="AD133">
        <v>3</v>
      </c>
      <c r="AE133">
        <v>0</v>
      </c>
      <c r="AF133">
        <v>0</v>
      </c>
      <c r="AG133">
        <v>9</v>
      </c>
    </row>
    <row r="134" spans="1:33" x14ac:dyDescent="0.3">
      <c r="A134" t="s">
        <v>31</v>
      </c>
      <c r="B134" t="s">
        <v>76</v>
      </c>
      <c r="C134" s="2" t="s">
        <v>30</v>
      </c>
      <c r="D134">
        <v>40</v>
      </c>
      <c r="E134">
        <v>0</v>
      </c>
      <c r="F134">
        <v>2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1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33</v>
      </c>
    </row>
    <row r="135" spans="1:33" x14ac:dyDescent="0.3">
      <c r="A135" t="s">
        <v>31</v>
      </c>
      <c r="B135" t="s">
        <v>76</v>
      </c>
      <c r="C135" s="2" t="s">
        <v>33</v>
      </c>
      <c r="D135">
        <v>22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1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19</v>
      </c>
    </row>
    <row r="136" spans="1:33" x14ac:dyDescent="0.3">
      <c r="A136" t="s">
        <v>31</v>
      </c>
      <c r="B136" t="s">
        <v>76</v>
      </c>
      <c r="C136" s="2" t="s">
        <v>34</v>
      </c>
      <c r="D136">
        <v>18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1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</v>
      </c>
      <c r="AD136">
        <v>0</v>
      </c>
      <c r="AE136">
        <v>0</v>
      </c>
      <c r="AF136">
        <v>0</v>
      </c>
      <c r="AG136">
        <v>14</v>
      </c>
    </row>
    <row r="137" spans="1:33" x14ac:dyDescent="0.3">
      <c r="A137" t="s">
        <v>31</v>
      </c>
      <c r="B137" t="s">
        <v>77</v>
      </c>
      <c r="C137" s="2" t="s">
        <v>30</v>
      </c>
      <c r="D137">
        <v>38</v>
      </c>
      <c r="E137">
        <v>0</v>
      </c>
      <c r="F137">
        <v>9</v>
      </c>
      <c r="G137">
        <v>0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 s="1">
        <v>0</v>
      </c>
      <c r="X137">
        <v>0</v>
      </c>
      <c r="Y137">
        <v>0</v>
      </c>
      <c r="Z137">
        <v>2</v>
      </c>
      <c r="AA137">
        <v>0</v>
      </c>
      <c r="AB137">
        <v>3</v>
      </c>
      <c r="AC137">
        <v>8</v>
      </c>
      <c r="AD137">
        <v>2</v>
      </c>
      <c r="AE137">
        <v>0</v>
      </c>
      <c r="AF137">
        <v>0</v>
      </c>
      <c r="AG137">
        <v>8</v>
      </c>
    </row>
    <row r="138" spans="1:33" x14ac:dyDescent="0.3">
      <c r="A138" t="s">
        <v>31</v>
      </c>
      <c r="B138" t="s">
        <v>77</v>
      </c>
      <c r="C138" s="2" t="s">
        <v>33</v>
      </c>
      <c r="D138">
        <v>13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 s="1">
        <v>0</v>
      </c>
      <c r="X138">
        <v>0</v>
      </c>
      <c r="Y138">
        <v>0</v>
      </c>
      <c r="Z138">
        <v>1</v>
      </c>
      <c r="AA138">
        <v>0</v>
      </c>
      <c r="AB138">
        <v>3</v>
      </c>
      <c r="AC138">
        <v>2</v>
      </c>
      <c r="AD138">
        <v>1</v>
      </c>
      <c r="AE138">
        <v>0</v>
      </c>
      <c r="AF138">
        <v>0</v>
      </c>
      <c r="AG138">
        <v>4</v>
      </c>
    </row>
    <row r="139" spans="1:33" x14ac:dyDescent="0.3">
      <c r="A139" t="s">
        <v>31</v>
      </c>
      <c r="B139" t="s">
        <v>77</v>
      </c>
      <c r="C139" s="2" t="s">
        <v>34</v>
      </c>
      <c r="D139">
        <v>25</v>
      </c>
      <c r="E139">
        <v>0</v>
      </c>
      <c r="F139">
        <v>8</v>
      </c>
      <c r="G139">
        <v>0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 s="1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6</v>
      </c>
      <c r="AD139">
        <v>1</v>
      </c>
      <c r="AE139">
        <v>0</v>
      </c>
      <c r="AF139">
        <v>0</v>
      </c>
      <c r="AG139">
        <v>4</v>
      </c>
    </row>
    <row r="140" spans="1:33" x14ac:dyDescent="0.3">
      <c r="A140" t="s">
        <v>31</v>
      </c>
      <c r="B140" t="s">
        <v>78</v>
      </c>
      <c r="C140" s="2" t="s">
        <v>30</v>
      </c>
      <c r="D140">
        <v>22</v>
      </c>
      <c r="E140">
        <v>0</v>
      </c>
      <c r="F140">
        <v>7</v>
      </c>
      <c r="G140">
        <v>0</v>
      </c>
      <c r="H140">
        <v>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 s="1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3</v>
      </c>
    </row>
    <row r="141" spans="1:33" x14ac:dyDescent="0.3">
      <c r="A141" t="s">
        <v>31</v>
      </c>
      <c r="B141" t="s">
        <v>78</v>
      </c>
      <c r="C141" s="2" t="s">
        <v>33</v>
      </c>
      <c r="D141">
        <v>7</v>
      </c>
      <c r="E141">
        <v>0</v>
      </c>
      <c r="F141">
        <v>0</v>
      </c>
      <c r="G141">
        <v>0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 s="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</v>
      </c>
    </row>
    <row r="142" spans="1:33" x14ac:dyDescent="0.3">
      <c r="A142" t="s">
        <v>31</v>
      </c>
      <c r="B142" t="s">
        <v>78</v>
      </c>
      <c r="C142" s="2" t="s">
        <v>34</v>
      </c>
      <c r="D142">
        <v>15</v>
      </c>
      <c r="E142">
        <v>0</v>
      </c>
      <c r="F142">
        <v>7</v>
      </c>
      <c r="G142">
        <v>0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 s="1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</row>
    <row r="143" spans="1:33" x14ac:dyDescent="0.3">
      <c r="A143" t="s">
        <v>31</v>
      </c>
      <c r="B143" t="s">
        <v>79</v>
      </c>
      <c r="C143" s="2" t="s">
        <v>30</v>
      </c>
      <c r="D143">
        <v>16</v>
      </c>
      <c r="E143">
        <v>0</v>
      </c>
      <c r="F143">
        <v>2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 s="1">
        <v>0</v>
      </c>
      <c r="X143">
        <v>0</v>
      </c>
      <c r="Y143">
        <v>0</v>
      </c>
      <c r="Z143">
        <v>0</v>
      </c>
      <c r="AA143">
        <v>3</v>
      </c>
      <c r="AB143">
        <v>5</v>
      </c>
      <c r="AC143">
        <v>2</v>
      </c>
      <c r="AD143">
        <v>0</v>
      </c>
      <c r="AE143">
        <v>0</v>
      </c>
      <c r="AF143">
        <v>0</v>
      </c>
      <c r="AG143">
        <v>0</v>
      </c>
    </row>
    <row r="144" spans="1:33" x14ac:dyDescent="0.3">
      <c r="A144" t="s">
        <v>31</v>
      </c>
      <c r="B144" t="s">
        <v>79</v>
      </c>
      <c r="C144" s="2" t="s">
        <v>33</v>
      </c>
      <c r="D144">
        <v>6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 s="1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">
      <c r="A145" t="s">
        <v>31</v>
      </c>
      <c r="B145" t="s">
        <v>79</v>
      </c>
      <c r="C145" s="2" t="s">
        <v>34</v>
      </c>
      <c r="D145">
        <v>10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1">
        <v>0</v>
      </c>
      <c r="X145">
        <v>0</v>
      </c>
      <c r="Y145">
        <v>0</v>
      </c>
      <c r="Z145">
        <v>0</v>
      </c>
      <c r="AA145">
        <v>2</v>
      </c>
      <c r="AB145">
        <v>4</v>
      </c>
      <c r="AC145">
        <v>2</v>
      </c>
      <c r="AD145">
        <v>0</v>
      </c>
      <c r="AE145">
        <v>0</v>
      </c>
      <c r="AF145">
        <v>0</v>
      </c>
      <c r="AG145">
        <v>0</v>
      </c>
    </row>
    <row r="146" spans="1:33" x14ac:dyDescent="0.3">
      <c r="A146" t="s">
        <v>31</v>
      </c>
      <c r="B146" t="s">
        <v>80</v>
      </c>
      <c r="C146" s="2" t="s">
        <v>30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1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</v>
      </c>
      <c r="AD146">
        <v>0</v>
      </c>
      <c r="AE146">
        <v>0</v>
      </c>
      <c r="AF146">
        <v>0</v>
      </c>
      <c r="AG146">
        <v>0</v>
      </c>
    </row>
    <row r="147" spans="1:33" x14ac:dyDescent="0.3">
      <c r="A147" t="s">
        <v>31</v>
      </c>
      <c r="B147" t="s">
        <v>80</v>
      </c>
      <c r="C147" s="2" t="s">
        <v>33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1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</v>
      </c>
      <c r="AD147">
        <v>0</v>
      </c>
      <c r="AE147">
        <v>0</v>
      </c>
      <c r="AF147">
        <v>0</v>
      </c>
      <c r="AG147">
        <v>0</v>
      </c>
    </row>
    <row r="148" spans="1:33" x14ac:dyDescent="0.3">
      <c r="A148" t="s">
        <v>31</v>
      </c>
      <c r="B148" t="s">
        <v>81</v>
      </c>
      <c r="C148" s="2" t="s">
        <v>30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1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</row>
    <row r="149" spans="1:33" x14ac:dyDescent="0.3">
      <c r="A149" t="s">
        <v>31</v>
      </c>
      <c r="B149" t="s">
        <v>81</v>
      </c>
      <c r="C149" s="2" t="s">
        <v>34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1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</row>
    <row r="150" spans="1:33" x14ac:dyDescent="0.3">
      <c r="A150" t="s">
        <v>82</v>
      </c>
      <c r="B150" t="s">
        <v>30</v>
      </c>
      <c r="C150" s="2" t="s">
        <v>30</v>
      </c>
      <c r="D150" s="1">
        <v>41629</v>
      </c>
      <c r="E150">
        <v>2</v>
      </c>
      <c r="F150" s="1">
        <v>2014</v>
      </c>
      <c r="G150">
        <v>0</v>
      </c>
      <c r="H150">
        <v>350</v>
      </c>
      <c r="I150">
        <v>29</v>
      </c>
      <c r="J150">
        <v>459</v>
      </c>
      <c r="K150">
        <v>167</v>
      </c>
      <c r="L150">
        <v>341</v>
      </c>
      <c r="M150">
        <v>32</v>
      </c>
      <c r="N150">
        <v>185</v>
      </c>
      <c r="O150">
        <v>540</v>
      </c>
      <c r="P150" s="1">
        <v>6461</v>
      </c>
      <c r="Q150">
        <v>76</v>
      </c>
      <c r="R150">
        <v>59</v>
      </c>
      <c r="S150">
        <v>20</v>
      </c>
      <c r="T150">
        <v>229</v>
      </c>
      <c r="U150" s="1">
        <v>1656</v>
      </c>
      <c r="V150">
        <v>0</v>
      </c>
      <c r="W150" s="1">
        <v>0</v>
      </c>
      <c r="X150">
        <v>0</v>
      </c>
      <c r="Y150">
        <v>882</v>
      </c>
      <c r="Z150" s="1">
        <v>1291</v>
      </c>
      <c r="AA150" s="1">
        <v>2135</v>
      </c>
      <c r="AB150" s="1">
        <v>2856</v>
      </c>
      <c r="AC150" s="1">
        <v>6319</v>
      </c>
      <c r="AD150">
        <v>51</v>
      </c>
      <c r="AE150">
        <v>152</v>
      </c>
      <c r="AF150" s="1">
        <v>0</v>
      </c>
      <c r="AG150" s="1">
        <v>15323</v>
      </c>
    </row>
    <row r="151" spans="1:33" x14ac:dyDescent="0.3">
      <c r="A151" t="s">
        <v>82</v>
      </c>
      <c r="B151" t="s">
        <v>30</v>
      </c>
      <c r="C151" s="2" t="s">
        <v>33</v>
      </c>
      <c r="D151" s="1">
        <f>D154+D157</f>
        <v>22907</v>
      </c>
      <c r="E151" s="1">
        <f t="shared" ref="E151:AG151" si="4">E154+E157</f>
        <v>2</v>
      </c>
      <c r="F151" s="1">
        <f t="shared" si="4"/>
        <v>816</v>
      </c>
      <c r="G151" s="1">
        <f t="shared" si="4"/>
        <v>0</v>
      </c>
      <c r="H151" s="1">
        <f t="shared" si="4"/>
        <v>127</v>
      </c>
      <c r="I151" s="1">
        <f t="shared" si="4"/>
        <v>22</v>
      </c>
      <c r="J151" s="1">
        <f t="shared" si="4"/>
        <v>281</v>
      </c>
      <c r="K151" s="1">
        <f t="shared" si="4"/>
        <v>154</v>
      </c>
      <c r="L151" s="1">
        <f t="shared" si="4"/>
        <v>297</v>
      </c>
      <c r="M151" s="1">
        <f t="shared" si="4"/>
        <v>29</v>
      </c>
      <c r="N151" s="1">
        <f t="shared" si="4"/>
        <v>86</v>
      </c>
      <c r="O151" s="1">
        <f t="shared" si="4"/>
        <v>405</v>
      </c>
      <c r="P151" s="1">
        <f t="shared" si="4"/>
        <v>2123</v>
      </c>
      <c r="Q151" s="1">
        <f t="shared" si="4"/>
        <v>68</v>
      </c>
      <c r="R151" s="1">
        <f t="shared" si="4"/>
        <v>59</v>
      </c>
      <c r="S151" s="1">
        <f t="shared" si="4"/>
        <v>20</v>
      </c>
      <c r="T151" s="1">
        <f t="shared" si="4"/>
        <v>140</v>
      </c>
      <c r="U151" s="1">
        <f t="shared" si="4"/>
        <v>966</v>
      </c>
      <c r="V151" s="1">
        <f t="shared" si="4"/>
        <v>0</v>
      </c>
      <c r="W151" s="1">
        <f t="shared" si="4"/>
        <v>0</v>
      </c>
      <c r="X151" s="1">
        <f t="shared" si="4"/>
        <v>0</v>
      </c>
      <c r="Y151" s="1">
        <f t="shared" si="4"/>
        <v>597</v>
      </c>
      <c r="Z151" s="1">
        <f t="shared" si="4"/>
        <v>688</v>
      </c>
      <c r="AA151" s="1">
        <f t="shared" si="4"/>
        <v>1098</v>
      </c>
      <c r="AB151" s="1">
        <f t="shared" si="4"/>
        <v>1833</v>
      </c>
      <c r="AC151" s="1">
        <f t="shared" si="4"/>
        <v>4217</v>
      </c>
      <c r="AD151" s="1">
        <f t="shared" si="4"/>
        <v>27</v>
      </c>
      <c r="AE151" s="1">
        <f t="shared" si="4"/>
        <v>58</v>
      </c>
      <c r="AF151" s="1">
        <f t="shared" si="4"/>
        <v>0</v>
      </c>
      <c r="AG151" s="1">
        <f t="shared" si="4"/>
        <v>8794</v>
      </c>
    </row>
    <row r="152" spans="1:33" x14ac:dyDescent="0.3">
      <c r="A152" t="s">
        <v>82</v>
      </c>
      <c r="B152" t="s">
        <v>30</v>
      </c>
      <c r="C152" s="2" t="s">
        <v>34</v>
      </c>
      <c r="D152" s="1">
        <f>D155+D158</f>
        <v>18722</v>
      </c>
      <c r="E152" s="1">
        <f t="shared" ref="E152:AG152" si="5">E155+E158</f>
        <v>0</v>
      </c>
      <c r="F152" s="1">
        <f t="shared" si="5"/>
        <v>1198</v>
      </c>
      <c r="G152" s="1">
        <f t="shared" si="5"/>
        <v>0</v>
      </c>
      <c r="H152" s="1">
        <f t="shared" si="5"/>
        <v>223</v>
      </c>
      <c r="I152" s="1">
        <f t="shared" si="5"/>
        <v>7</v>
      </c>
      <c r="J152" s="1">
        <f t="shared" si="5"/>
        <v>178</v>
      </c>
      <c r="K152" s="1">
        <f t="shared" si="5"/>
        <v>13</v>
      </c>
      <c r="L152" s="1">
        <f t="shared" si="5"/>
        <v>44</v>
      </c>
      <c r="M152" s="1">
        <f t="shared" si="5"/>
        <v>3</v>
      </c>
      <c r="N152" s="1">
        <f t="shared" si="5"/>
        <v>99</v>
      </c>
      <c r="O152" s="1">
        <f t="shared" si="5"/>
        <v>135</v>
      </c>
      <c r="P152" s="1">
        <f t="shared" si="5"/>
        <v>4338</v>
      </c>
      <c r="Q152" s="1">
        <f t="shared" si="5"/>
        <v>8</v>
      </c>
      <c r="R152" s="1">
        <f t="shared" si="5"/>
        <v>0</v>
      </c>
      <c r="S152" s="1">
        <f t="shared" si="5"/>
        <v>0</v>
      </c>
      <c r="T152" s="1">
        <f t="shared" si="5"/>
        <v>89</v>
      </c>
      <c r="U152" s="1">
        <f t="shared" si="5"/>
        <v>690</v>
      </c>
      <c r="V152" s="1">
        <f t="shared" si="5"/>
        <v>0</v>
      </c>
      <c r="W152" s="1">
        <f t="shared" si="5"/>
        <v>0</v>
      </c>
      <c r="X152" s="1">
        <f t="shared" si="5"/>
        <v>0</v>
      </c>
      <c r="Y152" s="1">
        <f t="shared" si="5"/>
        <v>285</v>
      </c>
      <c r="Z152" s="1">
        <f t="shared" si="5"/>
        <v>603</v>
      </c>
      <c r="AA152" s="1">
        <f t="shared" si="5"/>
        <v>1037</v>
      </c>
      <c r="AB152" s="1">
        <f t="shared" si="5"/>
        <v>1023</v>
      </c>
      <c r="AC152" s="1">
        <f t="shared" si="5"/>
        <v>2102</v>
      </c>
      <c r="AD152" s="1">
        <f t="shared" si="5"/>
        <v>24</v>
      </c>
      <c r="AE152" s="1">
        <f t="shared" si="5"/>
        <v>94</v>
      </c>
      <c r="AF152" s="1">
        <f t="shared" si="5"/>
        <v>0</v>
      </c>
      <c r="AG152" s="1">
        <f t="shared" si="5"/>
        <v>6529</v>
      </c>
    </row>
    <row r="153" spans="1:33" x14ac:dyDescent="0.3">
      <c r="A153" t="s">
        <v>82</v>
      </c>
      <c r="B153" t="s">
        <v>83</v>
      </c>
      <c r="C153" s="2" t="s">
        <v>30</v>
      </c>
      <c r="D153" s="1">
        <v>37027</v>
      </c>
      <c r="E153">
        <v>2</v>
      </c>
      <c r="F153" s="1">
        <v>1805</v>
      </c>
      <c r="G153">
        <v>0</v>
      </c>
      <c r="H153">
        <v>312</v>
      </c>
      <c r="I153">
        <v>28</v>
      </c>
      <c r="J153">
        <v>441</v>
      </c>
      <c r="K153">
        <v>161</v>
      </c>
      <c r="L153">
        <v>295</v>
      </c>
      <c r="M153">
        <v>26</v>
      </c>
      <c r="N153">
        <v>164</v>
      </c>
      <c r="O153">
        <v>406</v>
      </c>
      <c r="P153" s="1">
        <v>5609</v>
      </c>
      <c r="Q153">
        <v>65</v>
      </c>
      <c r="R153">
        <v>38</v>
      </c>
      <c r="S153">
        <v>7</v>
      </c>
      <c r="T153">
        <v>192</v>
      </c>
      <c r="U153" s="1">
        <v>1372</v>
      </c>
      <c r="V153">
        <v>0</v>
      </c>
      <c r="W153" s="1">
        <v>0</v>
      </c>
      <c r="X153">
        <v>0</v>
      </c>
      <c r="Y153">
        <v>798</v>
      </c>
      <c r="Z153" s="1">
        <v>1083</v>
      </c>
      <c r="AA153" s="1">
        <v>1905</v>
      </c>
      <c r="AB153" s="1">
        <v>2001</v>
      </c>
      <c r="AC153" s="1">
        <v>5075</v>
      </c>
      <c r="AD153">
        <v>49</v>
      </c>
      <c r="AE153">
        <v>60</v>
      </c>
      <c r="AF153" s="1">
        <v>0</v>
      </c>
      <c r="AG153" s="1">
        <v>15133</v>
      </c>
    </row>
    <row r="154" spans="1:33" x14ac:dyDescent="0.3">
      <c r="A154" t="s">
        <v>82</v>
      </c>
      <c r="B154" t="s">
        <v>83</v>
      </c>
      <c r="C154" s="2" t="s">
        <v>33</v>
      </c>
      <c r="D154" s="1">
        <v>20049</v>
      </c>
      <c r="E154">
        <v>2</v>
      </c>
      <c r="F154">
        <v>726</v>
      </c>
      <c r="G154">
        <v>0</v>
      </c>
      <c r="H154">
        <v>113</v>
      </c>
      <c r="I154">
        <v>22</v>
      </c>
      <c r="J154">
        <v>272</v>
      </c>
      <c r="K154">
        <v>148</v>
      </c>
      <c r="L154">
        <v>255</v>
      </c>
      <c r="M154">
        <v>24</v>
      </c>
      <c r="N154">
        <v>74</v>
      </c>
      <c r="O154">
        <v>300</v>
      </c>
      <c r="P154" s="1">
        <v>1706</v>
      </c>
      <c r="Q154">
        <v>59</v>
      </c>
      <c r="R154">
        <v>38</v>
      </c>
      <c r="S154">
        <v>7</v>
      </c>
      <c r="T154">
        <v>115</v>
      </c>
      <c r="U154">
        <v>789</v>
      </c>
      <c r="V154">
        <v>0</v>
      </c>
      <c r="W154" s="1">
        <v>0</v>
      </c>
      <c r="X154">
        <v>0</v>
      </c>
      <c r="Y154">
        <v>536</v>
      </c>
      <c r="Z154">
        <v>579</v>
      </c>
      <c r="AA154">
        <v>981</v>
      </c>
      <c r="AB154" s="1">
        <v>1269</v>
      </c>
      <c r="AC154" s="1">
        <v>3292</v>
      </c>
      <c r="AD154">
        <v>25</v>
      </c>
      <c r="AE154">
        <v>21</v>
      </c>
      <c r="AF154" s="1">
        <v>0</v>
      </c>
      <c r="AG154" s="1">
        <v>8696</v>
      </c>
    </row>
    <row r="155" spans="1:33" x14ac:dyDescent="0.3">
      <c r="A155" t="s">
        <v>82</v>
      </c>
      <c r="B155" t="s">
        <v>83</v>
      </c>
      <c r="C155" s="2" t="s">
        <v>34</v>
      </c>
      <c r="D155" s="1">
        <v>16978</v>
      </c>
      <c r="E155">
        <v>0</v>
      </c>
      <c r="F155" s="1">
        <v>1079</v>
      </c>
      <c r="G155">
        <v>0</v>
      </c>
      <c r="H155">
        <v>199</v>
      </c>
      <c r="I155">
        <v>6</v>
      </c>
      <c r="J155">
        <v>169</v>
      </c>
      <c r="K155">
        <v>13</v>
      </c>
      <c r="L155">
        <v>40</v>
      </c>
      <c r="M155">
        <v>2</v>
      </c>
      <c r="N155">
        <v>90</v>
      </c>
      <c r="O155">
        <v>106</v>
      </c>
      <c r="P155" s="1">
        <v>3903</v>
      </c>
      <c r="Q155">
        <v>6</v>
      </c>
      <c r="R155">
        <v>0</v>
      </c>
      <c r="S155">
        <v>0</v>
      </c>
      <c r="T155">
        <v>77</v>
      </c>
      <c r="U155">
        <v>583</v>
      </c>
      <c r="V155">
        <v>0</v>
      </c>
      <c r="W155" s="1">
        <v>0</v>
      </c>
      <c r="X155">
        <v>0</v>
      </c>
      <c r="Y155">
        <v>262</v>
      </c>
      <c r="Z155">
        <v>504</v>
      </c>
      <c r="AA155">
        <v>924</v>
      </c>
      <c r="AB155">
        <v>732</v>
      </c>
      <c r="AC155" s="1">
        <v>1783</v>
      </c>
      <c r="AD155">
        <v>24</v>
      </c>
      <c r="AE155">
        <v>39</v>
      </c>
      <c r="AF155" s="1">
        <v>0</v>
      </c>
      <c r="AG155" s="1">
        <v>6437</v>
      </c>
    </row>
    <row r="156" spans="1:33" x14ac:dyDescent="0.3">
      <c r="A156" t="s">
        <v>82</v>
      </c>
      <c r="B156" t="s">
        <v>84</v>
      </c>
      <c r="C156" s="2" t="s">
        <v>30</v>
      </c>
      <c r="D156" s="1">
        <v>4602</v>
      </c>
      <c r="E156">
        <v>0</v>
      </c>
      <c r="F156">
        <v>209</v>
      </c>
      <c r="G156">
        <v>0</v>
      </c>
      <c r="H156">
        <v>38</v>
      </c>
      <c r="I156">
        <v>1</v>
      </c>
      <c r="J156">
        <v>18</v>
      </c>
      <c r="K156">
        <v>6</v>
      </c>
      <c r="L156">
        <v>46</v>
      </c>
      <c r="M156">
        <v>6</v>
      </c>
      <c r="N156">
        <v>21</v>
      </c>
      <c r="O156">
        <v>134</v>
      </c>
      <c r="P156">
        <v>852</v>
      </c>
      <c r="Q156">
        <v>11</v>
      </c>
      <c r="R156">
        <v>21</v>
      </c>
      <c r="S156">
        <v>13</v>
      </c>
      <c r="T156">
        <v>37</v>
      </c>
      <c r="U156">
        <v>284</v>
      </c>
      <c r="V156">
        <v>0</v>
      </c>
      <c r="W156" s="1">
        <v>0</v>
      </c>
      <c r="X156">
        <v>0</v>
      </c>
      <c r="Y156">
        <v>84</v>
      </c>
      <c r="Z156">
        <v>208</v>
      </c>
      <c r="AA156">
        <v>230</v>
      </c>
      <c r="AB156">
        <v>855</v>
      </c>
      <c r="AC156" s="1">
        <v>1244</v>
      </c>
      <c r="AD156">
        <v>2</v>
      </c>
      <c r="AE156">
        <v>92</v>
      </c>
      <c r="AF156" s="1">
        <v>0</v>
      </c>
      <c r="AG156">
        <v>190</v>
      </c>
    </row>
    <row r="157" spans="1:33" x14ac:dyDescent="0.3">
      <c r="A157" t="s">
        <v>82</v>
      </c>
      <c r="B157" t="s">
        <v>84</v>
      </c>
      <c r="C157" s="2" t="s">
        <v>33</v>
      </c>
      <c r="D157" s="1">
        <v>2858</v>
      </c>
      <c r="E157">
        <v>0</v>
      </c>
      <c r="F157">
        <v>90</v>
      </c>
      <c r="G157">
        <v>0</v>
      </c>
      <c r="H157">
        <v>14</v>
      </c>
      <c r="I157">
        <v>0</v>
      </c>
      <c r="J157">
        <v>9</v>
      </c>
      <c r="K157">
        <v>6</v>
      </c>
      <c r="L157">
        <v>42</v>
      </c>
      <c r="M157">
        <v>5</v>
      </c>
      <c r="N157">
        <v>12</v>
      </c>
      <c r="O157">
        <v>105</v>
      </c>
      <c r="P157">
        <v>417</v>
      </c>
      <c r="Q157">
        <v>9</v>
      </c>
      <c r="R157">
        <v>21</v>
      </c>
      <c r="S157">
        <v>13</v>
      </c>
      <c r="T157">
        <v>25</v>
      </c>
      <c r="U157">
        <v>177</v>
      </c>
      <c r="V157">
        <v>0</v>
      </c>
      <c r="W157" s="1">
        <v>0</v>
      </c>
      <c r="X157">
        <v>0</v>
      </c>
      <c r="Y157">
        <v>61</v>
      </c>
      <c r="Z157">
        <v>109</v>
      </c>
      <c r="AA157">
        <v>117</v>
      </c>
      <c r="AB157">
        <v>564</v>
      </c>
      <c r="AC157">
        <v>925</v>
      </c>
      <c r="AD157">
        <v>2</v>
      </c>
      <c r="AE157">
        <v>37</v>
      </c>
      <c r="AF157" s="1">
        <v>0</v>
      </c>
      <c r="AG157">
        <v>98</v>
      </c>
    </row>
    <row r="158" spans="1:33" x14ac:dyDescent="0.3">
      <c r="A158" t="s">
        <v>82</v>
      </c>
      <c r="B158" t="s">
        <v>84</v>
      </c>
      <c r="C158" s="2" t="s">
        <v>34</v>
      </c>
      <c r="D158" s="1">
        <v>1744</v>
      </c>
      <c r="E158">
        <v>0</v>
      </c>
      <c r="F158">
        <v>119</v>
      </c>
      <c r="G158">
        <v>0</v>
      </c>
      <c r="H158">
        <v>24</v>
      </c>
      <c r="I158">
        <v>1</v>
      </c>
      <c r="J158">
        <v>9</v>
      </c>
      <c r="K158">
        <v>0</v>
      </c>
      <c r="L158">
        <v>4</v>
      </c>
      <c r="M158">
        <v>1</v>
      </c>
      <c r="N158">
        <v>9</v>
      </c>
      <c r="O158">
        <v>29</v>
      </c>
      <c r="P158">
        <v>435</v>
      </c>
      <c r="Q158">
        <v>2</v>
      </c>
      <c r="R158">
        <v>0</v>
      </c>
      <c r="S158">
        <v>0</v>
      </c>
      <c r="T158">
        <v>12</v>
      </c>
      <c r="U158">
        <v>107</v>
      </c>
      <c r="V158">
        <v>0</v>
      </c>
      <c r="W158" s="1">
        <v>0</v>
      </c>
      <c r="X158">
        <v>0</v>
      </c>
      <c r="Y158">
        <v>23</v>
      </c>
      <c r="Z158">
        <v>99</v>
      </c>
      <c r="AA158">
        <v>113</v>
      </c>
      <c r="AB158">
        <v>291</v>
      </c>
      <c r="AC158">
        <v>319</v>
      </c>
      <c r="AD158">
        <v>0</v>
      </c>
      <c r="AE158">
        <v>55</v>
      </c>
      <c r="AF158" s="1">
        <v>0</v>
      </c>
      <c r="AG158">
        <v>92</v>
      </c>
    </row>
    <row r="159" spans="1:33" x14ac:dyDescent="0.3">
      <c r="A159" t="s">
        <v>85</v>
      </c>
      <c r="B159" t="s">
        <v>30</v>
      </c>
      <c r="C159" s="2" t="s">
        <v>30</v>
      </c>
      <c r="D159" s="1">
        <v>5927</v>
      </c>
      <c r="E159">
        <v>0</v>
      </c>
      <c r="F159" s="1">
        <v>1075</v>
      </c>
      <c r="G159">
        <v>1</v>
      </c>
      <c r="H159">
        <v>414</v>
      </c>
      <c r="I159">
        <v>1</v>
      </c>
      <c r="J159">
        <v>75</v>
      </c>
      <c r="K159">
        <v>8</v>
      </c>
      <c r="L159">
        <v>41</v>
      </c>
      <c r="M159">
        <v>147</v>
      </c>
      <c r="N159">
        <v>120</v>
      </c>
      <c r="O159">
        <v>14</v>
      </c>
      <c r="P159">
        <v>17</v>
      </c>
      <c r="Q159">
        <v>37</v>
      </c>
      <c r="R159">
        <v>7</v>
      </c>
      <c r="S159">
        <v>23</v>
      </c>
      <c r="T159">
        <v>247</v>
      </c>
      <c r="U159">
        <v>247</v>
      </c>
      <c r="V159">
        <v>0</v>
      </c>
      <c r="W159">
        <v>6</v>
      </c>
      <c r="X159">
        <v>0</v>
      </c>
      <c r="Y159">
        <v>145</v>
      </c>
      <c r="Z159">
        <v>253</v>
      </c>
      <c r="AA159">
        <v>383</v>
      </c>
      <c r="AB159">
        <v>149</v>
      </c>
      <c r="AC159" s="1">
        <v>1513</v>
      </c>
      <c r="AD159">
        <v>278</v>
      </c>
      <c r="AE159">
        <v>91</v>
      </c>
      <c r="AF159" s="1">
        <v>0</v>
      </c>
      <c r="AG159">
        <v>635</v>
      </c>
    </row>
    <row r="160" spans="1:33" x14ac:dyDescent="0.3">
      <c r="A160" t="s">
        <v>85</v>
      </c>
      <c r="B160" t="s">
        <v>30</v>
      </c>
      <c r="C160" s="2" t="s">
        <v>33</v>
      </c>
      <c r="D160" s="1">
        <f>D163+D166+D169+D172+D175+D178+D181+D184+D187+D190+D193+D196+D199+D202+D205+D208+D211+D214+D217+D220+D223+D226+D229+D232+D235+D238+D241+D244+D249+D252+D255</f>
        <v>2326</v>
      </c>
      <c r="E160" s="1">
        <f t="shared" ref="E160:AG160" si="6">E163+E166+E169+E172+E175+E178+E181+E184+E187+E190+E193+E196+E199+E202+E205+E208+E211+E214+E217+E220+E223+E226+E229+E232+E235+E238+E241+E244+E249+E252+E255</f>
        <v>0</v>
      </c>
      <c r="F160" s="1">
        <f t="shared" si="6"/>
        <v>319</v>
      </c>
      <c r="G160" s="1">
        <f t="shared" si="6"/>
        <v>0</v>
      </c>
      <c r="H160" s="1">
        <f t="shared" si="6"/>
        <v>94</v>
      </c>
      <c r="I160" s="1">
        <f t="shared" si="6"/>
        <v>1</v>
      </c>
      <c r="J160" s="1">
        <f t="shared" si="6"/>
        <v>39</v>
      </c>
      <c r="K160" s="1">
        <f t="shared" si="6"/>
        <v>5</v>
      </c>
      <c r="L160" s="1">
        <f t="shared" si="6"/>
        <v>35</v>
      </c>
      <c r="M160" s="1">
        <f t="shared" si="6"/>
        <v>136</v>
      </c>
      <c r="N160" s="1">
        <f t="shared" si="6"/>
        <v>28</v>
      </c>
      <c r="O160" s="1">
        <f t="shared" si="6"/>
        <v>6</v>
      </c>
      <c r="P160" s="1">
        <f t="shared" si="6"/>
        <v>5</v>
      </c>
      <c r="Q160" s="1">
        <f t="shared" si="6"/>
        <v>31</v>
      </c>
      <c r="R160" s="1">
        <f t="shared" si="6"/>
        <v>7</v>
      </c>
      <c r="S160" s="1">
        <f t="shared" si="6"/>
        <v>23</v>
      </c>
      <c r="T160" s="1">
        <f t="shared" si="6"/>
        <v>190</v>
      </c>
      <c r="U160" s="1">
        <f t="shared" si="6"/>
        <v>125</v>
      </c>
      <c r="V160" s="1">
        <f t="shared" si="6"/>
        <v>0</v>
      </c>
      <c r="W160" s="1">
        <f t="shared" si="6"/>
        <v>4</v>
      </c>
      <c r="X160" s="1">
        <f t="shared" si="6"/>
        <v>0</v>
      </c>
      <c r="Y160" s="1">
        <f t="shared" si="6"/>
        <v>59</v>
      </c>
      <c r="Z160" s="1">
        <f t="shared" si="6"/>
        <v>125</v>
      </c>
      <c r="AA160" s="1">
        <f t="shared" si="6"/>
        <v>122</v>
      </c>
      <c r="AB160" s="1">
        <f t="shared" si="6"/>
        <v>80</v>
      </c>
      <c r="AC160" s="1">
        <f t="shared" si="6"/>
        <v>361</v>
      </c>
      <c r="AD160" s="1">
        <f t="shared" si="6"/>
        <v>178</v>
      </c>
      <c r="AE160" s="1">
        <f t="shared" si="6"/>
        <v>15</v>
      </c>
      <c r="AF160" s="1">
        <f t="shared" si="6"/>
        <v>0</v>
      </c>
      <c r="AG160" s="1">
        <f t="shared" si="6"/>
        <v>338</v>
      </c>
    </row>
    <row r="161" spans="1:33" x14ac:dyDescent="0.3">
      <c r="A161" t="s">
        <v>85</v>
      </c>
      <c r="B161" t="s">
        <v>30</v>
      </c>
      <c r="C161" s="2" t="s">
        <v>34</v>
      </c>
      <c r="D161" s="1">
        <f>D164+D167+D170+D173+D176+D179+D182+D185+D188+D191+D194+D197+D200+D203+D206+D209+D212+D215+D218+D221+D224+D227+D230+D233+D236+D239+D242+D245+D250+D253+D247</f>
        <v>3601</v>
      </c>
      <c r="E161" s="1">
        <f t="shared" ref="E161:AG161" si="7">E164+E167+E170+E173+E176+E179+E182+E185+E188+E191+E194+E197+E200+E203+E206+E209+E212+E215+E218+E221+E224+E227+E230+E233+E236+E239+E242+E245+E250+E253+E247</f>
        <v>0</v>
      </c>
      <c r="F161" s="1">
        <f t="shared" si="7"/>
        <v>756</v>
      </c>
      <c r="G161" s="1">
        <f t="shared" si="7"/>
        <v>1</v>
      </c>
      <c r="H161" s="1">
        <f t="shared" si="7"/>
        <v>320</v>
      </c>
      <c r="I161" s="1">
        <f t="shared" si="7"/>
        <v>0</v>
      </c>
      <c r="J161" s="1">
        <f t="shared" si="7"/>
        <v>36</v>
      </c>
      <c r="K161" s="1">
        <f t="shared" si="7"/>
        <v>3</v>
      </c>
      <c r="L161" s="1">
        <f t="shared" si="7"/>
        <v>6</v>
      </c>
      <c r="M161" s="1">
        <f t="shared" si="7"/>
        <v>11</v>
      </c>
      <c r="N161" s="1">
        <f t="shared" si="7"/>
        <v>92</v>
      </c>
      <c r="O161" s="1">
        <f t="shared" si="7"/>
        <v>8</v>
      </c>
      <c r="P161" s="1">
        <f t="shared" si="7"/>
        <v>12</v>
      </c>
      <c r="Q161" s="1">
        <f t="shared" si="7"/>
        <v>6</v>
      </c>
      <c r="R161" s="1">
        <f t="shared" si="7"/>
        <v>0</v>
      </c>
      <c r="S161" s="1">
        <f t="shared" si="7"/>
        <v>0</v>
      </c>
      <c r="T161" s="1">
        <f t="shared" si="7"/>
        <v>57</v>
      </c>
      <c r="U161" s="1">
        <f t="shared" si="7"/>
        <v>122</v>
      </c>
      <c r="V161" s="1">
        <f t="shared" si="7"/>
        <v>0</v>
      </c>
      <c r="W161" s="1">
        <f t="shared" si="7"/>
        <v>2</v>
      </c>
      <c r="X161" s="1">
        <f t="shared" si="7"/>
        <v>0</v>
      </c>
      <c r="Y161" s="1">
        <f t="shared" si="7"/>
        <v>86</v>
      </c>
      <c r="Z161" s="1">
        <f t="shared" si="7"/>
        <v>128</v>
      </c>
      <c r="AA161" s="1">
        <f t="shared" si="7"/>
        <v>261</v>
      </c>
      <c r="AB161" s="1">
        <f t="shared" si="7"/>
        <v>69</v>
      </c>
      <c r="AC161" s="1">
        <f t="shared" si="7"/>
        <v>1152</v>
      </c>
      <c r="AD161" s="1">
        <f t="shared" si="7"/>
        <v>100</v>
      </c>
      <c r="AE161" s="1">
        <f t="shared" si="7"/>
        <v>76</v>
      </c>
      <c r="AF161" s="1">
        <f t="shared" si="7"/>
        <v>0</v>
      </c>
      <c r="AG161" s="1">
        <f t="shared" si="7"/>
        <v>297</v>
      </c>
    </row>
    <row r="162" spans="1:33" x14ac:dyDescent="0.3">
      <c r="A162" t="s">
        <v>85</v>
      </c>
      <c r="B162" t="s">
        <v>86</v>
      </c>
      <c r="C162" s="2" t="s">
        <v>30</v>
      </c>
      <c r="D162" s="1">
        <v>1551</v>
      </c>
      <c r="E162">
        <v>0</v>
      </c>
      <c r="F162">
        <v>152</v>
      </c>
      <c r="G162">
        <v>0</v>
      </c>
      <c r="H162">
        <v>102</v>
      </c>
      <c r="I162">
        <v>0</v>
      </c>
      <c r="J162">
        <v>16</v>
      </c>
      <c r="K162">
        <v>4</v>
      </c>
      <c r="L162">
        <v>11</v>
      </c>
      <c r="M162">
        <v>133</v>
      </c>
      <c r="N162">
        <v>31</v>
      </c>
      <c r="O162">
        <v>6</v>
      </c>
      <c r="P162">
        <v>0</v>
      </c>
      <c r="Q162">
        <v>5</v>
      </c>
      <c r="R162">
        <v>2</v>
      </c>
      <c r="S162">
        <v>9</v>
      </c>
      <c r="T162">
        <v>146</v>
      </c>
      <c r="U162">
        <v>62</v>
      </c>
      <c r="V162">
        <v>0</v>
      </c>
      <c r="W162" s="1">
        <v>0</v>
      </c>
      <c r="X162">
        <v>0</v>
      </c>
      <c r="Y162">
        <v>36</v>
      </c>
      <c r="Z162">
        <v>42</v>
      </c>
      <c r="AA162">
        <v>228</v>
      </c>
      <c r="AB162">
        <v>41</v>
      </c>
      <c r="AC162">
        <v>422</v>
      </c>
      <c r="AD162">
        <v>30</v>
      </c>
      <c r="AE162">
        <v>6</v>
      </c>
      <c r="AF162" s="1">
        <v>0</v>
      </c>
      <c r="AG162">
        <v>67</v>
      </c>
    </row>
    <row r="163" spans="1:33" x14ac:dyDescent="0.3">
      <c r="A163" t="s">
        <v>85</v>
      </c>
      <c r="B163" t="s">
        <v>86</v>
      </c>
      <c r="C163" s="2" t="s">
        <v>33</v>
      </c>
      <c r="D163">
        <v>699</v>
      </c>
      <c r="E163">
        <v>0</v>
      </c>
      <c r="F163">
        <v>43</v>
      </c>
      <c r="G163">
        <v>0</v>
      </c>
      <c r="H163">
        <v>34</v>
      </c>
      <c r="I163">
        <v>0</v>
      </c>
      <c r="J163">
        <v>6</v>
      </c>
      <c r="K163">
        <v>3</v>
      </c>
      <c r="L163">
        <v>11</v>
      </c>
      <c r="M163">
        <v>124</v>
      </c>
      <c r="N163">
        <v>9</v>
      </c>
      <c r="O163">
        <v>3</v>
      </c>
      <c r="P163">
        <v>0</v>
      </c>
      <c r="Q163">
        <v>4</v>
      </c>
      <c r="R163">
        <v>2</v>
      </c>
      <c r="S163">
        <v>9</v>
      </c>
      <c r="T163">
        <v>129</v>
      </c>
      <c r="U163">
        <v>38</v>
      </c>
      <c r="V163">
        <v>0</v>
      </c>
      <c r="W163" s="1">
        <v>0</v>
      </c>
      <c r="X163">
        <v>0</v>
      </c>
      <c r="Y163">
        <v>16</v>
      </c>
      <c r="Z163">
        <v>22</v>
      </c>
      <c r="AA163">
        <v>71</v>
      </c>
      <c r="AB163">
        <v>20</v>
      </c>
      <c r="AC163">
        <v>105</v>
      </c>
      <c r="AD163">
        <v>18</v>
      </c>
      <c r="AE163">
        <v>1</v>
      </c>
      <c r="AF163" s="1">
        <v>0</v>
      </c>
      <c r="AG163">
        <v>31</v>
      </c>
    </row>
    <row r="164" spans="1:33" x14ac:dyDescent="0.3">
      <c r="A164" t="s">
        <v>85</v>
      </c>
      <c r="B164" t="s">
        <v>86</v>
      </c>
      <c r="C164" s="2" t="s">
        <v>34</v>
      </c>
      <c r="D164">
        <v>852</v>
      </c>
      <c r="E164">
        <v>0</v>
      </c>
      <c r="F164">
        <v>109</v>
      </c>
      <c r="G164">
        <v>0</v>
      </c>
      <c r="H164">
        <v>68</v>
      </c>
      <c r="I164">
        <v>0</v>
      </c>
      <c r="J164">
        <v>10</v>
      </c>
      <c r="K164">
        <v>1</v>
      </c>
      <c r="L164">
        <v>0</v>
      </c>
      <c r="M164">
        <v>9</v>
      </c>
      <c r="N164">
        <v>22</v>
      </c>
      <c r="O164">
        <v>3</v>
      </c>
      <c r="P164">
        <v>0</v>
      </c>
      <c r="Q164">
        <v>1</v>
      </c>
      <c r="R164">
        <v>0</v>
      </c>
      <c r="S164">
        <v>0</v>
      </c>
      <c r="T164">
        <v>17</v>
      </c>
      <c r="U164">
        <v>24</v>
      </c>
      <c r="V164">
        <v>0</v>
      </c>
      <c r="W164" s="1">
        <v>0</v>
      </c>
      <c r="X164">
        <v>0</v>
      </c>
      <c r="Y164">
        <v>20</v>
      </c>
      <c r="Z164">
        <v>20</v>
      </c>
      <c r="AA164">
        <v>157</v>
      </c>
      <c r="AB164">
        <v>21</v>
      </c>
      <c r="AC164">
        <v>317</v>
      </c>
      <c r="AD164">
        <v>12</v>
      </c>
      <c r="AE164">
        <v>5</v>
      </c>
      <c r="AF164" s="1">
        <v>0</v>
      </c>
      <c r="AG164">
        <v>36</v>
      </c>
    </row>
    <row r="165" spans="1:33" x14ac:dyDescent="0.3">
      <c r="A165" t="s">
        <v>85</v>
      </c>
      <c r="B165" t="s">
        <v>87</v>
      </c>
      <c r="C165" s="2" t="s">
        <v>30</v>
      </c>
      <c r="D165" s="1">
        <v>1119</v>
      </c>
      <c r="E165">
        <v>0</v>
      </c>
      <c r="F165">
        <v>360</v>
      </c>
      <c r="G165">
        <v>0</v>
      </c>
      <c r="H165">
        <v>96</v>
      </c>
      <c r="I165">
        <v>0</v>
      </c>
      <c r="J165">
        <v>16</v>
      </c>
      <c r="K165">
        <v>0</v>
      </c>
      <c r="L165">
        <v>10</v>
      </c>
      <c r="M165">
        <v>3</v>
      </c>
      <c r="N165">
        <v>19</v>
      </c>
      <c r="O165">
        <v>4</v>
      </c>
      <c r="P165">
        <v>2</v>
      </c>
      <c r="Q165">
        <v>13</v>
      </c>
      <c r="R165">
        <v>4</v>
      </c>
      <c r="S165">
        <v>6</v>
      </c>
      <c r="T165">
        <v>11</v>
      </c>
      <c r="U165">
        <v>55</v>
      </c>
      <c r="V165">
        <v>0</v>
      </c>
      <c r="W165" s="1">
        <v>0</v>
      </c>
      <c r="X165">
        <v>0</v>
      </c>
      <c r="Y165">
        <v>19</v>
      </c>
      <c r="Z165">
        <v>40</v>
      </c>
      <c r="AA165">
        <v>42</v>
      </c>
      <c r="AB165">
        <v>20</v>
      </c>
      <c r="AC165">
        <v>325</v>
      </c>
      <c r="AD165">
        <v>11</v>
      </c>
      <c r="AE165">
        <v>0</v>
      </c>
      <c r="AF165" s="1">
        <v>0</v>
      </c>
      <c r="AG165">
        <v>63</v>
      </c>
    </row>
    <row r="166" spans="1:33" x14ac:dyDescent="0.3">
      <c r="A166" t="s">
        <v>85</v>
      </c>
      <c r="B166" t="s">
        <v>87</v>
      </c>
      <c r="C166" s="2" t="s">
        <v>33</v>
      </c>
      <c r="D166">
        <v>389</v>
      </c>
      <c r="E166">
        <v>0</v>
      </c>
      <c r="F166">
        <v>121</v>
      </c>
      <c r="G166">
        <v>0</v>
      </c>
      <c r="H166">
        <v>23</v>
      </c>
      <c r="I166">
        <v>0</v>
      </c>
      <c r="J166">
        <v>15</v>
      </c>
      <c r="K166">
        <v>0</v>
      </c>
      <c r="L166">
        <v>8</v>
      </c>
      <c r="M166">
        <v>2</v>
      </c>
      <c r="N166">
        <v>2</v>
      </c>
      <c r="O166">
        <v>1</v>
      </c>
      <c r="P166">
        <v>2</v>
      </c>
      <c r="Q166">
        <v>10</v>
      </c>
      <c r="R166">
        <v>4</v>
      </c>
      <c r="S166">
        <v>6</v>
      </c>
      <c r="T166">
        <v>3</v>
      </c>
      <c r="U166">
        <v>34</v>
      </c>
      <c r="V166">
        <v>0</v>
      </c>
      <c r="W166" s="1">
        <v>0</v>
      </c>
      <c r="X166">
        <v>0</v>
      </c>
      <c r="Y166">
        <v>8</v>
      </c>
      <c r="Z166">
        <v>22</v>
      </c>
      <c r="AA166">
        <v>12</v>
      </c>
      <c r="AB166">
        <v>12</v>
      </c>
      <c r="AC166">
        <v>73</v>
      </c>
      <c r="AD166">
        <v>6</v>
      </c>
      <c r="AE166">
        <v>0</v>
      </c>
      <c r="AF166" s="1">
        <v>0</v>
      </c>
      <c r="AG166">
        <v>25</v>
      </c>
    </row>
    <row r="167" spans="1:33" x14ac:dyDescent="0.3">
      <c r="A167" t="s">
        <v>85</v>
      </c>
      <c r="B167" t="s">
        <v>87</v>
      </c>
      <c r="C167" s="2" t="s">
        <v>34</v>
      </c>
      <c r="D167">
        <v>730</v>
      </c>
      <c r="E167">
        <v>0</v>
      </c>
      <c r="F167">
        <v>239</v>
      </c>
      <c r="G167">
        <v>0</v>
      </c>
      <c r="H167">
        <v>73</v>
      </c>
      <c r="I167">
        <v>0</v>
      </c>
      <c r="J167">
        <v>1</v>
      </c>
      <c r="K167">
        <v>0</v>
      </c>
      <c r="L167">
        <v>2</v>
      </c>
      <c r="M167">
        <v>1</v>
      </c>
      <c r="N167">
        <v>17</v>
      </c>
      <c r="O167">
        <v>3</v>
      </c>
      <c r="P167">
        <v>0</v>
      </c>
      <c r="Q167">
        <v>3</v>
      </c>
      <c r="R167">
        <v>0</v>
      </c>
      <c r="S167">
        <v>0</v>
      </c>
      <c r="T167">
        <v>8</v>
      </c>
      <c r="U167">
        <v>21</v>
      </c>
      <c r="V167">
        <v>0</v>
      </c>
      <c r="W167" s="1">
        <v>0</v>
      </c>
      <c r="X167">
        <v>0</v>
      </c>
      <c r="Y167">
        <v>11</v>
      </c>
      <c r="Z167">
        <v>18</v>
      </c>
      <c r="AA167">
        <v>30</v>
      </c>
      <c r="AB167">
        <v>8</v>
      </c>
      <c r="AC167">
        <v>252</v>
      </c>
      <c r="AD167">
        <v>5</v>
      </c>
      <c r="AE167">
        <v>0</v>
      </c>
      <c r="AF167" s="1">
        <v>0</v>
      </c>
      <c r="AG167">
        <v>38</v>
      </c>
    </row>
    <row r="168" spans="1:33" x14ac:dyDescent="0.3">
      <c r="A168" t="s">
        <v>85</v>
      </c>
      <c r="B168" t="s">
        <v>88</v>
      </c>
      <c r="C168" s="2" t="s">
        <v>30</v>
      </c>
      <c r="D168">
        <v>646</v>
      </c>
      <c r="E168">
        <v>0</v>
      </c>
      <c r="F168">
        <v>121</v>
      </c>
      <c r="G168">
        <v>0</v>
      </c>
      <c r="H168">
        <v>53</v>
      </c>
      <c r="I168">
        <v>0</v>
      </c>
      <c r="J168">
        <v>16</v>
      </c>
      <c r="K168">
        <v>1</v>
      </c>
      <c r="L168">
        <v>1</v>
      </c>
      <c r="M168">
        <v>1</v>
      </c>
      <c r="N168">
        <v>11</v>
      </c>
      <c r="O168">
        <v>0</v>
      </c>
      <c r="P168">
        <v>4</v>
      </c>
      <c r="Q168">
        <v>2</v>
      </c>
      <c r="R168">
        <v>0</v>
      </c>
      <c r="S168">
        <v>0</v>
      </c>
      <c r="T168">
        <v>35</v>
      </c>
      <c r="U168">
        <v>20</v>
      </c>
      <c r="V168">
        <v>0</v>
      </c>
      <c r="W168" s="1">
        <v>0</v>
      </c>
      <c r="X168">
        <v>0</v>
      </c>
      <c r="Y168">
        <v>16</v>
      </c>
      <c r="Z168">
        <v>56</v>
      </c>
      <c r="AA168">
        <v>23</v>
      </c>
      <c r="AB168">
        <v>14</v>
      </c>
      <c r="AC168">
        <v>146</v>
      </c>
      <c r="AD168">
        <v>7</v>
      </c>
      <c r="AE168">
        <v>0</v>
      </c>
      <c r="AF168" s="1">
        <v>0</v>
      </c>
      <c r="AG168">
        <v>119</v>
      </c>
    </row>
    <row r="169" spans="1:33" x14ac:dyDescent="0.3">
      <c r="A169" t="s">
        <v>85</v>
      </c>
      <c r="B169" t="s">
        <v>88</v>
      </c>
      <c r="C169" s="2" t="s">
        <v>33</v>
      </c>
      <c r="D169">
        <v>233</v>
      </c>
      <c r="E169">
        <v>0</v>
      </c>
      <c r="F169">
        <v>32</v>
      </c>
      <c r="G169">
        <v>0</v>
      </c>
      <c r="H169">
        <v>12</v>
      </c>
      <c r="I169">
        <v>0</v>
      </c>
      <c r="J169">
        <v>5</v>
      </c>
      <c r="K169">
        <v>0</v>
      </c>
      <c r="L169">
        <v>0</v>
      </c>
      <c r="M169">
        <v>1</v>
      </c>
      <c r="N169">
        <v>3</v>
      </c>
      <c r="O169">
        <v>0</v>
      </c>
      <c r="P169">
        <v>3</v>
      </c>
      <c r="Q169">
        <v>2</v>
      </c>
      <c r="R169">
        <v>0</v>
      </c>
      <c r="S169">
        <v>0</v>
      </c>
      <c r="T169">
        <v>21</v>
      </c>
      <c r="U169">
        <v>13</v>
      </c>
      <c r="V169">
        <v>0</v>
      </c>
      <c r="W169" s="1">
        <v>0</v>
      </c>
      <c r="X169">
        <v>0</v>
      </c>
      <c r="Y169">
        <v>4</v>
      </c>
      <c r="Z169">
        <v>21</v>
      </c>
      <c r="AA169">
        <v>8</v>
      </c>
      <c r="AB169">
        <v>4</v>
      </c>
      <c r="AC169">
        <v>46</v>
      </c>
      <c r="AD169">
        <v>2</v>
      </c>
      <c r="AE169">
        <v>0</v>
      </c>
      <c r="AF169" s="1">
        <v>0</v>
      </c>
      <c r="AG169">
        <v>56</v>
      </c>
    </row>
    <row r="170" spans="1:33" x14ac:dyDescent="0.3">
      <c r="A170" t="s">
        <v>85</v>
      </c>
      <c r="B170" t="s">
        <v>88</v>
      </c>
      <c r="C170" s="2" t="s">
        <v>34</v>
      </c>
      <c r="D170">
        <v>413</v>
      </c>
      <c r="E170">
        <v>0</v>
      </c>
      <c r="F170">
        <v>89</v>
      </c>
      <c r="G170">
        <v>0</v>
      </c>
      <c r="H170">
        <v>41</v>
      </c>
      <c r="I170">
        <v>0</v>
      </c>
      <c r="J170">
        <v>11</v>
      </c>
      <c r="K170">
        <v>1</v>
      </c>
      <c r="L170">
        <v>1</v>
      </c>
      <c r="M170">
        <v>0</v>
      </c>
      <c r="N170">
        <v>8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14</v>
      </c>
      <c r="U170">
        <v>7</v>
      </c>
      <c r="V170">
        <v>0</v>
      </c>
      <c r="W170" s="1">
        <v>0</v>
      </c>
      <c r="X170">
        <v>0</v>
      </c>
      <c r="Y170">
        <v>12</v>
      </c>
      <c r="Z170">
        <v>35</v>
      </c>
      <c r="AA170">
        <v>15</v>
      </c>
      <c r="AB170">
        <v>10</v>
      </c>
      <c r="AC170">
        <v>100</v>
      </c>
      <c r="AD170">
        <v>5</v>
      </c>
      <c r="AE170">
        <v>0</v>
      </c>
      <c r="AF170" s="1">
        <v>0</v>
      </c>
      <c r="AG170">
        <v>63</v>
      </c>
    </row>
    <row r="171" spans="1:33" x14ac:dyDescent="0.3">
      <c r="A171" t="s">
        <v>85</v>
      </c>
      <c r="B171" t="s">
        <v>89</v>
      </c>
      <c r="C171" s="2" t="s">
        <v>30</v>
      </c>
      <c r="D171">
        <v>510</v>
      </c>
      <c r="E171">
        <v>0</v>
      </c>
      <c r="F171">
        <v>76</v>
      </c>
      <c r="G171">
        <v>0</v>
      </c>
      <c r="H171">
        <v>40</v>
      </c>
      <c r="I171">
        <v>0</v>
      </c>
      <c r="J171">
        <v>4</v>
      </c>
      <c r="K171">
        <v>0</v>
      </c>
      <c r="L171">
        <v>4</v>
      </c>
      <c r="M171">
        <v>1</v>
      </c>
      <c r="N171">
        <v>14</v>
      </c>
      <c r="O171">
        <v>0</v>
      </c>
      <c r="P171">
        <v>1</v>
      </c>
      <c r="Q171">
        <v>3</v>
      </c>
      <c r="R171">
        <v>0</v>
      </c>
      <c r="S171">
        <v>0</v>
      </c>
      <c r="T171">
        <v>4</v>
      </c>
      <c r="U171">
        <v>15</v>
      </c>
      <c r="V171">
        <v>0</v>
      </c>
      <c r="W171">
        <v>5</v>
      </c>
      <c r="X171">
        <v>0</v>
      </c>
      <c r="Y171">
        <v>13</v>
      </c>
      <c r="Z171">
        <v>19</v>
      </c>
      <c r="AA171">
        <v>16</v>
      </c>
      <c r="AB171">
        <v>12</v>
      </c>
      <c r="AC171">
        <v>159</v>
      </c>
      <c r="AD171">
        <v>34</v>
      </c>
      <c r="AE171">
        <v>0</v>
      </c>
      <c r="AF171" s="1">
        <v>0</v>
      </c>
      <c r="AG171">
        <v>90</v>
      </c>
    </row>
    <row r="172" spans="1:33" x14ac:dyDescent="0.3">
      <c r="A172" t="s">
        <v>85</v>
      </c>
      <c r="B172" t="s">
        <v>89</v>
      </c>
      <c r="C172" s="2" t="s">
        <v>33</v>
      </c>
      <c r="D172">
        <v>165</v>
      </c>
      <c r="E172">
        <v>0</v>
      </c>
      <c r="F172">
        <v>14</v>
      </c>
      <c r="G172">
        <v>0</v>
      </c>
      <c r="H172">
        <v>9</v>
      </c>
      <c r="I172">
        <v>0</v>
      </c>
      <c r="J172">
        <v>1</v>
      </c>
      <c r="K172">
        <v>0</v>
      </c>
      <c r="L172">
        <v>3</v>
      </c>
      <c r="M172">
        <v>1</v>
      </c>
      <c r="N172">
        <v>1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3</v>
      </c>
      <c r="U172">
        <v>6</v>
      </c>
      <c r="V172">
        <v>0</v>
      </c>
      <c r="W172">
        <v>3</v>
      </c>
      <c r="X172">
        <v>0</v>
      </c>
      <c r="Y172">
        <v>4</v>
      </c>
      <c r="Z172">
        <v>10</v>
      </c>
      <c r="AA172">
        <v>3</v>
      </c>
      <c r="AB172">
        <v>6</v>
      </c>
      <c r="AC172">
        <v>34</v>
      </c>
      <c r="AD172">
        <v>17</v>
      </c>
      <c r="AE172">
        <v>0</v>
      </c>
      <c r="AF172" s="1">
        <v>0</v>
      </c>
      <c r="AG172">
        <v>47</v>
      </c>
    </row>
    <row r="173" spans="1:33" x14ac:dyDescent="0.3">
      <c r="A173" t="s">
        <v>85</v>
      </c>
      <c r="B173" t="s">
        <v>89</v>
      </c>
      <c r="C173" s="2" t="s">
        <v>34</v>
      </c>
      <c r="D173">
        <v>345</v>
      </c>
      <c r="E173">
        <v>0</v>
      </c>
      <c r="F173">
        <v>62</v>
      </c>
      <c r="G173">
        <v>0</v>
      </c>
      <c r="H173">
        <v>31</v>
      </c>
      <c r="I173">
        <v>0</v>
      </c>
      <c r="J173">
        <v>3</v>
      </c>
      <c r="K173">
        <v>0</v>
      </c>
      <c r="L173">
        <v>1</v>
      </c>
      <c r="M173">
        <v>0</v>
      </c>
      <c r="N173">
        <v>13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9</v>
      </c>
      <c r="V173">
        <v>0</v>
      </c>
      <c r="W173">
        <v>2</v>
      </c>
      <c r="X173">
        <v>0</v>
      </c>
      <c r="Y173">
        <v>9</v>
      </c>
      <c r="Z173">
        <v>9</v>
      </c>
      <c r="AA173">
        <v>13</v>
      </c>
      <c r="AB173">
        <v>6</v>
      </c>
      <c r="AC173">
        <v>125</v>
      </c>
      <c r="AD173">
        <v>17</v>
      </c>
      <c r="AE173">
        <v>0</v>
      </c>
      <c r="AF173" s="1">
        <v>0</v>
      </c>
      <c r="AG173">
        <v>43</v>
      </c>
    </row>
    <row r="174" spans="1:33" x14ac:dyDescent="0.3">
      <c r="A174" t="s">
        <v>85</v>
      </c>
      <c r="B174" t="s">
        <v>90</v>
      </c>
      <c r="C174" s="2" t="s">
        <v>30</v>
      </c>
      <c r="D174">
        <v>325</v>
      </c>
      <c r="E174">
        <v>0</v>
      </c>
      <c r="F174">
        <v>70</v>
      </c>
      <c r="G174">
        <v>0</v>
      </c>
      <c r="H174">
        <v>15</v>
      </c>
      <c r="I174">
        <v>0</v>
      </c>
      <c r="J174">
        <v>2</v>
      </c>
      <c r="K174">
        <v>1</v>
      </c>
      <c r="L174">
        <v>2</v>
      </c>
      <c r="M174">
        <v>0</v>
      </c>
      <c r="N174">
        <v>11</v>
      </c>
      <c r="O174">
        <v>2</v>
      </c>
      <c r="P174">
        <v>3</v>
      </c>
      <c r="Q174">
        <v>3</v>
      </c>
      <c r="R174">
        <v>0</v>
      </c>
      <c r="S174">
        <v>2</v>
      </c>
      <c r="T174">
        <v>11</v>
      </c>
      <c r="U174">
        <v>10</v>
      </c>
      <c r="V174">
        <v>0</v>
      </c>
      <c r="W174">
        <v>0</v>
      </c>
      <c r="X174">
        <v>0</v>
      </c>
      <c r="Y174">
        <v>4</v>
      </c>
      <c r="Z174">
        <v>16</v>
      </c>
      <c r="AA174">
        <v>9</v>
      </c>
      <c r="AB174">
        <v>6</v>
      </c>
      <c r="AC174">
        <v>52</v>
      </c>
      <c r="AD174">
        <v>6</v>
      </c>
      <c r="AE174">
        <v>0</v>
      </c>
      <c r="AF174" s="1">
        <v>0</v>
      </c>
      <c r="AG174">
        <v>100</v>
      </c>
    </row>
    <row r="175" spans="1:33" x14ac:dyDescent="0.3">
      <c r="A175" t="s">
        <v>85</v>
      </c>
      <c r="B175" t="s">
        <v>90</v>
      </c>
      <c r="C175" s="2" t="s">
        <v>33</v>
      </c>
      <c r="D175">
        <v>161</v>
      </c>
      <c r="E175">
        <v>0</v>
      </c>
      <c r="F175">
        <v>18</v>
      </c>
      <c r="G175">
        <v>0</v>
      </c>
      <c r="H175">
        <v>2</v>
      </c>
      <c r="I175">
        <v>0</v>
      </c>
      <c r="J175">
        <v>1</v>
      </c>
      <c r="K175">
        <v>0</v>
      </c>
      <c r="L175">
        <v>2</v>
      </c>
      <c r="M175">
        <v>0</v>
      </c>
      <c r="N175">
        <v>4</v>
      </c>
      <c r="O175">
        <v>1</v>
      </c>
      <c r="P175">
        <v>0</v>
      </c>
      <c r="Q175">
        <v>3</v>
      </c>
      <c r="R175">
        <v>0</v>
      </c>
      <c r="S175">
        <v>2</v>
      </c>
      <c r="T175">
        <v>6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8</v>
      </c>
      <c r="AA175">
        <v>5</v>
      </c>
      <c r="AB175">
        <v>4</v>
      </c>
      <c r="AC175">
        <v>16</v>
      </c>
      <c r="AD175">
        <v>5</v>
      </c>
      <c r="AE175">
        <v>0</v>
      </c>
      <c r="AF175" s="1">
        <v>0</v>
      </c>
      <c r="AG175">
        <v>82</v>
      </c>
    </row>
    <row r="176" spans="1:33" x14ac:dyDescent="0.3">
      <c r="A176" t="s">
        <v>85</v>
      </c>
      <c r="B176" t="s">
        <v>90</v>
      </c>
      <c r="C176" s="2" t="s">
        <v>34</v>
      </c>
      <c r="D176">
        <v>164</v>
      </c>
      <c r="E176">
        <v>0</v>
      </c>
      <c r="F176">
        <v>52</v>
      </c>
      <c r="G176">
        <v>0</v>
      </c>
      <c r="H176">
        <v>13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7</v>
      </c>
      <c r="O176">
        <v>1</v>
      </c>
      <c r="P176">
        <v>3</v>
      </c>
      <c r="Q176">
        <v>0</v>
      </c>
      <c r="R176">
        <v>0</v>
      </c>
      <c r="S176">
        <v>0</v>
      </c>
      <c r="T176">
        <v>5</v>
      </c>
      <c r="U176">
        <v>9</v>
      </c>
      <c r="V176">
        <v>0</v>
      </c>
      <c r="W176">
        <v>0</v>
      </c>
      <c r="X176">
        <v>0</v>
      </c>
      <c r="Y176">
        <v>3</v>
      </c>
      <c r="Z176">
        <v>8</v>
      </c>
      <c r="AA176">
        <v>4</v>
      </c>
      <c r="AB176">
        <v>2</v>
      </c>
      <c r="AC176">
        <v>36</v>
      </c>
      <c r="AD176">
        <v>1</v>
      </c>
      <c r="AE176">
        <v>0</v>
      </c>
      <c r="AF176" s="1">
        <v>0</v>
      </c>
      <c r="AG176">
        <v>18</v>
      </c>
    </row>
    <row r="177" spans="1:33" x14ac:dyDescent="0.3">
      <c r="A177" t="s">
        <v>85</v>
      </c>
      <c r="B177" t="s">
        <v>91</v>
      </c>
      <c r="C177" s="2" t="s">
        <v>30</v>
      </c>
      <c r="D177">
        <v>321</v>
      </c>
      <c r="E177">
        <v>0</v>
      </c>
      <c r="F177">
        <v>63</v>
      </c>
      <c r="G177">
        <v>0</v>
      </c>
      <c r="H177">
        <v>29</v>
      </c>
      <c r="I177">
        <v>0</v>
      </c>
      <c r="J177">
        <v>4</v>
      </c>
      <c r="K177">
        <v>0</v>
      </c>
      <c r="L177">
        <v>1</v>
      </c>
      <c r="M177">
        <v>1</v>
      </c>
      <c r="N177">
        <v>6</v>
      </c>
      <c r="O177">
        <v>1</v>
      </c>
      <c r="P177">
        <v>3</v>
      </c>
      <c r="Q177">
        <v>6</v>
      </c>
      <c r="R177">
        <v>0</v>
      </c>
      <c r="S177">
        <v>0</v>
      </c>
      <c r="T177">
        <v>3</v>
      </c>
      <c r="U177">
        <v>12</v>
      </c>
      <c r="V177">
        <v>0</v>
      </c>
      <c r="W177">
        <v>0</v>
      </c>
      <c r="X177">
        <v>0</v>
      </c>
      <c r="Y177">
        <v>2</v>
      </c>
      <c r="Z177">
        <v>5</v>
      </c>
      <c r="AA177">
        <v>11</v>
      </c>
      <c r="AB177">
        <v>7</v>
      </c>
      <c r="AC177">
        <v>76</v>
      </c>
      <c r="AD177">
        <v>1</v>
      </c>
      <c r="AE177">
        <v>69</v>
      </c>
      <c r="AF177" s="1">
        <v>0</v>
      </c>
      <c r="AG177">
        <v>21</v>
      </c>
    </row>
    <row r="178" spans="1:33" x14ac:dyDescent="0.3">
      <c r="A178" t="s">
        <v>85</v>
      </c>
      <c r="B178" t="s">
        <v>91</v>
      </c>
      <c r="C178" s="2" t="s">
        <v>33</v>
      </c>
      <c r="D178">
        <v>84</v>
      </c>
      <c r="E178">
        <v>0</v>
      </c>
      <c r="F178">
        <v>17</v>
      </c>
      <c r="G178">
        <v>0</v>
      </c>
      <c r="H178">
        <v>3</v>
      </c>
      <c r="I178">
        <v>0</v>
      </c>
      <c r="J178">
        <v>3</v>
      </c>
      <c r="K178">
        <v>0</v>
      </c>
      <c r="L178">
        <v>1</v>
      </c>
      <c r="M178">
        <v>1</v>
      </c>
      <c r="N178">
        <v>2</v>
      </c>
      <c r="O178">
        <v>1</v>
      </c>
      <c r="P178">
        <v>0</v>
      </c>
      <c r="Q178">
        <v>5</v>
      </c>
      <c r="R178">
        <v>0</v>
      </c>
      <c r="S178">
        <v>0</v>
      </c>
      <c r="T178">
        <v>1</v>
      </c>
      <c r="U178">
        <v>7</v>
      </c>
      <c r="V178">
        <v>0</v>
      </c>
      <c r="W178">
        <v>0</v>
      </c>
      <c r="X178">
        <v>0</v>
      </c>
      <c r="Y178">
        <v>1</v>
      </c>
      <c r="Z178">
        <v>2</v>
      </c>
      <c r="AA178">
        <v>2</v>
      </c>
      <c r="AB178">
        <v>6</v>
      </c>
      <c r="AC178">
        <v>13</v>
      </c>
      <c r="AD178">
        <v>0</v>
      </c>
      <c r="AE178">
        <v>9</v>
      </c>
      <c r="AF178" s="1">
        <v>0</v>
      </c>
      <c r="AG178">
        <v>10</v>
      </c>
    </row>
    <row r="179" spans="1:33" x14ac:dyDescent="0.3">
      <c r="A179" t="s">
        <v>85</v>
      </c>
      <c r="B179" t="s">
        <v>91</v>
      </c>
      <c r="C179" s="2" t="s">
        <v>34</v>
      </c>
      <c r="D179">
        <v>237</v>
      </c>
      <c r="E179">
        <v>0</v>
      </c>
      <c r="F179">
        <v>46</v>
      </c>
      <c r="G179">
        <v>0</v>
      </c>
      <c r="H179">
        <v>26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4</v>
      </c>
      <c r="O179">
        <v>0</v>
      </c>
      <c r="P179">
        <v>3</v>
      </c>
      <c r="Q179">
        <v>1</v>
      </c>
      <c r="R179">
        <v>0</v>
      </c>
      <c r="S179">
        <v>0</v>
      </c>
      <c r="T179">
        <v>2</v>
      </c>
      <c r="U179">
        <v>5</v>
      </c>
      <c r="V179">
        <v>0</v>
      </c>
      <c r="W179">
        <v>0</v>
      </c>
      <c r="X179">
        <v>0</v>
      </c>
      <c r="Y179">
        <v>1</v>
      </c>
      <c r="Z179">
        <v>3</v>
      </c>
      <c r="AA179">
        <v>9</v>
      </c>
      <c r="AB179">
        <v>1</v>
      </c>
      <c r="AC179">
        <v>63</v>
      </c>
      <c r="AD179">
        <v>1</v>
      </c>
      <c r="AE179">
        <v>60</v>
      </c>
      <c r="AF179" s="1">
        <v>0</v>
      </c>
      <c r="AG179">
        <v>11</v>
      </c>
    </row>
    <row r="180" spans="1:33" x14ac:dyDescent="0.3">
      <c r="A180" t="s">
        <v>85</v>
      </c>
      <c r="B180" t="s">
        <v>92</v>
      </c>
      <c r="C180" s="2" t="s">
        <v>30</v>
      </c>
      <c r="D180">
        <v>224</v>
      </c>
      <c r="E180">
        <v>0</v>
      </c>
      <c r="F180">
        <v>22</v>
      </c>
      <c r="G180">
        <v>0</v>
      </c>
      <c r="H180">
        <v>10</v>
      </c>
      <c r="I180">
        <v>0</v>
      </c>
      <c r="J180">
        <v>3</v>
      </c>
      <c r="K180">
        <v>0</v>
      </c>
      <c r="L180">
        <v>2</v>
      </c>
      <c r="M180">
        <v>2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7</v>
      </c>
      <c r="U180">
        <v>4</v>
      </c>
      <c r="V180">
        <v>0</v>
      </c>
      <c r="W180">
        <v>0</v>
      </c>
      <c r="X180">
        <v>0</v>
      </c>
      <c r="Y180">
        <v>14</v>
      </c>
      <c r="Z180">
        <v>8</v>
      </c>
      <c r="AA180">
        <v>8</v>
      </c>
      <c r="AB180">
        <v>11</v>
      </c>
      <c r="AC180">
        <v>71</v>
      </c>
      <c r="AD180">
        <v>19</v>
      </c>
      <c r="AE180">
        <v>16</v>
      </c>
      <c r="AF180" s="1">
        <v>0</v>
      </c>
      <c r="AG180">
        <v>22</v>
      </c>
    </row>
    <row r="181" spans="1:33" x14ac:dyDescent="0.3">
      <c r="A181" t="s">
        <v>85</v>
      </c>
      <c r="B181" t="s">
        <v>92</v>
      </c>
      <c r="C181" s="2" t="s">
        <v>33</v>
      </c>
      <c r="D181">
        <v>91</v>
      </c>
      <c r="E181">
        <v>0</v>
      </c>
      <c r="F181">
        <v>4</v>
      </c>
      <c r="G181">
        <v>0</v>
      </c>
      <c r="H181">
        <v>2</v>
      </c>
      <c r="I181">
        <v>0</v>
      </c>
      <c r="J181">
        <v>2</v>
      </c>
      <c r="K181">
        <v>0</v>
      </c>
      <c r="L181">
        <v>2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4</v>
      </c>
      <c r="U181">
        <v>3</v>
      </c>
      <c r="V181">
        <v>0</v>
      </c>
      <c r="W181">
        <v>0</v>
      </c>
      <c r="X181">
        <v>0</v>
      </c>
      <c r="Y181">
        <v>7</v>
      </c>
      <c r="Z181">
        <v>4</v>
      </c>
      <c r="AA181">
        <v>4</v>
      </c>
      <c r="AB181">
        <v>8</v>
      </c>
      <c r="AC181">
        <v>16</v>
      </c>
      <c r="AD181">
        <v>12</v>
      </c>
      <c r="AE181">
        <v>5</v>
      </c>
      <c r="AF181" s="1">
        <v>0</v>
      </c>
      <c r="AG181">
        <v>14</v>
      </c>
    </row>
    <row r="182" spans="1:33" x14ac:dyDescent="0.3">
      <c r="A182" t="s">
        <v>85</v>
      </c>
      <c r="B182" t="s">
        <v>92</v>
      </c>
      <c r="C182" s="2" t="s">
        <v>34</v>
      </c>
      <c r="D182">
        <v>133</v>
      </c>
      <c r="E182">
        <v>0</v>
      </c>
      <c r="F182">
        <v>18</v>
      </c>
      <c r="G182">
        <v>0</v>
      </c>
      <c r="H182">
        <v>8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1</v>
      </c>
      <c r="V182">
        <v>0</v>
      </c>
      <c r="W182">
        <v>0</v>
      </c>
      <c r="X182">
        <v>0</v>
      </c>
      <c r="Y182">
        <v>7</v>
      </c>
      <c r="Z182">
        <v>4</v>
      </c>
      <c r="AA182">
        <v>4</v>
      </c>
      <c r="AB182">
        <v>3</v>
      </c>
      <c r="AC182">
        <v>55</v>
      </c>
      <c r="AD182">
        <v>7</v>
      </c>
      <c r="AE182">
        <v>11</v>
      </c>
      <c r="AF182" s="1">
        <v>0</v>
      </c>
      <c r="AG182">
        <v>8</v>
      </c>
    </row>
    <row r="183" spans="1:33" x14ac:dyDescent="0.3">
      <c r="A183" t="s">
        <v>85</v>
      </c>
      <c r="B183" t="s">
        <v>93</v>
      </c>
      <c r="C183" s="2" t="s">
        <v>30</v>
      </c>
      <c r="D183">
        <v>170</v>
      </c>
      <c r="E183">
        <v>0</v>
      </c>
      <c r="F183">
        <v>19</v>
      </c>
      <c r="G183">
        <v>0</v>
      </c>
      <c r="H183">
        <v>5</v>
      </c>
      <c r="I183">
        <v>0</v>
      </c>
      <c r="J183">
        <v>0</v>
      </c>
      <c r="K183">
        <v>1</v>
      </c>
      <c r="L183">
        <v>1</v>
      </c>
      <c r="M183">
        <v>3</v>
      </c>
      <c r="N183">
        <v>1</v>
      </c>
      <c r="O183">
        <v>1</v>
      </c>
      <c r="P183">
        <v>2</v>
      </c>
      <c r="Q183">
        <v>1</v>
      </c>
      <c r="R183">
        <v>1</v>
      </c>
      <c r="S183">
        <v>1</v>
      </c>
      <c r="T183">
        <v>7</v>
      </c>
      <c r="U183">
        <v>15</v>
      </c>
      <c r="V183">
        <v>0</v>
      </c>
      <c r="W183">
        <v>0</v>
      </c>
      <c r="X183">
        <v>0</v>
      </c>
      <c r="Y183">
        <v>10</v>
      </c>
      <c r="Z183">
        <v>6</v>
      </c>
      <c r="AA183">
        <v>9</v>
      </c>
      <c r="AB183">
        <v>1</v>
      </c>
      <c r="AC183">
        <v>55</v>
      </c>
      <c r="AD183">
        <v>15</v>
      </c>
      <c r="AE183">
        <v>0</v>
      </c>
      <c r="AF183" s="1">
        <v>0</v>
      </c>
      <c r="AG183">
        <v>16</v>
      </c>
    </row>
    <row r="184" spans="1:33" x14ac:dyDescent="0.3">
      <c r="A184" t="s">
        <v>85</v>
      </c>
      <c r="B184" t="s">
        <v>93</v>
      </c>
      <c r="C184" s="2" t="s">
        <v>33</v>
      </c>
      <c r="D184">
        <v>52</v>
      </c>
      <c r="E184">
        <v>0</v>
      </c>
      <c r="F184">
        <v>6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2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7</v>
      </c>
      <c r="U184">
        <v>5</v>
      </c>
      <c r="V184">
        <v>0</v>
      </c>
      <c r="W184">
        <v>0</v>
      </c>
      <c r="X184">
        <v>0</v>
      </c>
      <c r="Y184">
        <v>4</v>
      </c>
      <c r="Z184">
        <v>1</v>
      </c>
      <c r="AA184">
        <v>4</v>
      </c>
      <c r="AB184">
        <v>0</v>
      </c>
      <c r="AC184">
        <v>7</v>
      </c>
      <c r="AD184">
        <v>4</v>
      </c>
      <c r="AE184">
        <v>0</v>
      </c>
      <c r="AF184" s="1">
        <v>0</v>
      </c>
      <c r="AG184">
        <v>5</v>
      </c>
    </row>
    <row r="185" spans="1:33" x14ac:dyDescent="0.3">
      <c r="A185" t="s">
        <v>85</v>
      </c>
      <c r="B185" t="s">
        <v>93</v>
      </c>
      <c r="C185" s="2" t="s">
        <v>34</v>
      </c>
      <c r="D185">
        <v>118</v>
      </c>
      <c r="E185">
        <v>0</v>
      </c>
      <c r="F185">
        <v>13</v>
      </c>
      <c r="G185">
        <v>0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10</v>
      </c>
      <c r="V185">
        <v>0</v>
      </c>
      <c r="W185">
        <v>0</v>
      </c>
      <c r="X185">
        <v>0</v>
      </c>
      <c r="Y185">
        <v>6</v>
      </c>
      <c r="Z185">
        <v>5</v>
      </c>
      <c r="AA185">
        <v>5</v>
      </c>
      <c r="AB185">
        <v>1</v>
      </c>
      <c r="AC185">
        <v>48</v>
      </c>
      <c r="AD185">
        <v>11</v>
      </c>
      <c r="AE185">
        <v>0</v>
      </c>
      <c r="AF185" s="1">
        <v>0</v>
      </c>
      <c r="AG185">
        <v>11</v>
      </c>
    </row>
    <row r="186" spans="1:33" x14ac:dyDescent="0.3">
      <c r="A186" t="s">
        <v>85</v>
      </c>
      <c r="B186" t="s">
        <v>94</v>
      </c>
      <c r="C186" s="2" t="s">
        <v>30</v>
      </c>
      <c r="D186">
        <v>151</v>
      </c>
      <c r="E186">
        <v>0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1</v>
      </c>
      <c r="AD186">
        <v>139</v>
      </c>
      <c r="AE186">
        <v>0</v>
      </c>
      <c r="AF186" s="1">
        <v>0</v>
      </c>
      <c r="AG186">
        <v>4</v>
      </c>
    </row>
    <row r="187" spans="1:33" x14ac:dyDescent="0.3">
      <c r="A187" t="s">
        <v>85</v>
      </c>
      <c r="B187" t="s">
        <v>94</v>
      </c>
      <c r="C187" s="2" t="s">
        <v>33</v>
      </c>
      <c r="D187">
        <v>111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</v>
      </c>
      <c r="AB187">
        <v>0</v>
      </c>
      <c r="AC187">
        <v>1</v>
      </c>
      <c r="AD187">
        <v>102</v>
      </c>
      <c r="AE187">
        <v>0</v>
      </c>
      <c r="AF187" s="1">
        <v>0</v>
      </c>
      <c r="AG187">
        <v>3</v>
      </c>
    </row>
    <row r="188" spans="1:33" x14ac:dyDescent="0.3">
      <c r="A188" t="s">
        <v>85</v>
      </c>
      <c r="B188" t="s">
        <v>94</v>
      </c>
      <c r="C188" s="2" t="s">
        <v>34</v>
      </c>
      <c r="D188">
        <v>40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37</v>
      </c>
      <c r="AE188">
        <v>0</v>
      </c>
      <c r="AF188" s="1">
        <v>0</v>
      </c>
      <c r="AG188">
        <v>1</v>
      </c>
    </row>
    <row r="189" spans="1:33" x14ac:dyDescent="0.3">
      <c r="A189" t="s">
        <v>85</v>
      </c>
      <c r="B189" t="s">
        <v>95</v>
      </c>
      <c r="C189" s="2" t="s">
        <v>30</v>
      </c>
      <c r="D189">
        <v>88</v>
      </c>
      <c r="E189">
        <v>0</v>
      </c>
      <c r="F189">
        <v>22</v>
      </c>
      <c r="G189">
        <v>1</v>
      </c>
      <c r="H189">
        <v>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5</v>
      </c>
      <c r="U189">
        <v>6</v>
      </c>
      <c r="V189">
        <v>0</v>
      </c>
      <c r="W189">
        <v>0</v>
      </c>
      <c r="X189">
        <v>0</v>
      </c>
      <c r="Y189">
        <v>3</v>
      </c>
      <c r="Z189">
        <v>5</v>
      </c>
      <c r="AA189">
        <v>0</v>
      </c>
      <c r="AB189">
        <v>2</v>
      </c>
      <c r="AC189">
        <v>9</v>
      </c>
      <c r="AD189">
        <v>2</v>
      </c>
      <c r="AE189">
        <v>0</v>
      </c>
      <c r="AF189" s="1">
        <v>0</v>
      </c>
      <c r="AG189">
        <v>25</v>
      </c>
    </row>
    <row r="190" spans="1:33" x14ac:dyDescent="0.3">
      <c r="A190" t="s">
        <v>85</v>
      </c>
      <c r="B190" t="s">
        <v>95</v>
      </c>
      <c r="C190" s="2" t="s">
        <v>33</v>
      </c>
      <c r="D190">
        <v>37</v>
      </c>
      <c r="E190">
        <v>0</v>
      </c>
      <c r="F190">
        <v>6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>
        <v>3</v>
      </c>
      <c r="V190">
        <v>0</v>
      </c>
      <c r="W190">
        <v>0</v>
      </c>
      <c r="X190">
        <v>0</v>
      </c>
      <c r="Y190">
        <v>1</v>
      </c>
      <c r="Z190">
        <v>3</v>
      </c>
      <c r="AA190">
        <v>0</v>
      </c>
      <c r="AB190">
        <v>0</v>
      </c>
      <c r="AC190">
        <v>6</v>
      </c>
      <c r="AD190">
        <v>1</v>
      </c>
      <c r="AE190">
        <v>0</v>
      </c>
      <c r="AF190" s="1">
        <v>0</v>
      </c>
      <c r="AG190">
        <v>12</v>
      </c>
    </row>
    <row r="191" spans="1:33" x14ac:dyDescent="0.3">
      <c r="A191" t="s">
        <v>85</v>
      </c>
      <c r="B191" t="s">
        <v>95</v>
      </c>
      <c r="C191" s="2" t="s">
        <v>34</v>
      </c>
      <c r="D191">
        <v>51</v>
      </c>
      <c r="E191">
        <v>0</v>
      </c>
      <c r="F191">
        <v>16</v>
      </c>
      <c r="G191">
        <v>1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3</v>
      </c>
      <c r="V191">
        <v>0</v>
      </c>
      <c r="W191">
        <v>0</v>
      </c>
      <c r="X191">
        <v>0</v>
      </c>
      <c r="Y191">
        <v>2</v>
      </c>
      <c r="Z191">
        <v>2</v>
      </c>
      <c r="AA191">
        <v>0</v>
      </c>
      <c r="AB191">
        <v>2</v>
      </c>
      <c r="AC191">
        <v>3</v>
      </c>
      <c r="AD191">
        <v>1</v>
      </c>
      <c r="AE191">
        <v>0</v>
      </c>
      <c r="AF191" s="1">
        <v>0</v>
      </c>
      <c r="AG191">
        <v>13</v>
      </c>
    </row>
    <row r="192" spans="1:33" x14ac:dyDescent="0.3">
      <c r="A192" t="s">
        <v>85</v>
      </c>
      <c r="B192" t="s">
        <v>96</v>
      </c>
      <c r="C192" s="2" t="s">
        <v>30</v>
      </c>
      <c r="D192">
        <v>87</v>
      </c>
      <c r="E192">
        <v>0</v>
      </c>
      <c r="F192">
        <v>21</v>
      </c>
      <c r="G192">
        <v>0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3</v>
      </c>
      <c r="V192">
        <v>0</v>
      </c>
      <c r="W192">
        <v>0</v>
      </c>
      <c r="X192">
        <v>0</v>
      </c>
      <c r="Y192">
        <v>7</v>
      </c>
      <c r="Z192">
        <v>7</v>
      </c>
      <c r="AA192">
        <v>4</v>
      </c>
      <c r="AB192">
        <v>5</v>
      </c>
      <c r="AC192">
        <v>28</v>
      </c>
      <c r="AD192">
        <v>0</v>
      </c>
      <c r="AE192">
        <v>0</v>
      </c>
      <c r="AF192" s="1">
        <v>0</v>
      </c>
      <c r="AG192">
        <v>4</v>
      </c>
    </row>
    <row r="193" spans="1:33" x14ac:dyDescent="0.3">
      <c r="A193" t="s">
        <v>85</v>
      </c>
      <c r="B193" t="s">
        <v>96</v>
      </c>
      <c r="C193" s="2" t="s">
        <v>33</v>
      </c>
      <c r="D193">
        <v>22</v>
      </c>
      <c r="E193">
        <v>0</v>
      </c>
      <c r="F193">
        <v>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2</v>
      </c>
      <c r="V193">
        <v>0</v>
      </c>
      <c r="W193">
        <v>0</v>
      </c>
      <c r="X193">
        <v>0</v>
      </c>
      <c r="Y193">
        <v>3</v>
      </c>
      <c r="Z193">
        <v>3</v>
      </c>
      <c r="AA193">
        <v>0</v>
      </c>
      <c r="AB193">
        <v>2</v>
      </c>
      <c r="AC193">
        <v>4</v>
      </c>
      <c r="AD193">
        <v>0</v>
      </c>
      <c r="AE193">
        <v>0</v>
      </c>
      <c r="AF193" s="1">
        <v>0</v>
      </c>
      <c r="AG193">
        <v>2</v>
      </c>
    </row>
    <row r="194" spans="1:33" x14ac:dyDescent="0.3">
      <c r="A194" t="s">
        <v>85</v>
      </c>
      <c r="B194" t="s">
        <v>96</v>
      </c>
      <c r="C194" s="2" t="s">
        <v>34</v>
      </c>
      <c r="D194">
        <v>65</v>
      </c>
      <c r="E194">
        <v>0</v>
      </c>
      <c r="F194">
        <v>16</v>
      </c>
      <c r="G194">
        <v>0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4</v>
      </c>
      <c r="Z194">
        <v>4</v>
      </c>
      <c r="AA194">
        <v>4</v>
      </c>
      <c r="AB194">
        <v>3</v>
      </c>
      <c r="AC194">
        <v>24</v>
      </c>
      <c r="AD194">
        <v>0</v>
      </c>
      <c r="AE194">
        <v>0</v>
      </c>
      <c r="AF194" s="1">
        <v>0</v>
      </c>
      <c r="AG194">
        <v>2</v>
      </c>
    </row>
    <row r="195" spans="1:33" x14ac:dyDescent="0.3">
      <c r="A195" t="s">
        <v>85</v>
      </c>
      <c r="B195" t="s">
        <v>97</v>
      </c>
      <c r="C195" s="2" t="s">
        <v>30</v>
      </c>
      <c r="D195">
        <v>86</v>
      </c>
      <c r="E195">
        <v>0</v>
      </c>
      <c r="F195">
        <v>16</v>
      </c>
      <c r="G195">
        <v>0</v>
      </c>
      <c r="H195">
        <v>7</v>
      </c>
      <c r="I195">
        <v>1</v>
      </c>
      <c r="J195">
        <v>6</v>
      </c>
      <c r="K195">
        <v>0</v>
      </c>
      <c r="L195">
        <v>0</v>
      </c>
      <c r="M195">
        <v>1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6</v>
      </c>
      <c r="AA195">
        <v>3</v>
      </c>
      <c r="AB195">
        <v>1</v>
      </c>
      <c r="AC195">
        <v>25</v>
      </c>
      <c r="AD195">
        <v>0</v>
      </c>
      <c r="AE195">
        <v>0</v>
      </c>
      <c r="AF195" s="1">
        <v>0</v>
      </c>
      <c r="AG195">
        <v>11</v>
      </c>
    </row>
    <row r="196" spans="1:33" x14ac:dyDescent="0.3">
      <c r="A196" t="s">
        <v>85</v>
      </c>
      <c r="B196" t="s">
        <v>97</v>
      </c>
      <c r="C196" s="2" t="s">
        <v>33</v>
      </c>
      <c r="D196">
        <v>30</v>
      </c>
      <c r="E196">
        <v>0</v>
      </c>
      <c r="F196">
        <v>8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4</v>
      </c>
      <c r="AA196">
        <v>1</v>
      </c>
      <c r="AB196">
        <v>0</v>
      </c>
      <c r="AC196">
        <v>5</v>
      </c>
      <c r="AD196">
        <v>0</v>
      </c>
      <c r="AE196">
        <v>0</v>
      </c>
      <c r="AF196" s="1">
        <v>0</v>
      </c>
      <c r="AG196">
        <v>5</v>
      </c>
    </row>
    <row r="197" spans="1:33" x14ac:dyDescent="0.3">
      <c r="A197" t="s">
        <v>85</v>
      </c>
      <c r="B197" t="s">
        <v>97</v>
      </c>
      <c r="C197" s="2" t="s">
        <v>34</v>
      </c>
      <c r="D197">
        <v>56</v>
      </c>
      <c r="E197">
        <v>0</v>
      </c>
      <c r="F197">
        <v>8</v>
      </c>
      <c r="G197">
        <v>0</v>
      </c>
      <c r="H197">
        <v>6</v>
      </c>
      <c r="I197">
        <v>0</v>
      </c>
      <c r="J197">
        <v>5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4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2</v>
      </c>
      <c r="AB197">
        <v>1</v>
      </c>
      <c r="AC197">
        <v>20</v>
      </c>
      <c r="AD197">
        <v>0</v>
      </c>
      <c r="AE197">
        <v>0</v>
      </c>
      <c r="AF197" s="1">
        <v>0</v>
      </c>
      <c r="AG197">
        <v>6</v>
      </c>
    </row>
    <row r="198" spans="1:33" x14ac:dyDescent="0.3">
      <c r="A198" t="s">
        <v>85</v>
      </c>
      <c r="B198" t="s">
        <v>98</v>
      </c>
      <c r="C198" s="2" t="s">
        <v>30</v>
      </c>
      <c r="D198">
        <v>83</v>
      </c>
      <c r="E198">
        <v>0</v>
      </c>
      <c r="F198">
        <v>17</v>
      </c>
      <c r="G198">
        <v>0</v>
      </c>
      <c r="H198">
        <v>9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4</v>
      </c>
      <c r="U198">
        <v>3</v>
      </c>
      <c r="V198">
        <v>0</v>
      </c>
      <c r="W198">
        <v>0</v>
      </c>
      <c r="X198">
        <v>0</v>
      </c>
      <c r="Y198">
        <v>1</v>
      </c>
      <c r="Z198">
        <v>3</v>
      </c>
      <c r="AA198">
        <v>4</v>
      </c>
      <c r="AB198">
        <v>1</v>
      </c>
      <c r="AC198">
        <v>14</v>
      </c>
      <c r="AD198">
        <v>0</v>
      </c>
      <c r="AE198">
        <v>0</v>
      </c>
      <c r="AF198" s="1">
        <v>0</v>
      </c>
      <c r="AG198">
        <v>22</v>
      </c>
    </row>
    <row r="199" spans="1:33" x14ac:dyDescent="0.3">
      <c r="A199" t="s">
        <v>85</v>
      </c>
      <c r="B199" t="s">
        <v>98</v>
      </c>
      <c r="C199" s="2" t="s">
        <v>33</v>
      </c>
      <c r="D199">
        <v>30</v>
      </c>
      <c r="E199">
        <v>0</v>
      </c>
      <c r="F199">
        <v>3</v>
      </c>
      <c r="G199">
        <v>0</v>
      </c>
      <c r="H199">
        <v>3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</v>
      </c>
      <c r="U199">
        <v>2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1</v>
      </c>
      <c r="AC199">
        <v>3</v>
      </c>
      <c r="AD199">
        <v>0</v>
      </c>
      <c r="AE199">
        <v>0</v>
      </c>
      <c r="AF199" s="1">
        <v>0</v>
      </c>
      <c r="AG199">
        <v>12</v>
      </c>
    </row>
    <row r="200" spans="1:33" x14ac:dyDescent="0.3">
      <c r="A200" t="s">
        <v>85</v>
      </c>
      <c r="B200" t="s">
        <v>98</v>
      </c>
      <c r="C200" s="2" t="s">
        <v>34</v>
      </c>
      <c r="D200">
        <v>53</v>
      </c>
      <c r="E200">
        <v>0</v>
      </c>
      <c r="F200">
        <v>14</v>
      </c>
      <c r="G200">
        <v>0</v>
      </c>
      <c r="H200">
        <v>6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4</v>
      </c>
      <c r="AB200">
        <v>0</v>
      </c>
      <c r="AC200">
        <v>11</v>
      </c>
      <c r="AD200">
        <v>0</v>
      </c>
      <c r="AE200">
        <v>0</v>
      </c>
      <c r="AF200" s="1">
        <v>0</v>
      </c>
      <c r="AG200">
        <v>10</v>
      </c>
    </row>
    <row r="201" spans="1:33" x14ac:dyDescent="0.3">
      <c r="A201" t="s">
        <v>85</v>
      </c>
      <c r="B201" t="s">
        <v>99</v>
      </c>
      <c r="C201" s="2" t="s">
        <v>30</v>
      </c>
      <c r="D201">
        <v>81</v>
      </c>
      <c r="E201">
        <v>0</v>
      </c>
      <c r="F201">
        <v>20</v>
      </c>
      <c r="G201">
        <v>0</v>
      </c>
      <c r="H201">
        <v>6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9</v>
      </c>
      <c r="Z201">
        <v>6</v>
      </c>
      <c r="AA201">
        <v>0</v>
      </c>
      <c r="AB201">
        <v>10</v>
      </c>
      <c r="AC201">
        <v>17</v>
      </c>
      <c r="AD201">
        <v>1</v>
      </c>
      <c r="AE201">
        <v>0</v>
      </c>
      <c r="AF201" s="1">
        <v>0</v>
      </c>
      <c r="AG201">
        <v>7</v>
      </c>
    </row>
    <row r="202" spans="1:33" x14ac:dyDescent="0.3">
      <c r="A202" t="s">
        <v>85</v>
      </c>
      <c r="B202" t="s">
        <v>99</v>
      </c>
      <c r="C202" s="2" t="s">
        <v>33</v>
      </c>
      <c r="D202">
        <v>39</v>
      </c>
      <c r="E202">
        <v>0</v>
      </c>
      <c r="F202">
        <v>12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5</v>
      </c>
      <c r="Z202">
        <v>6</v>
      </c>
      <c r="AA202">
        <v>0</v>
      </c>
      <c r="AB202">
        <v>5</v>
      </c>
      <c r="AC202">
        <v>3</v>
      </c>
      <c r="AD202">
        <v>1</v>
      </c>
      <c r="AE202">
        <v>0</v>
      </c>
      <c r="AF202" s="1">
        <v>0</v>
      </c>
      <c r="AG202">
        <v>4</v>
      </c>
    </row>
    <row r="203" spans="1:33" x14ac:dyDescent="0.3">
      <c r="A203" t="s">
        <v>85</v>
      </c>
      <c r="B203" t="s">
        <v>99</v>
      </c>
      <c r="C203" s="2" t="s">
        <v>34</v>
      </c>
      <c r="D203">
        <v>42</v>
      </c>
      <c r="E203">
        <v>0</v>
      </c>
      <c r="F203">
        <v>8</v>
      </c>
      <c r="G203">
        <v>0</v>
      </c>
      <c r="H203">
        <v>6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4</v>
      </c>
      <c r="Z203">
        <v>0</v>
      </c>
      <c r="AA203">
        <v>0</v>
      </c>
      <c r="AB203">
        <v>5</v>
      </c>
      <c r="AC203">
        <v>14</v>
      </c>
      <c r="AD203">
        <v>0</v>
      </c>
      <c r="AE203">
        <v>0</v>
      </c>
      <c r="AF203" s="1">
        <v>0</v>
      </c>
      <c r="AG203">
        <v>3</v>
      </c>
    </row>
    <row r="204" spans="1:33" x14ac:dyDescent="0.3">
      <c r="A204" t="s">
        <v>85</v>
      </c>
      <c r="B204" t="s">
        <v>100</v>
      </c>
      <c r="C204" s="2" t="s">
        <v>30</v>
      </c>
      <c r="D204">
        <v>72</v>
      </c>
      <c r="E204">
        <v>0</v>
      </c>
      <c r="F204">
        <v>15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6</v>
      </c>
      <c r="V204">
        <v>0</v>
      </c>
      <c r="W204">
        <v>0</v>
      </c>
      <c r="X204">
        <v>0</v>
      </c>
      <c r="Y204">
        <v>3</v>
      </c>
      <c r="Z204">
        <v>4</v>
      </c>
      <c r="AA204">
        <v>1</v>
      </c>
      <c r="AB204">
        <v>2</v>
      </c>
      <c r="AC204">
        <v>22</v>
      </c>
      <c r="AD204">
        <v>3</v>
      </c>
      <c r="AE204">
        <v>0</v>
      </c>
      <c r="AF204" s="1">
        <v>0</v>
      </c>
      <c r="AG204">
        <v>7</v>
      </c>
    </row>
    <row r="205" spans="1:33" x14ac:dyDescent="0.3">
      <c r="A205" t="s">
        <v>85</v>
      </c>
      <c r="B205" t="s">
        <v>100</v>
      </c>
      <c r="C205" s="2" t="s">
        <v>33</v>
      </c>
      <c r="D205">
        <v>27</v>
      </c>
      <c r="E205">
        <v>0</v>
      </c>
      <c r="F205">
        <v>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2</v>
      </c>
      <c r="Z205">
        <v>2</v>
      </c>
      <c r="AA205">
        <v>1</v>
      </c>
      <c r="AB205">
        <v>1</v>
      </c>
      <c r="AC205">
        <v>2</v>
      </c>
      <c r="AD205">
        <v>2</v>
      </c>
      <c r="AE205">
        <v>0</v>
      </c>
      <c r="AF205" s="1">
        <v>0</v>
      </c>
      <c r="AG205">
        <v>4</v>
      </c>
    </row>
    <row r="206" spans="1:33" x14ac:dyDescent="0.3">
      <c r="A206" t="s">
        <v>85</v>
      </c>
      <c r="B206" t="s">
        <v>100</v>
      </c>
      <c r="C206" s="2" t="s">
        <v>34</v>
      </c>
      <c r="D206">
        <v>45</v>
      </c>
      <c r="E206">
        <v>0</v>
      </c>
      <c r="F206">
        <v>6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3</v>
      </c>
      <c r="V206">
        <v>0</v>
      </c>
      <c r="W206">
        <v>0</v>
      </c>
      <c r="X206">
        <v>0</v>
      </c>
      <c r="Y206">
        <v>1</v>
      </c>
      <c r="Z206">
        <v>2</v>
      </c>
      <c r="AA206">
        <v>0</v>
      </c>
      <c r="AB206">
        <v>1</v>
      </c>
      <c r="AC206">
        <v>20</v>
      </c>
      <c r="AD206">
        <v>1</v>
      </c>
      <c r="AE206">
        <v>0</v>
      </c>
      <c r="AF206" s="1">
        <v>0</v>
      </c>
      <c r="AG206">
        <v>3</v>
      </c>
    </row>
    <row r="207" spans="1:33" x14ac:dyDescent="0.3">
      <c r="A207" t="s">
        <v>85</v>
      </c>
      <c r="B207" t="s">
        <v>101</v>
      </c>
      <c r="C207" s="2" t="s">
        <v>30</v>
      </c>
      <c r="D207">
        <v>68</v>
      </c>
      <c r="E207">
        <v>0</v>
      </c>
      <c r="F207">
        <v>16</v>
      </c>
      <c r="G207">
        <v>0</v>
      </c>
      <c r="H207">
        <v>6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3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8</v>
      </c>
      <c r="V207">
        <v>0</v>
      </c>
      <c r="W207">
        <v>0</v>
      </c>
      <c r="X207">
        <v>0</v>
      </c>
      <c r="Y207">
        <v>1</v>
      </c>
      <c r="Z207">
        <v>7</v>
      </c>
      <c r="AA207">
        <v>2</v>
      </c>
      <c r="AB207">
        <v>2</v>
      </c>
      <c r="AC207">
        <v>16</v>
      </c>
      <c r="AD207">
        <v>0</v>
      </c>
      <c r="AE207">
        <v>0</v>
      </c>
      <c r="AF207" s="1">
        <v>0</v>
      </c>
      <c r="AG207">
        <v>4</v>
      </c>
    </row>
    <row r="208" spans="1:33" x14ac:dyDescent="0.3">
      <c r="A208" t="s">
        <v>85</v>
      </c>
      <c r="B208" t="s">
        <v>101</v>
      </c>
      <c r="C208" s="2" t="s">
        <v>33</v>
      </c>
      <c r="D208">
        <v>19</v>
      </c>
      <c r="E208">
        <v>0</v>
      </c>
      <c r="F208">
        <v>3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4</v>
      </c>
      <c r="AA208">
        <v>1</v>
      </c>
      <c r="AB208">
        <v>1</v>
      </c>
      <c r="AC208">
        <v>2</v>
      </c>
      <c r="AD208">
        <v>0</v>
      </c>
      <c r="AE208">
        <v>0</v>
      </c>
      <c r="AF208" s="1">
        <v>0</v>
      </c>
      <c r="AG208">
        <v>3</v>
      </c>
    </row>
    <row r="209" spans="1:33" x14ac:dyDescent="0.3">
      <c r="A209" t="s">
        <v>85</v>
      </c>
      <c r="B209" t="s">
        <v>101</v>
      </c>
      <c r="C209" s="2" t="s">
        <v>34</v>
      </c>
      <c r="D209">
        <v>49</v>
      </c>
      <c r="E209">
        <v>0</v>
      </c>
      <c r="F209">
        <v>13</v>
      </c>
      <c r="G209">
        <v>0</v>
      </c>
      <c r="H209">
        <v>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7</v>
      </c>
      <c r="V209">
        <v>0</v>
      </c>
      <c r="W209">
        <v>0</v>
      </c>
      <c r="X209">
        <v>0</v>
      </c>
      <c r="Y209">
        <v>1</v>
      </c>
      <c r="Z209">
        <v>3</v>
      </c>
      <c r="AA209">
        <v>1</v>
      </c>
      <c r="AB209">
        <v>1</v>
      </c>
      <c r="AC209">
        <v>14</v>
      </c>
      <c r="AD209">
        <v>0</v>
      </c>
      <c r="AE209">
        <v>0</v>
      </c>
      <c r="AF209" s="1">
        <v>0</v>
      </c>
      <c r="AG209">
        <v>1</v>
      </c>
    </row>
    <row r="210" spans="1:33" x14ac:dyDescent="0.3">
      <c r="A210" t="s">
        <v>85</v>
      </c>
      <c r="B210" t="s">
        <v>102</v>
      </c>
      <c r="C210" s="2" t="s">
        <v>30</v>
      </c>
      <c r="D210">
        <v>65</v>
      </c>
      <c r="E210">
        <v>0</v>
      </c>
      <c r="F210">
        <v>16</v>
      </c>
      <c r="G210">
        <v>0</v>
      </c>
      <c r="H210">
        <v>6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4</v>
      </c>
      <c r="V210">
        <v>0</v>
      </c>
      <c r="W210">
        <v>1</v>
      </c>
      <c r="X210">
        <v>0</v>
      </c>
      <c r="Y210">
        <v>3</v>
      </c>
      <c r="Z210">
        <v>3</v>
      </c>
      <c r="AA210">
        <v>2</v>
      </c>
      <c r="AB210">
        <v>3</v>
      </c>
      <c r="AC210">
        <v>14</v>
      </c>
      <c r="AD210">
        <v>0</v>
      </c>
      <c r="AE210">
        <v>0</v>
      </c>
      <c r="AF210" s="1">
        <v>0</v>
      </c>
      <c r="AG210">
        <v>8</v>
      </c>
    </row>
    <row r="211" spans="1:33" x14ac:dyDescent="0.3">
      <c r="A211" t="s">
        <v>85</v>
      </c>
      <c r="B211" t="s">
        <v>102</v>
      </c>
      <c r="C211" s="2" t="s">
        <v>33</v>
      </c>
      <c r="D211">
        <v>24</v>
      </c>
      <c r="E211">
        <v>0</v>
      </c>
      <c r="F211">
        <v>4</v>
      </c>
      <c r="G211">
        <v>0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2</v>
      </c>
      <c r="AA211">
        <v>1</v>
      </c>
      <c r="AB211">
        <v>3</v>
      </c>
      <c r="AC211">
        <v>3</v>
      </c>
      <c r="AD211">
        <v>0</v>
      </c>
      <c r="AE211">
        <v>0</v>
      </c>
      <c r="AF211" s="1">
        <v>0</v>
      </c>
      <c r="AG211">
        <v>4</v>
      </c>
    </row>
    <row r="212" spans="1:33" x14ac:dyDescent="0.3">
      <c r="A212" t="s">
        <v>85</v>
      </c>
      <c r="B212" t="s">
        <v>102</v>
      </c>
      <c r="C212" s="2" t="s">
        <v>34</v>
      </c>
      <c r="D212">
        <v>41</v>
      </c>
      <c r="E212">
        <v>0</v>
      </c>
      <c r="F212">
        <v>12</v>
      </c>
      <c r="G212">
        <v>0</v>
      </c>
      <c r="H212">
        <v>4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2</v>
      </c>
      <c r="Z212">
        <v>1</v>
      </c>
      <c r="AA212">
        <v>1</v>
      </c>
      <c r="AB212">
        <v>0</v>
      </c>
      <c r="AC212">
        <v>11</v>
      </c>
      <c r="AD212">
        <v>0</v>
      </c>
      <c r="AE212">
        <v>0</v>
      </c>
      <c r="AF212" s="1">
        <v>0</v>
      </c>
      <c r="AG212">
        <v>4</v>
      </c>
    </row>
    <row r="213" spans="1:33" x14ac:dyDescent="0.3">
      <c r="A213" t="s">
        <v>85</v>
      </c>
      <c r="B213" t="s">
        <v>103</v>
      </c>
      <c r="C213" s="2" t="s">
        <v>30</v>
      </c>
      <c r="D213">
        <v>51</v>
      </c>
      <c r="E213">
        <v>0</v>
      </c>
      <c r="F213">
        <v>4</v>
      </c>
      <c r="G213">
        <v>0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</v>
      </c>
      <c r="U213">
        <v>3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4</v>
      </c>
      <c r="AB213">
        <v>0</v>
      </c>
      <c r="AC213">
        <v>18</v>
      </c>
      <c r="AD213">
        <v>0</v>
      </c>
      <c r="AE213">
        <v>0</v>
      </c>
      <c r="AF213" s="1">
        <v>0</v>
      </c>
      <c r="AG213">
        <v>7</v>
      </c>
    </row>
    <row r="214" spans="1:33" x14ac:dyDescent="0.3">
      <c r="A214" t="s">
        <v>85</v>
      </c>
      <c r="B214" t="s">
        <v>103</v>
      </c>
      <c r="C214" s="2" t="s">
        <v>33</v>
      </c>
      <c r="D214">
        <v>23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11</v>
      </c>
      <c r="AD214">
        <v>0</v>
      </c>
      <c r="AE214">
        <v>0</v>
      </c>
      <c r="AF214" s="1">
        <v>0</v>
      </c>
      <c r="AG214">
        <v>4</v>
      </c>
    </row>
    <row r="215" spans="1:33" x14ac:dyDescent="0.3">
      <c r="A215" t="s">
        <v>85</v>
      </c>
      <c r="B215" t="s">
        <v>103</v>
      </c>
      <c r="C215" s="2" t="s">
        <v>34</v>
      </c>
      <c r="D215">
        <v>28</v>
      </c>
      <c r="E215">
        <v>0</v>
      </c>
      <c r="F215">
        <v>3</v>
      </c>
      <c r="G215">
        <v>0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</v>
      </c>
      <c r="U215">
        <v>3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3</v>
      </c>
      <c r="AB215">
        <v>0</v>
      </c>
      <c r="AC215">
        <v>7</v>
      </c>
      <c r="AD215">
        <v>0</v>
      </c>
      <c r="AE215">
        <v>0</v>
      </c>
      <c r="AF215" s="1">
        <v>0</v>
      </c>
      <c r="AG215">
        <v>3</v>
      </c>
    </row>
    <row r="216" spans="1:33" x14ac:dyDescent="0.3">
      <c r="A216" t="s">
        <v>85</v>
      </c>
      <c r="B216" t="s">
        <v>104</v>
      </c>
      <c r="C216" s="2" t="s">
        <v>30</v>
      </c>
      <c r="D216">
        <v>43</v>
      </c>
      <c r="E216">
        <v>0</v>
      </c>
      <c r="F216">
        <v>8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3</v>
      </c>
      <c r="V216">
        <v>0</v>
      </c>
      <c r="W216">
        <v>0</v>
      </c>
      <c r="X216">
        <v>0</v>
      </c>
      <c r="Y216">
        <v>2</v>
      </c>
      <c r="Z216">
        <v>2</v>
      </c>
      <c r="AA216">
        <v>0</v>
      </c>
      <c r="AB216">
        <v>1</v>
      </c>
      <c r="AC216">
        <v>13</v>
      </c>
      <c r="AD216">
        <v>0</v>
      </c>
      <c r="AE216">
        <v>0</v>
      </c>
      <c r="AF216" s="1">
        <v>0</v>
      </c>
      <c r="AG216">
        <v>9</v>
      </c>
    </row>
    <row r="217" spans="1:33" x14ac:dyDescent="0.3">
      <c r="A217" t="s">
        <v>85</v>
      </c>
      <c r="B217" t="s">
        <v>104</v>
      </c>
      <c r="C217" s="2" t="s">
        <v>33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2</v>
      </c>
      <c r="AD217">
        <v>0</v>
      </c>
      <c r="AE217">
        <v>0</v>
      </c>
      <c r="AF217" s="1">
        <v>0</v>
      </c>
      <c r="AG217">
        <v>3</v>
      </c>
    </row>
    <row r="218" spans="1:33" x14ac:dyDescent="0.3">
      <c r="A218" t="s">
        <v>85</v>
      </c>
      <c r="B218" t="s">
        <v>104</v>
      </c>
      <c r="C218" s="2" t="s">
        <v>34</v>
      </c>
      <c r="D218">
        <v>35</v>
      </c>
      <c r="E218">
        <v>0</v>
      </c>
      <c r="F218">
        <v>8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0</v>
      </c>
      <c r="W218">
        <v>0</v>
      </c>
      <c r="X218">
        <v>0</v>
      </c>
      <c r="Y218">
        <v>2</v>
      </c>
      <c r="Z218">
        <v>1</v>
      </c>
      <c r="AA218">
        <v>0</v>
      </c>
      <c r="AB218">
        <v>1</v>
      </c>
      <c r="AC218">
        <v>11</v>
      </c>
      <c r="AD218">
        <v>0</v>
      </c>
      <c r="AE218">
        <v>0</v>
      </c>
      <c r="AF218" s="1">
        <v>0</v>
      </c>
      <c r="AG218">
        <v>6</v>
      </c>
    </row>
    <row r="219" spans="1:33" x14ac:dyDescent="0.3">
      <c r="A219" t="s">
        <v>85</v>
      </c>
      <c r="B219" t="s">
        <v>105</v>
      </c>
      <c r="C219" s="2" t="s">
        <v>30</v>
      </c>
      <c r="D219">
        <v>42</v>
      </c>
      <c r="E219">
        <v>0</v>
      </c>
      <c r="F219">
        <v>4</v>
      </c>
      <c r="G219">
        <v>0</v>
      </c>
      <c r="H219">
        <v>2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3</v>
      </c>
      <c r="AB219">
        <v>0</v>
      </c>
      <c r="AC219">
        <v>18</v>
      </c>
      <c r="AD219">
        <v>1</v>
      </c>
      <c r="AE219">
        <v>0</v>
      </c>
      <c r="AF219" s="1">
        <v>0</v>
      </c>
      <c r="AG219">
        <v>9</v>
      </c>
    </row>
    <row r="220" spans="1:33" x14ac:dyDescent="0.3">
      <c r="A220" t="s">
        <v>85</v>
      </c>
      <c r="B220" t="s">
        <v>105</v>
      </c>
      <c r="C220" s="2" t="s">
        <v>33</v>
      </c>
      <c r="D220">
        <v>15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</v>
      </c>
      <c r="AB220">
        <v>0</v>
      </c>
      <c r="AC220">
        <v>0</v>
      </c>
      <c r="AD220">
        <v>1</v>
      </c>
      <c r="AE220">
        <v>0</v>
      </c>
      <c r="AF220" s="1">
        <v>0</v>
      </c>
      <c r="AG220">
        <v>5</v>
      </c>
    </row>
    <row r="221" spans="1:33" x14ac:dyDescent="0.3">
      <c r="A221" t="s">
        <v>85</v>
      </c>
      <c r="B221" t="s">
        <v>105</v>
      </c>
      <c r="C221" s="2" t="s">
        <v>34</v>
      </c>
      <c r="D221">
        <v>27</v>
      </c>
      <c r="E221">
        <v>0</v>
      </c>
      <c r="F221">
        <v>2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18</v>
      </c>
      <c r="AD221">
        <v>0</v>
      </c>
      <c r="AE221">
        <v>0</v>
      </c>
      <c r="AF221" s="1">
        <v>0</v>
      </c>
      <c r="AG221">
        <v>4</v>
      </c>
    </row>
    <row r="222" spans="1:33" x14ac:dyDescent="0.3">
      <c r="A222" t="s">
        <v>85</v>
      </c>
      <c r="B222" t="s">
        <v>106</v>
      </c>
      <c r="C222" s="2" t="s">
        <v>30</v>
      </c>
      <c r="D222">
        <v>31</v>
      </c>
      <c r="E222">
        <v>0</v>
      </c>
      <c r="F222">
        <v>9</v>
      </c>
      <c r="G222">
        <v>0</v>
      </c>
      <c r="H222">
        <v>4</v>
      </c>
      <c r="I222">
        <v>0</v>
      </c>
      <c r="J222">
        <v>0</v>
      </c>
      <c r="K222">
        <v>0</v>
      </c>
      <c r="L222">
        <v>1</v>
      </c>
      <c r="M222">
        <v>2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1</v>
      </c>
      <c r="AB222">
        <v>0</v>
      </c>
      <c r="AC222">
        <v>2</v>
      </c>
      <c r="AD222">
        <v>0</v>
      </c>
      <c r="AE222">
        <v>0</v>
      </c>
      <c r="AF222" s="1">
        <v>0</v>
      </c>
      <c r="AG222">
        <v>7</v>
      </c>
    </row>
    <row r="223" spans="1:33" x14ac:dyDescent="0.3">
      <c r="A223" t="s">
        <v>85</v>
      </c>
      <c r="B223" t="s">
        <v>106</v>
      </c>
      <c r="C223" s="2" t="s">
        <v>33</v>
      </c>
      <c r="D223">
        <v>11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2</v>
      </c>
      <c r="AD223">
        <v>0</v>
      </c>
      <c r="AE223">
        <v>0</v>
      </c>
      <c r="AF223" s="1">
        <v>0</v>
      </c>
      <c r="AG223">
        <v>3</v>
      </c>
    </row>
    <row r="224" spans="1:33" x14ac:dyDescent="0.3">
      <c r="A224" t="s">
        <v>85</v>
      </c>
      <c r="B224" t="s">
        <v>106</v>
      </c>
      <c r="C224" s="2" t="s">
        <v>34</v>
      </c>
      <c r="D224">
        <v>20</v>
      </c>
      <c r="E224">
        <v>0</v>
      </c>
      <c r="F224">
        <v>7</v>
      </c>
      <c r="G224">
        <v>0</v>
      </c>
      <c r="H224">
        <v>4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 s="1">
        <v>0</v>
      </c>
      <c r="AG224">
        <v>4</v>
      </c>
    </row>
    <row r="225" spans="1:33" x14ac:dyDescent="0.3">
      <c r="A225" t="s">
        <v>85</v>
      </c>
      <c r="B225" t="s">
        <v>107</v>
      </c>
      <c r="C225" s="2" t="s">
        <v>30</v>
      </c>
      <c r="D225">
        <v>31</v>
      </c>
      <c r="E225">
        <v>0</v>
      </c>
      <c r="F225">
        <v>6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4</v>
      </c>
      <c r="AB225">
        <v>3</v>
      </c>
      <c r="AC225">
        <v>4</v>
      </c>
      <c r="AD225">
        <v>1</v>
      </c>
      <c r="AE225">
        <v>0</v>
      </c>
      <c r="AF225" s="1">
        <v>0</v>
      </c>
      <c r="AG225">
        <v>4</v>
      </c>
    </row>
    <row r="226" spans="1:33" x14ac:dyDescent="0.3">
      <c r="A226" t="s">
        <v>85</v>
      </c>
      <c r="B226" t="s">
        <v>107</v>
      </c>
      <c r="C226" s="2" t="s">
        <v>33</v>
      </c>
      <c r="D226">
        <v>13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2</v>
      </c>
      <c r="AC226">
        <v>3</v>
      </c>
      <c r="AD226">
        <v>1</v>
      </c>
      <c r="AE226">
        <v>0</v>
      </c>
      <c r="AF226" s="1">
        <v>0</v>
      </c>
      <c r="AG226">
        <v>1</v>
      </c>
    </row>
    <row r="227" spans="1:33" x14ac:dyDescent="0.3">
      <c r="A227" t="s">
        <v>85</v>
      </c>
      <c r="B227" t="s">
        <v>107</v>
      </c>
      <c r="C227" s="2" t="s">
        <v>34</v>
      </c>
      <c r="D227">
        <v>18</v>
      </c>
      <c r="E227">
        <v>0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3</v>
      </c>
      <c r="AB227">
        <v>1</v>
      </c>
      <c r="AC227">
        <v>1</v>
      </c>
      <c r="AD227">
        <v>0</v>
      </c>
      <c r="AE227">
        <v>0</v>
      </c>
      <c r="AF227" s="1">
        <v>0</v>
      </c>
      <c r="AG227">
        <v>3</v>
      </c>
    </row>
    <row r="228" spans="1:33" x14ac:dyDescent="0.3">
      <c r="A228" t="s">
        <v>85</v>
      </c>
      <c r="B228" t="s">
        <v>108</v>
      </c>
      <c r="C228" s="2" t="s">
        <v>30</v>
      </c>
      <c r="D228">
        <v>19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</v>
      </c>
      <c r="AA228">
        <v>5</v>
      </c>
      <c r="AB228">
        <v>0</v>
      </c>
      <c r="AC228">
        <v>0</v>
      </c>
      <c r="AD228">
        <v>3</v>
      </c>
      <c r="AE228">
        <v>0</v>
      </c>
      <c r="AF228" s="1">
        <v>0</v>
      </c>
      <c r="AG228">
        <v>0</v>
      </c>
    </row>
    <row r="229" spans="1:33" x14ac:dyDescent="0.3">
      <c r="A229" t="s">
        <v>85</v>
      </c>
      <c r="B229" t="s">
        <v>108</v>
      </c>
      <c r="C229" s="2" t="s">
        <v>33</v>
      </c>
      <c r="D229">
        <v>12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2</v>
      </c>
      <c r="AB229">
        <v>0</v>
      </c>
      <c r="AC229">
        <v>0</v>
      </c>
      <c r="AD229">
        <v>1</v>
      </c>
      <c r="AE229">
        <v>0</v>
      </c>
      <c r="AF229" s="1">
        <v>0</v>
      </c>
      <c r="AG229">
        <v>0</v>
      </c>
    </row>
    <row r="230" spans="1:33" x14ac:dyDescent="0.3">
      <c r="A230" t="s">
        <v>85</v>
      </c>
      <c r="B230" t="s">
        <v>108</v>
      </c>
      <c r="C230" s="2" t="s">
        <v>34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3</v>
      </c>
      <c r="AB230">
        <v>0</v>
      </c>
      <c r="AC230">
        <v>0</v>
      </c>
      <c r="AD230">
        <v>2</v>
      </c>
      <c r="AE230">
        <v>0</v>
      </c>
      <c r="AF230" s="1">
        <v>0</v>
      </c>
      <c r="AG230">
        <v>0</v>
      </c>
    </row>
    <row r="231" spans="1:33" x14ac:dyDescent="0.3">
      <c r="A231" t="s">
        <v>85</v>
      </c>
      <c r="B231" t="s">
        <v>109</v>
      </c>
      <c r="C231" s="2" t="s">
        <v>30</v>
      </c>
      <c r="D231">
        <v>18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2</v>
      </c>
      <c r="AD231">
        <v>2</v>
      </c>
      <c r="AE231">
        <v>0</v>
      </c>
      <c r="AF231" s="1">
        <v>0</v>
      </c>
      <c r="AG231">
        <v>8</v>
      </c>
    </row>
    <row r="232" spans="1:33" x14ac:dyDescent="0.3">
      <c r="A232" t="s">
        <v>85</v>
      </c>
      <c r="B232" t="s">
        <v>109</v>
      </c>
      <c r="C232" s="2" t="s">
        <v>33</v>
      </c>
      <c r="D232">
        <v>8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2</v>
      </c>
      <c r="AE232">
        <v>0</v>
      </c>
      <c r="AF232" s="1">
        <v>0</v>
      </c>
      <c r="AG232">
        <v>3</v>
      </c>
    </row>
    <row r="233" spans="1:33" x14ac:dyDescent="0.3">
      <c r="A233" t="s">
        <v>85</v>
      </c>
      <c r="B233" t="s">
        <v>109</v>
      </c>
      <c r="C233" s="2" t="s">
        <v>34</v>
      </c>
      <c r="D233">
        <v>10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1</v>
      </c>
      <c r="AD233">
        <v>0</v>
      </c>
      <c r="AE233">
        <v>0</v>
      </c>
      <c r="AF233" s="1">
        <v>0</v>
      </c>
      <c r="AG233">
        <v>5</v>
      </c>
    </row>
    <row r="234" spans="1:33" x14ac:dyDescent="0.3">
      <c r="A234" t="s">
        <v>85</v>
      </c>
      <c r="B234" t="s">
        <v>110</v>
      </c>
      <c r="C234" s="2" t="s">
        <v>30</v>
      </c>
      <c r="D234">
        <v>12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</v>
      </c>
      <c r="AA234">
        <v>2</v>
      </c>
      <c r="AB234">
        <v>3</v>
      </c>
      <c r="AC234">
        <v>2</v>
      </c>
      <c r="AD234">
        <v>0</v>
      </c>
      <c r="AE234">
        <v>0</v>
      </c>
      <c r="AF234" s="1">
        <v>0</v>
      </c>
      <c r="AG234">
        <v>0</v>
      </c>
    </row>
    <row r="235" spans="1:33" x14ac:dyDescent="0.3">
      <c r="A235" t="s">
        <v>85</v>
      </c>
      <c r="B235" t="s">
        <v>110</v>
      </c>
      <c r="C235" s="2" t="s">
        <v>33</v>
      </c>
      <c r="D235">
        <v>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</v>
      </c>
      <c r="AA235">
        <v>2</v>
      </c>
      <c r="AB235">
        <v>2</v>
      </c>
      <c r="AC235">
        <v>2</v>
      </c>
      <c r="AD235">
        <v>0</v>
      </c>
      <c r="AE235">
        <v>0</v>
      </c>
      <c r="AF235" s="1">
        <v>0</v>
      </c>
      <c r="AG235">
        <v>0</v>
      </c>
    </row>
    <row r="236" spans="1:33" x14ac:dyDescent="0.3">
      <c r="A236" t="s">
        <v>85</v>
      </c>
      <c r="B236" t="s">
        <v>110</v>
      </c>
      <c r="C236" s="2" t="s">
        <v>34</v>
      </c>
      <c r="D236">
        <v>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1</v>
      </c>
      <c r="AC236">
        <v>0</v>
      </c>
      <c r="AD236">
        <v>0</v>
      </c>
      <c r="AE236">
        <v>0</v>
      </c>
      <c r="AF236" s="1">
        <v>0</v>
      </c>
      <c r="AG236">
        <v>0</v>
      </c>
    </row>
    <row r="237" spans="1:33" x14ac:dyDescent="0.3">
      <c r="A237" t="s">
        <v>85</v>
      </c>
      <c r="B237" t="s">
        <v>111</v>
      </c>
      <c r="C237" s="2" t="s">
        <v>30</v>
      </c>
      <c r="D237">
        <v>12</v>
      </c>
      <c r="E237">
        <v>0</v>
      </c>
      <c r="F237">
        <v>8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 s="1">
        <v>0</v>
      </c>
      <c r="AG237">
        <v>0</v>
      </c>
    </row>
    <row r="238" spans="1:33" x14ac:dyDescent="0.3">
      <c r="A238" t="s">
        <v>85</v>
      </c>
      <c r="B238" t="s">
        <v>111</v>
      </c>
      <c r="C238" s="2" t="s">
        <v>33</v>
      </c>
      <c r="D238">
        <v>3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s="1">
        <v>0</v>
      </c>
      <c r="AG238">
        <v>0</v>
      </c>
    </row>
    <row r="239" spans="1:33" x14ac:dyDescent="0.3">
      <c r="A239" t="s">
        <v>85</v>
      </c>
      <c r="B239" t="s">
        <v>111</v>
      </c>
      <c r="C239" s="2" t="s">
        <v>34</v>
      </c>
      <c r="D239">
        <v>9</v>
      </c>
      <c r="E239">
        <v>0</v>
      </c>
      <c r="F239">
        <v>5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 s="1">
        <v>0</v>
      </c>
      <c r="AG239">
        <v>0</v>
      </c>
    </row>
    <row r="240" spans="1:33" x14ac:dyDescent="0.3">
      <c r="A240" t="s">
        <v>85</v>
      </c>
      <c r="B240" t="s">
        <v>112</v>
      </c>
      <c r="C240" s="2" t="s">
        <v>30</v>
      </c>
      <c r="D240">
        <v>6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</v>
      </c>
      <c r="AC240">
        <v>0</v>
      </c>
      <c r="AD240">
        <v>1</v>
      </c>
      <c r="AE240">
        <v>0</v>
      </c>
      <c r="AF240" s="1">
        <v>0</v>
      </c>
      <c r="AG240">
        <v>0</v>
      </c>
    </row>
    <row r="241" spans="1:33" x14ac:dyDescent="0.3">
      <c r="A241" t="s">
        <v>85</v>
      </c>
      <c r="B241" t="s">
        <v>112</v>
      </c>
      <c r="C241" s="2" t="s">
        <v>33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0</v>
      </c>
      <c r="AD241">
        <v>1</v>
      </c>
      <c r="AE241">
        <v>0</v>
      </c>
      <c r="AF241" s="1">
        <v>0</v>
      </c>
      <c r="AG241">
        <v>0</v>
      </c>
    </row>
    <row r="242" spans="1:33" x14ac:dyDescent="0.3">
      <c r="A242" t="s">
        <v>85</v>
      </c>
      <c r="B242" t="s">
        <v>112</v>
      </c>
      <c r="C242" s="2" t="s">
        <v>34</v>
      </c>
      <c r="D242">
        <v>2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 s="1">
        <v>0</v>
      </c>
      <c r="AG242">
        <v>0</v>
      </c>
    </row>
    <row r="243" spans="1:33" x14ac:dyDescent="0.3">
      <c r="A243" t="s">
        <v>85</v>
      </c>
      <c r="B243" t="s">
        <v>113</v>
      </c>
      <c r="C243" s="2" t="s">
        <v>30</v>
      </c>
      <c r="D243">
        <v>4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0</v>
      </c>
      <c r="AF243" s="1">
        <v>0</v>
      </c>
      <c r="AG243">
        <v>0</v>
      </c>
    </row>
    <row r="244" spans="1:33" x14ac:dyDescent="0.3">
      <c r="A244" t="s">
        <v>85</v>
      </c>
      <c r="B244" t="s">
        <v>113</v>
      </c>
      <c r="C244" s="2" t="s">
        <v>33</v>
      </c>
      <c r="D244">
        <v>2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s="1">
        <v>0</v>
      </c>
      <c r="AG244">
        <v>0</v>
      </c>
    </row>
    <row r="245" spans="1:33" x14ac:dyDescent="0.3">
      <c r="A245" t="s">
        <v>85</v>
      </c>
      <c r="B245" t="s">
        <v>113</v>
      </c>
      <c r="C245" s="2" t="s">
        <v>34</v>
      </c>
      <c r="D245">
        <v>2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 s="1">
        <v>0</v>
      </c>
      <c r="AG245">
        <v>0</v>
      </c>
    </row>
    <row r="246" spans="1:33" x14ac:dyDescent="0.3">
      <c r="A246" t="s">
        <v>85</v>
      </c>
      <c r="B246" t="s">
        <v>114</v>
      </c>
      <c r="C246" s="2" t="s">
        <v>30</v>
      </c>
      <c r="D246">
        <v>4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s="1">
        <v>0</v>
      </c>
      <c r="AG246">
        <v>1</v>
      </c>
    </row>
    <row r="247" spans="1:33" x14ac:dyDescent="0.3">
      <c r="A247" t="s">
        <v>85</v>
      </c>
      <c r="B247" t="s">
        <v>114</v>
      </c>
      <c r="C247" s="2" t="s">
        <v>34</v>
      </c>
      <c r="D247">
        <v>4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s="1">
        <v>0</v>
      </c>
      <c r="AG247">
        <v>1</v>
      </c>
    </row>
    <row r="248" spans="1:33" x14ac:dyDescent="0.3">
      <c r="A248" t="s">
        <v>85</v>
      </c>
      <c r="B248" t="s">
        <v>115</v>
      </c>
      <c r="C248" s="2" t="s">
        <v>30</v>
      </c>
      <c r="D248">
        <v>3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s="1">
        <v>0</v>
      </c>
      <c r="AG248">
        <v>0</v>
      </c>
    </row>
    <row r="249" spans="1:33" x14ac:dyDescent="0.3">
      <c r="A249" t="s">
        <v>85</v>
      </c>
      <c r="B249" t="s">
        <v>115</v>
      </c>
      <c r="C249" s="2" t="s">
        <v>33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s="1">
        <v>0</v>
      </c>
      <c r="AG249">
        <v>0</v>
      </c>
    </row>
    <row r="250" spans="1:33" x14ac:dyDescent="0.3">
      <c r="A250" t="s">
        <v>85</v>
      </c>
      <c r="B250" t="s">
        <v>115</v>
      </c>
      <c r="C250" s="2" t="s">
        <v>34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s="1">
        <v>0</v>
      </c>
      <c r="AG250">
        <v>0</v>
      </c>
    </row>
    <row r="251" spans="1:33" x14ac:dyDescent="0.3">
      <c r="A251" t="s">
        <v>85</v>
      </c>
      <c r="B251" t="s">
        <v>116</v>
      </c>
      <c r="C251" s="2" t="s">
        <v>30</v>
      </c>
      <c r="D251">
        <v>3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s="1">
        <v>0</v>
      </c>
      <c r="AG251">
        <v>0</v>
      </c>
    </row>
    <row r="252" spans="1:33" x14ac:dyDescent="0.3">
      <c r="A252" t="s">
        <v>85</v>
      </c>
      <c r="B252" t="s">
        <v>116</v>
      </c>
      <c r="C252" s="2" t="s">
        <v>33</v>
      </c>
      <c r="D252">
        <v>2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s="1">
        <v>0</v>
      </c>
      <c r="AG252">
        <v>0</v>
      </c>
    </row>
    <row r="253" spans="1:33" x14ac:dyDescent="0.3">
      <c r="A253" t="s">
        <v>85</v>
      </c>
      <c r="B253" t="s">
        <v>116</v>
      </c>
      <c r="C253" s="2" t="s">
        <v>34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s="1">
        <v>0</v>
      </c>
      <c r="AG253">
        <v>0</v>
      </c>
    </row>
    <row r="254" spans="1:33" x14ac:dyDescent="0.3">
      <c r="A254" t="s">
        <v>85</v>
      </c>
      <c r="B254" t="s">
        <v>117</v>
      </c>
      <c r="C254" s="2" t="s">
        <v>30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 s="1">
        <v>0</v>
      </c>
      <c r="AG254">
        <v>0</v>
      </c>
    </row>
    <row r="255" spans="1:33" x14ac:dyDescent="0.3">
      <c r="A255" t="s">
        <v>85</v>
      </c>
      <c r="B255" t="s">
        <v>117</v>
      </c>
      <c r="C255" s="2" t="s">
        <v>33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 s="1">
        <v>0</v>
      </c>
      <c r="AG255">
        <v>0</v>
      </c>
    </row>
    <row r="256" spans="1:33" x14ac:dyDescent="0.3">
      <c r="A256" t="s">
        <v>118</v>
      </c>
      <c r="B256" t="s">
        <v>30</v>
      </c>
      <c r="C256" s="2" t="s">
        <v>30</v>
      </c>
      <c r="D256" s="1">
        <v>52535</v>
      </c>
      <c r="E256">
        <v>14</v>
      </c>
      <c r="F256" s="1">
        <v>8260</v>
      </c>
      <c r="G256">
        <v>0</v>
      </c>
      <c r="H256" s="1">
        <v>2347</v>
      </c>
      <c r="I256">
        <v>21</v>
      </c>
      <c r="J256">
        <v>119</v>
      </c>
      <c r="K256">
        <v>127</v>
      </c>
      <c r="L256">
        <v>870</v>
      </c>
      <c r="M256">
        <v>527</v>
      </c>
      <c r="N256">
        <v>525</v>
      </c>
      <c r="O256">
        <v>268</v>
      </c>
      <c r="P256" s="1">
        <v>1861</v>
      </c>
      <c r="Q256">
        <v>231</v>
      </c>
      <c r="R256">
        <v>59</v>
      </c>
      <c r="S256">
        <v>86</v>
      </c>
      <c r="T256">
        <v>780</v>
      </c>
      <c r="U256" s="1">
        <v>1549</v>
      </c>
      <c r="V256">
        <v>0</v>
      </c>
      <c r="W256">
        <v>16</v>
      </c>
      <c r="X256">
        <v>0</v>
      </c>
      <c r="Y256" s="1">
        <v>4240</v>
      </c>
      <c r="Z256" s="1">
        <v>2037</v>
      </c>
      <c r="AA256" s="1">
        <v>4067</v>
      </c>
      <c r="AB256" s="1">
        <v>3843</v>
      </c>
      <c r="AC256" s="1">
        <v>7690</v>
      </c>
      <c r="AD256" s="1">
        <v>8911</v>
      </c>
      <c r="AE256" s="1">
        <v>1575</v>
      </c>
      <c r="AF256">
        <v>287</v>
      </c>
      <c r="AG256" s="1">
        <v>2225</v>
      </c>
    </row>
    <row r="257" spans="1:33" x14ac:dyDescent="0.3">
      <c r="A257" t="s">
        <v>118</v>
      </c>
      <c r="B257" t="s">
        <v>30</v>
      </c>
      <c r="C257" s="2" t="s">
        <v>33</v>
      </c>
      <c r="D257" s="1">
        <f>D260+D263+D266+D269+D272+D275+D278+D281+D284+D287+D290+D293+D296+D299+D302+D305+D308+D311+D314+D317+D320+D323+D326+D329+D332+D335+D338+D341+D344+D347+D350+D353+D356+D359+D362+D365+D368+D371+D374+D377+D380+D383+D386+D389+D392+D395+D398+D401+D405+D407</f>
        <v>24911</v>
      </c>
      <c r="E257" s="1">
        <f t="shared" ref="E257:AG257" si="8">E260+E263+E266+E269+E272+E275+E278+E281+E284+E287+E290+E293+E296+E299+E302+E305+E308+E311+E314+E317+E320+E323+E326+E329+E332+E335+E338+E341+E344+E347+E350+E353+E356+E359+E362+E365+E368+E371+E374+E377+E380+E383+E386+E389+E392+E395+E398+E401+E405+E407</f>
        <v>4</v>
      </c>
      <c r="F257" s="1">
        <f t="shared" si="8"/>
        <v>2879</v>
      </c>
      <c r="G257" s="1">
        <f t="shared" si="8"/>
        <v>0</v>
      </c>
      <c r="H257" s="1">
        <f t="shared" si="8"/>
        <v>411</v>
      </c>
      <c r="I257" s="1">
        <f t="shared" si="8"/>
        <v>12</v>
      </c>
      <c r="J257" s="1">
        <f t="shared" si="8"/>
        <v>74</v>
      </c>
      <c r="K257" s="1">
        <f t="shared" si="8"/>
        <v>114</v>
      </c>
      <c r="L257" s="1">
        <f t="shared" si="8"/>
        <v>726</v>
      </c>
      <c r="M257" s="1">
        <f t="shared" si="8"/>
        <v>497</v>
      </c>
      <c r="N257" s="1">
        <f t="shared" si="8"/>
        <v>121</v>
      </c>
      <c r="O257" s="1">
        <f t="shared" si="8"/>
        <v>211</v>
      </c>
      <c r="P257" s="1">
        <f t="shared" si="8"/>
        <v>737</v>
      </c>
      <c r="Q257" s="1">
        <f t="shared" si="8"/>
        <v>183</v>
      </c>
      <c r="R257" s="1">
        <f t="shared" si="8"/>
        <v>57</v>
      </c>
      <c r="S257" s="1">
        <f t="shared" si="8"/>
        <v>84</v>
      </c>
      <c r="T257" s="1">
        <f t="shared" si="8"/>
        <v>301</v>
      </c>
      <c r="U257" s="1">
        <f t="shared" si="8"/>
        <v>901</v>
      </c>
      <c r="V257" s="1">
        <f t="shared" si="8"/>
        <v>0</v>
      </c>
      <c r="W257" s="1">
        <f t="shared" si="8"/>
        <v>6</v>
      </c>
      <c r="X257" s="1">
        <f t="shared" si="8"/>
        <v>0</v>
      </c>
      <c r="Y257" s="1">
        <f t="shared" si="8"/>
        <v>1845</v>
      </c>
      <c r="Z257" s="1">
        <f t="shared" si="8"/>
        <v>887</v>
      </c>
      <c r="AA257" s="1">
        <f t="shared" si="8"/>
        <v>1690</v>
      </c>
      <c r="AB257" s="1">
        <f t="shared" si="8"/>
        <v>2107</v>
      </c>
      <c r="AC257" s="1">
        <f t="shared" si="8"/>
        <v>3201</v>
      </c>
      <c r="AD257" s="1">
        <f t="shared" si="8"/>
        <v>6180</v>
      </c>
      <c r="AE257" s="1">
        <f t="shared" si="8"/>
        <v>400</v>
      </c>
      <c r="AF257" s="1">
        <f t="shared" si="8"/>
        <v>127</v>
      </c>
      <c r="AG257" s="1">
        <f t="shared" si="8"/>
        <v>1156</v>
      </c>
    </row>
    <row r="258" spans="1:33" x14ac:dyDescent="0.3">
      <c r="A258" t="s">
        <v>118</v>
      </c>
      <c r="B258" t="s">
        <v>30</v>
      </c>
      <c r="C258" s="2" t="s">
        <v>34</v>
      </c>
      <c r="D258" s="1">
        <f>D261+D264+D267+D270+D273+D276+D279+D282+D285+D288+D291+D294+D297+D300+D303+D306+D309+D312+D315+D318+D321+D324+D327+D330+D333+D336+D339+D342+D345+D348+D351+D354+D357+D360+D363+D366+D369+D372+D375+D378+D381+D384+D387+D390+D393+D396+D399+D403</f>
        <v>27624</v>
      </c>
      <c r="E258" s="1">
        <f t="shared" ref="E258:AG258" si="9">E261+E264+E267+E270+E273+E276+E279+E282+E285+E288+E291+E294+E297+E300+E303+E306+E309+E312+E315+E318+E321+E324+E327+E330+E333+E336+E339+E342+E345+E348+E351+E354+E357+E360+E363+E366+E369+E372+E375+E378+E381+E384+E387+E390+E393+E396+E399+E403</f>
        <v>10</v>
      </c>
      <c r="F258" s="1">
        <f t="shared" si="9"/>
        <v>5381</v>
      </c>
      <c r="G258" s="1">
        <f t="shared" si="9"/>
        <v>0</v>
      </c>
      <c r="H258" s="1">
        <f t="shared" si="9"/>
        <v>1936</v>
      </c>
      <c r="I258" s="1">
        <f t="shared" si="9"/>
        <v>9</v>
      </c>
      <c r="J258" s="1">
        <f t="shared" si="9"/>
        <v>45</v>
      </c>
      <c r="K258" s="1">
        <f t="shared" si="9"/>
        <v>13</v>
      </c>
      <c r="L258" s="1">
        <f t="shared" si="9"/>
        <v>144</v>
      </c>
      <c r="M258" s="1">
        <f t="shared" si="9"/>
        <v>30</v>
      </c>
      <c r="N258" s="1">
        <f t="shared" si="9"/>
        <v>404</v>
      </c>
      <c r="O258" s="1">
        <f t="shared" si="9"/>
        <v>57</v>
      </c>
      <c r="P258" s="1">
        <f t="shared" si="9"/>
        <v>1124</v>
      </c>
      <c r="Q258" s="1">
        <f t="shared" si="9"/>
        <v>48</v>
      </c>
      <c r="R258" s="1">
        <f t="shared" si="9"/>
        <v>2</v>
      </c>
      <c r="S258" s="1">
        <f t="shared" si="9"/>
        <v>2</v>
      </c>
      <c r="T258" s="1">
        <f t="shared" si="9"/>
        <v>479</v>
      </c>
      <c r="U258" s="1">
        <f t="shared" si="9"/>
        <v>648</v>
      </c>
      <c r="V258" s="1">
        <f t="shared" si="9"/>
        <v>0</v>
      </c>
      <c r="W258" s="1">
        <f t="shared" si="9"/>
        <v>10</v>
      </c>
      <c r="X258" s="1">
        <f t="shared" si="9"/>
        <v>0</v>
      </c>
      <c r="Y258" s="1">
        <f t="shared" si="9"/>
        <v>2395</v>
      </c>
      <c r="Z258" s="1">
        <f t="shared" si="9"/>
        <v>1150</v>
      </c>
      <c r="AA258" s="1">
        <f t="shared" si="9"/>
        <v>2377</v>
      </c>
      <c r="AB258" s="1">
        <f t="shared" si="9"/>
        <v>1736</v>
      </c>
      <c r="AC258" s="1">
        <f t="shared" si="9"/>
        <v>4489</v>
      </c>
      <c r="AD258" s="1">
        <f t="shared" si="9"/>
        <v>2731</v>
      </c>
      <c r="AE258" s="1">
        <f t="shared" si="9"/>
        <v>1175</v>
      </c>
      <c r="AF258" s="1">
        <f t="shared" si="9"/>
        <v>160</v>
      </c>
      <c r="AG258" s="1">
        <f t="shared" si="9"/>
        <v>1069</v>
      </c>
    </row>
    <row r="259" spans="1:33" x14ac:dyDescent="0.3">
      <c r="A259" t="s">
        <v>118</v>
      </c>
      <c r="B259" t="s">
        <v>119</v>
      </c>
      <c r="C259" s="2" t="s">
        <v>30</v>
      </c>
      <c r="D259" s="1">
        <v>22138</v>
      </c>
      <c r="E259">
        <v>1</v>
      </c>
      <c r="F259" s="1">
        <v>1675</v>
      </c>
      <c r="G259">
        <v>0</v>
      </c>
      <c r="H259" s="1">
        <v>1008</v>
      </c>
      <c r="I259">
        <v>2</v>
      </c>
      <c r="J259">
        <v>11</v>
      </c>
      <c r="K259">
        <v>25</v>
      </c>
      <c r="L259">
        <v>165</v>
      </c>
      <c r="M259">
        <v>70</v>
      </c>
      <c r="N259">
        <v>164</v>
      </c>
      <c r="O259">
        <v>31</v>
      </c>
      <c r="P259">
        <v>12</v>
      </c>
      <c r="Q259">
        <v>48</v>
      </c>
      <c r="R259">
        <v>3</v>
      </c>
      <c r="S259">
        <v>13</v>
      </c>
      <c r="T259">
        <v>223</v>
      </c>
      <c r="U259">
        <v>223</v>
      </c>
      <c r="V259">
        <v>0</v>
      </c>
      <c r="W259">
        <v>15</v>
      </c>
      <c r="X259">
        <v>0</v>
      </c>
      <c r="Y259" s="1">
        <v>2983</v>
      </c>
      <c r="Z259">
        <v>910</v>
      </c>
      <c r="AA259" s="1">
        <v>2112</v>
      </c>
      <c r="AB259">
        <v>775</v>
      </c>
      <c r="AC259" s="1">
        <v>2263</v>
      </c>
      <c r="AD259" s="1">
        <v>8593</v>
      </c>
      <c r="AE259" s="1">
        <v>0</v>
      </c>
      <c r="AF259" s="1">
        <v>0</v>
      </c>
      <c r="AG259">
        <v>813</v>
      </c>
    </row>
    <row r="260" spans="1:33" x14ac:dyDescent="0.3">
      <c r="A260" t="s">
        <v>118</v>
      </c>
      <c r="B260" t="s">
        <v>119</v>
      </c>
      <c r="C260" s="2" t="s">
        <v>33</v>
      </c>
      <c r="D260" s="1">
        <v>10315</v>
      </c>
      <c r="E260">
        <v>1</v>
      </c>
      <c r="F260">
        <v>297</v>
      </c>
      <c r="G260">
        <v>0</v>
      </c>
      <c r="H260">
        <v>146</v>
      </c>
      <c r="I260">
        <v>1</v>
      </c>
      <c r="J260">
        <v>8</v>
      </c>
      <c r="K260">
        <v>25</v>
      </c>
      <c r="L260">
        <v>132</v>
      </c>
      <c r="M260">
        <v>66</v>
      </c>
      <c r="N260">
        <v>26</v>
      </c>
      <c r="O260">
        <v>14</v>
      </c>
      <c r="P260">
        <v>1</v>
      </c>
      <c r="Q260">
        <v>43</v>
      </c>
      <c r="R260">
        <v>3</v>
      </c>
      <c r="S260">
        <v>13</v>
      </c>
      <c r="T260">
        <v>63</v>
      </c>
      <c r="U260">
        <v>124</v>
      </c>
      <c r="V260">
        <v>0</v>
      </c>
      <c r="W260">
        <v>5</v>
      </c>
      <c r="X260">
        <v>0</v>
      </c>
      <c r="Y260" s="1">
        <v>1260</v>
      </c>
      <c r="Z260">
        <v>335</v>
      </c>
      <c r="AA260">
        <v>860</v>
      </c>
      <c r="AB260">
        <v>224</v>
      </c>
      <c r="AC260">
        <v>162</v>
      </c>
      <c r="AD260" s="1">
        <v>6081</v>
      </c>
      <c r="AE260" s="1">
        <v>0</v>
      </c>
      <c r="AF260" s="1">
        <v>0</v>
      </c>
      <c r="AG260">
        <v>425</v>
      </c>
    </row>
    <row r="261" spans="1:33" x14ac:dyDescent="0.3">
      <c r="A261" t="s">
        <v>118</v>
      </c>
      <c r="B261" t="s">
        <v>119</v>
      </c>
      <c r="C261" s="2" t="s">
        <v>34</v>
      </c>
      <c r="D261" s="1">
        <v>11823</v>
      </c>
      <c r="E261">
        <v>0</v>
      </c>
      <c r="F261" s="1">
        <v>1378</v>
      </c>
      <c r="G261">
        <v>0</v>
      </c>
      <c r="H261">
        <v>862</v>
      </c>
      <c r="I261">
        <v>1</v>
      </c>
      <c r="J261">
        <v>3</v>
      </c>
      <c r="K261">
        <v>0</v>
      </c>
      <c r="L261">
        <v>33</v>
      </c>
      <c r="M261">
        <v>4</v>
      </c>
      <c r="N261">
        <v>138</v>
      </c>
      <c r="O261">
        <v>17</v>
      </c>
      <c r="P261">
        <v>11</v>
      </c>
      <c r="Q261">
        <v>5</v>
      </c>
      <c r="R261">
        <v>0</v>
      </c>
      <c r="S261">
        <v>0</v>
      </c>
      <c r="T261">
        <v>160</v>
      </c>
      <c r="U261">
        <v>99</v>
      </c>
      <c r="V261">
        <v>0</v>
      </c>
      <c r="W261">
        <v>10</v>
      </c>
      <c r="X261">
        <v>0</v>
      </c>
      <c r="Y261" s="1">
        <v>1723</v>
      </c>
      <c r="Z261">
        <v>575</v>
      </c>
      <c r="AA261" s="1">
        <v>1252</v>
      </c>
      <c r="AB261">
        <v>551</v>
      </c>
      <c r="AC261" s="1">
        <v>2101</v>
      </c>
      <c r="AD261" s="1">
        <v>2512</v>
      </c>
      <c r="AE261" s="1">
        <v>0</v>
      </c>
      <c r="AF261" s="1">
        <v>0</v>
      </c>
      <c r="AG261">
        <v>388</v>
      </c>
    </row>
    <row r="262" spans="1:33" x14ac:dyDescent="0.3">
      <c r="A262" t="s">
        <v>118</v>
      </c>
      <c r="B262" t="s">
        <v>120</v>
      </c>
      <c r="C262" s="2" t="s">
        <v>30</v>
      </c>
      <c r="D262" s="1">
        <v>5552</v>
      </c>
      <c r="E262">
        <v>6</v>
      </c>
      <c r="F262" s="1">
        <v>1718</v>
      </c>
      <c r="G262">
        <v>0</v>
      </c>
      <c r="H262">
        <v>364</v>
      </c>
      <c r="I262">
        <v>11</v>
      </c>
      <c r="J262">
        <v>8</v>
      </c>
      <c r="K262">
        <v>18</v>
      </c>
      <c r="L262">
        <v>182</v>
      </c>
      <c r="M262">
        <v>95</v>
      </c>
      <c r="N262">
        <v>82</v>
      </c>
      <c r="O262">
        <v>27</v>
      </c>
      <c r="P262">
        <v>24</v>
      </c>
      <c r="Q262">
        <v>25</v>
      </c>
      <c r="R262">
        <v>7</v>
      </c>
      <c r="S262">
        <v>7</v>
      </c>
      <c r="T262">
        <v>103</v>
      </c>
      <c r="U262">
        <v>318</v>
      </c>
      <c r="V262">
        <v>0</v>
      </c>
      <c r="W262">
        <v>0</v>
      </c>
      <c r="X262">
        <v>0</v>
      </c>
      <c r="Y262">
        <v>29</v>
      </c>
      <c r="Z262">
        <v>218</v>
      </c>
      <c r="AA262">
        <v>299</v>
      </c>
      <c r="AB262">
        <v>167</v>
      </c>
      <c r="AC262">
        <v>969</v>
      </c>
      <c r="AD262">
        <v>3</v>
      </c>
      <c r="AE262">
        <v>675</v>
      </c>
      <c r="AF262" s="1">
        <v>0</v>
      </c>
      <c r="AG262">
        <v>197</v>
      </c>
    </row>
    <row r="263" spans="1:33" x14ac:dyDescent="0.3">
      <c r="A263" t="s">
        <v>118</v>
      </c>
      <c r="B263" t="s">
        <v>120</v>
      </c>
      <c r="C263" s="2" t="s">
        <v>33</v>
      </c>
      <c r="D263" s="1">
        <v>2758</v>
      </c>
      <c r="E263">
        <v>2</v>
      </c>
      <c r="F263">
        <v>776</v>
      </c>
      <c r="G263">
        <v>0</v>
      </c>
      <c r="H263">
        <v>113</v>
      </c>
      <c r="I263">
        <v>7</v>
      </c>
      <c r="J263">
        <v>6</v>
      </c>
      <c r="K263">
        <v>16</v>
      </c>
      <c r="L263">
        <v>142</v>
      </c>
      <c r="M263">
        <v>88</v>
      </c>
      <c r="N263">
        <v>26</v>
      </c>
      <c r="O263">
        <v>22</v>
      </c>
      <c r="P263">
        <v>4</v>
      </c>
      <c r="Q263">
        <v>19</v>
      </c>
      <c r="R263">
        <v>7</v>
      </c>
      <c r="S263">
        <v>6</v>
      </c>
      <c r="T263">
        <v>49</v>
      </c>
      <c r="U263">
        <v>172</v>
      </c>
      <c r="V263">
        <v>0</v>
      </c>
      <c r="W263">
        <v>0</v>
      </c>
      <c r="X263">
        <v>0</v>
      </c>
      <c r="Y263">
        <v>21</v>
      </c>
      <c r="Z263">
        <v>116</v>
      </c>
      <c r="AA263">
        <v>137</v>
      </c>
      <c r="AB263">
        <v>135</v>
      </c>
      <c r="AC263">
        <v>608</v>
      </c>
      <c r="AD263">
        <v>2</v>
      </c>
      <c r="AE263">
        <v>172</v>
      </c>
      <c r="AF263" s="1">
        <v>0</v>
      </c>
      <c r="AG263">
        <v>112</v>
      </c>
    </row>
    <row r="264" spans="1:33" x14ac:dyDescent="0.3">
      <c r="A264" t="s">
        <v>118</v>
      </c>
      <c r="B264" t="s">
        <v>120</v>
      </c>
      <c r="C264" s="2" t="s">
        <v>34</v>
      </c>
      <c r="D264" s="1">
        <v>2794</v>
      </c>
      <c r="E264">
        <v>4</v>
      </c>
      <c r="F264">
        <v>942</v>
      </c>
      <c r="G264">
        <v>0</v>
      </c>
      <c r="H264">
        <v>251</v>
      </c>
      <c r="I264">
        <v>4</v>
      </c>
      <c r="J264">
        <v>2</v>
      </c>
      <c r="K264">
        <v>2</v>
      </c>
      <c r="L264">
        <v>40</v>
      </c>
      <c r="M264">
        <v>7</v>
      </c>
      <c r="N264">
        <v>56</v>
      </c>
      <c r="O264">
        <v>5</v>
      </c>
      <c r="P264">
        <v>20</v>
      </c>
      <c r="Q264">
        <v>6</v>
      </c>
      <c r="R264">
        <v>0</v>
      </c>
      <c r="S264">
        <v>1</v>
      </c>
      <c r="T264">
        <v>54</v>
      </c>
      <c r="U264">
        <v>146</v>
      </c>
      <c r="V264">
        <v>0</v>
      </c>
      <c r="W264">
        <v>0</v>
      </c>
      <c r="X264">
        <v>0</v>
      </c>
      <c r="Y264">
        <v>8</v>
      </c>
      <c r="Z264">
        <v>102</v>
      </c>
      <c r="AA264">
        <v>162</v>
      </c>
      <c r="AB264">
        <v>32</v>
      </c>
      <c r="AC264">
        <v>361</v>
      </c>
      <c r="AD264">
        <v>1</v>
      </c>
      <c r="AE264">
        <v>503</v>
      </c>
      <c r="AF264" s="1">
        <v>0</v>
      </c>
      <c r="AG264">
        <v>85</v>
      </c>
    </row>
    <row r="265" spans="1:33" x14ac:dyDescent="0.3">
      <c r="A265" t="s">
        <v>118</v>
      </c>
      <c r="B265" t="s">
        <v>121</v>
      </c>
      <c r="C265" s="2" t="s">
        <v>30</v>
      </c>
      <c r="D265" s="1">
        <v>5169</v>
      </c>
      <c r="E265">
        <v>2</v>
      </c>
      <c r="F265">
        <v>309</v>
      </c>
      <c r="G265">
        <v>0</v>
      </c>
      <c r="H265">
        <v>43</v>
      </c>
      <c r="I265">
        <v>4</v>
      </c>
      <c r="J265">
        <v>8</v>
      </c>
      <c r="K265">
        <v>18</v>
      </c>
      <c r="L265">
        <v>80</v>
      </c>
      <c r="M265">
        <v>48</v>
      </c>
      <c r="N265">
        <v>49</v>
      </c>
      <c r="O265">
        <v>69</v>
      </c>
      <c r="P265" s="1">
        <v>1598</v>
      </c>
      <c r="Q265">
        <v>16</v>
      </c>
      <c r="R265">
        <v>17</v>
      </c>
      <c r="S265">
        <v>9</v>
      </c>
      <c r="T265">
        <v>60</v>
      </c>
      <c r="U265">
        <v>366</v>
      </c>
      <c r="V265">
        <v>0</v>
      </c>
      <c r="W265">
        <v>0</v>
      </c>
      <c r="X265">
        <v>0</v>
      </c>
      <c r="Y265">
        <v>71</v>
      </c>
      <c r="Z265">
        <v>239</v>
      </c>
      <c r="AA265">
        <v>238</v>
      </c>
      <c r="AB265">
        <v>276</v>
      </c>
      <c r="AC265" s="1">
        <v>1361</v>
      </c>
      <c r="AD265">
        <v>4</v>
      </c>
      <c r="AE265">
        <v>104</v>
      </c>
      <c r="AF265" s="1">
        <v>0</v>
      </c>
      <c r="AG265">
        <v>180</v>
      </c>
    </row>
    <row r="266" spans="1:33" x14ac:dyDescent="0.3">
      <c r="A266" t="s">
        <v>118</v>
      </c>
      <c r="B266" t="s">
        <v>121</v>
      </c>
      <c r="C266" s="2" t="s">
        <v>33</v>
      </c>
      <c r="D266" s="1">
        <v>2982</v>
      </c>
      <c r="E266">
        <v>0</v>
      </c>
      <c r="F266">
        <v>101</v>
      </c>
      <c r="G266">
        <v>0</v>
      </c>
      <c r="H266">
        <v>12</v>
      </c>
      <c r="I266">
        <v>2</v>
      </c>
      <c r="J266">
        <v>6</v>
      </c>
      <c r="K266">
        <v>18</v>
      </c>
      <c r="L266">
        <v>71</v>
      </c>
      <c r="M266">
        <v>44</v>
      </c>
      <c r="N266">
        <v>22</v>
      </c>
      <c r="O266">
        <v>60</v>
      </c>
      <c r="P266">
        <v>634</v>
      </c>
      <c r="Q266">
        <v>15</v>
      </c>
      <c r="R266">
        <v>17</v>
      </c>
      <c r="S266">
        <v>9</v>
      </c>
      <c r="T266">
        <v>41</v>
      </c>
      <c r="U266">
        <v>218</v>
      </c>
      <c r="V266">
        <v>0</v>
      </c>
      <c r="W266">
        <v>0</v>
      </c>
      <c r="X266">
        <v>0</v>
      </c>
      <c r="Y266">
        <v>46</v>
      </c>
      <c r="Z266">
        <v>136</v>
      </c>
      <c r="AA266">
        <v>109</v>
      </c>
      <c r="AB266">
        <v>220</v>
      </c>
      <c r="AC266" s="1">
        <v>1055</v>
      </c>
      <c r="AD266">
        <v>2</v>
      </c>
      <c r="AE266">
        <v>44</v>
      </c>
      <c r="AF266" s="1">
        <v>0</v>
      </c>
      <c r="AG266">
        <v>100</v>
      </c>
    </row>
    <row r="267" spans="1:33" x14ac:dyDescent="0.3">
      <c r="A267" t="s">
        <v>118</v>
      </c>
      <c r="B267" t="s">
        <v>121</v>
      </c>
      <c r="C267" s="2" t="s">
        <v>34</v>
      </c>
      <c r="D267" s="1">
        <v>2187</v>
      </c>
      <c r="E267">
        <v>2</v>
      </c>
      <c r="F267">
        <v>208</v>
      </c>
      <c r="G267">
        <v>0</v>
      </c>
      <c r="H267">
        <v>31</v>
      </c>
      <c r="I267">
        <v>2</v>
      </c>
      <c r="J267">
        <v>2</v>
      </c>
      <c r="K267">
        <v>0</v>
      </c>
      <c r="L267">
        <v>9</v>
      </c>
      <c r="M267">
        <v>4</v>
      </c>
      <c r="N267">
        <v>27</v>
      </c>
      <c r="O267">
        <v>9</v>
      </c>
      <c r="P267">
        <v>964</v>
      </c>
      <c r="Q267">
        <v>1</v>
      </c>
      <c r="R267">
        <v>0</v>
      </c>
      <c r="S267">
        <v>0</v>
      </c>
      <c r="T267">
        <v>19</v>
      </c>
      <c r="U267">
        <v>148</v>
      </c>
      <c r="V267">
        <v>0</v>
      </c>
      <c r="W267">
        <v>0</v>
      </c>
      <c r="X267">
        <v>0</v>
      </c>
      <c r="Y267">
        <v>25</v>
      </c>
      <c r="Z267">
        <v>103</v>
      </c>
      <c r="AA267">
        <v>129</v>
      </c>
      <c r="AB267">
        <v>56</v>
      </c>
      <c r="AC267">
        <v>306</v>
      </c>
      <c r="AD267">
        <v>2</v>
      </c>
      <c r="AE267">
        <v>60</v>
      </c>
      <c r="AF267" s="1">
        <v>0</v>
      </c>
      <c r="AG267">
        <v>80</v>
      </c>
    </row>
    <row r="268" spans="1:33" x14ac:dyDescent="0.3">
      <c r="A268" t="s">
        <v>118</v>
      </c>
      <c r="B268" t="s">
        <v>122</v>
      </c>
      <c r="C268" s="2" t="s">
        <v>30</v>
      </c>
      <c r="D268" s="1">
        <v>3168</v>
      </c>
      <c r="E268">
        <v>1</v>
      </c>
      <c r="F268" s="1">
        <v>1182</v>
      </c>
      <c r="G268">
        <v>0</v>
      </c>
      <c r="H268">
        <v>116</v>
      </c>
      <c r="I268">
        <v>2</v>
      </c>
      <c r="J268">
        <v>13</v>
      </c>
      <c r="K268">
        <v>11</v>
      </c>
      <c r="L268">
        <v>133</v>
      </c>
      <c r="M268">
        <v>26</v>
      </c>
      <c r="N268">
        <v>36</v>
      </c>
      <c r="O268">
        <v>58</v>
      </c>
      <c r="P268">
        <v>15</v>
      </c>
      <c r="Q268">
        <v>33</v>
      </c>
      <c r="R268">
        <v>3</v>
      </c>
      <c r="S268">
        <v>8</v>
      </c>
      <c r="T268">
        <v>35</v>
      </c>
      <c r="U268">
        <v>132</v>
      </c>
      <c r="V268">
        <v>0</v>
      </c>
      <c r="W268">
        <v>0</v>
      </c>
      <c r="X268">
        <v>0</v>
      </c>
      <c r="Y268">
        <v>30</v>
      </c>
      <c r="Z268">
        <v>106</v>
      </c>
      <c r="AA268">
        <v>132</v>
      </c>
      <c r="AB268">
        <v>186</v>
      </c>
      <c r="AC268">
        <v>521</v>
      </c>
      <c r="AD268">
        <v>2</v>
      </c>
      <c r="AE268">
        <v>211</v>
      </c>
      <c r="AF268" s="1">
        <v>0</v>
      </c>
      <c r="AG268">
        <v>176</v>
      </c>
    </row>
    <row r="269" spans="1:33" x14ac:dyDescent="0.3">
      <c r="A269" t="s">
        <v>118</v>
      </c>
      <c r="B269" t="s">
        <v>122</v>
      </c>
      <c r="C269" s="2" t="s">
        <v>33</v>
      </c>
      <c r="D269" s="1">
        <v>1575</v>
      </c>
      <c r="E269">
        <v>0</v>
      </c>
      <c r="F269">
        <v>475</v>
      </c>
      <c r="G269">
        <v>0</v>
      </c>
      <c r="H269">
        <v>23</v>
      </c>
      <c r="I269">
        <v>1</v>
      </c>
      <c r="J269">
        <v>8</v>
      </c>
      <c r="K269">
        <v>9</v>
      </c>
      <c r="L269">
        <v>126</v>
      </c>
      <c r="M269">
        <v>26</v>
      </c>
      <c r="N269">
        <v>12</v>
      </c>
      <c r="O269">
        <v>52</v>
      </c>
      <c r="P269">
        <v>4</v>
      </c>
      <c r="Q269">
        <v>24</v>
      </c>
      <c r="R269">
        <v>3</v>
      </c>
      <c r="S269">
        <v>8</v>
      </c>
      <c r="T269">
        <v>10</v>
      </c>
      <c r="U269">
        <v>83</v>
      </c>
      <c r="V269">
        <v>0</v>
      </c>
      <c r="W269">
        <v>0</v>
      </c>
      <c r="X269">
        <v>0</v>
      </c>
      <c r="Y269">
        <v>24</v>
      </c>
      <c r="Z269">
        <v>47</v>
      </c>
      <c r="AA269">
        <v>52</v>
      </c>
      <c r="AB269">
        <v>130</v>
      </c>
      <c r="AC269">
        <v>326</v>
      </c>
      <c r="AD269">
        <v>2</v>
      </c>
      <c r="AE269">
        <v>53</v>
      </c>
      <c r="AF269" s="1">
        <v>0</v>
      </c>
      <c r="AG269">
        <v>77</v>
      </c>
    </row>
    <row r="270" spans="1:33" x14ac:dyDescent="0.3">
      <c r="A270" t="s">
        <v>118</v>
      </c>
      <c r="B270" t="s">
        <v>122</v>
      </c>
      <c r="C270" s="2" t="s">
        <v>34</v>
      </c>
      <c r="D270" s="1">
        <v>1593</v>
      </c>
      <c r="E270">
        <v>1</v>
      </c>
      <c r="F270">
        <v>707</v>
      </c>
      <c r="G270">
        <v>0</v>
      </c>
      <c r="H270">
        <v>93</v>
      </c>
      <c r="I270">
        <v>1</v>
      </c>
      <c r="J270">
        <v>5</v>
      </c>
      <c r="K270">
        <v>2</v>
      </c>
      <c r="L270">
        <v>7</v>
      </c>
      <c r="M270">
        <v>0</v>
      </c>
      <c r="N270">
        <v>24</v>
      </c>
      <c r="O270">
        <v>6</v>
      </c>
      <c r="P270">
        <v>11</v>
      </c>
      <c r="Q270">
        <v>9</v>
      </c>
      <c r="R270">
        <v>0</v>
      </c>
      <c r="S270">
        <v>0</v>
      </c>
      <c r="T270">
        <v>25</v>
      </c>
      <c r="U270">
        <v>49</v>
      </c>
      <c r="V270">
        <v>0</v>
      </c>
      <c r="W270">
        <v>0</v>
      </c>
      <c r="X270">
        <v>0</v>
      </c>
      <c r="Y270">
        <v>6</v>
      </c>
      <c r="Z270">
        <v>59</v>
      </c>
      <c r="AA270">
        <v>80</v>
      </c>
      <c r="AB270">
        <v>56</v>
      </c>
      <c r="AC270">
        <v>195</v>
      </c>
      <c r="AD270">
        <v>0</v>
      </c>
      <c r="AE270">
        <v>158</v>
      </c>
      <c r="AF270" s="1">
        <v>0</v>
      </c>
      <c r="AG270">
        <v>99</v>
      </c>
    </row>
    <row r="271" spans="1:33" x14ac:dyDescent="0.3">
      <c r="A271" t="s">
        <v>118</v>
      </c>
      <c r="B271" t="s">
        <v>123</v>
      </c>
      <c r="C271" s="2" t="s">
        <v>30</v>
      </c>
      <c r="D271" s="1">
        <v>2712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434</v>
      </c>
      <c r="Z271">
        <v>61</v>
      </c>
      <c r="AA271">
        <v>240</v>
      </c>
      <c r="AB271" s="1">
        <v>1869</v>
      </c>
      <c r="AC271">
        <v>94</v>
      </c>
      <c r="AD271">
        <v>2</v>
      </c>
      <c r="AE271">
        <v>0</v>
      </c>
      <c r="AF271">
        <v>4</v>
      </c>
      <c r="AG271">
        <v>5</v>
      </c>
    </row>
    <row r="272" spans="1:33" x14ac:dyDescent="0.3">
      <c r="A272" t="s">
        <v>118</v>
      </c>
      <c r="B272" t="s">
        <v>123</v>
      </c>
      <c r="C272" s="2" t="s">
        <v>33</v>
      </c>
      <c r="D272" s="1">
        <v>1437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201</v>
      </c>
      <c r="Z272">
        <v>33</v>
      </c>
      <c r="AA272">
        <v>122</v>
      </c>
      <c r="AB272" s="1">
        <v>1059</v>
      </c>
      <c r="AC272">
        <v>13</v>
      </c>
      <c r="AD272">
        <v>1</v>
      </c>
      <c r="AE272">
        <v>0</v>
      </c>
      <c r="AF272">
        <v>4</v>
      </c>
      <c r="AG272">
        <v>2</v>
      </c>
    </row>
    <row r="273" spans="1:33" x14ac:dyDescent="0.3">
      <c r="A273" t="s">
        <v>118</v>
      </c>
      <c r="B273" t="s">
        <v>123</v>
      </c>
      <c r="C273" s="2" t="s">
        <v>34</v>
      </c>
      <c r="D273" s="1">
        <v>1275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233</v>
      </c>
      <c r="Z273">
        <v>28</v>
      </c>
      <c r="AA273">
        <v>118</v>
      </c>
      <c r="AB273">
        <v>810</v>
      </c>
      <c r="AC273">
        <v>81</v>
      </c>
      <c r="AD273">
        <v>1</v>
      </c>
      <c r="AE273">
        <v>0</v>
      </c>
      <c r="AF273" s="1">
        <v>0</v>
      </c>
      <c r="AG273">
        <v>3</v>
      </c>
    </row>
    <row r="274" spans="1:33" x14ac:dyDescent="0.3">
      <c r="A274" t="s">
        <v>118</v>
      </c>
      <c r="B274" t="s">
        <v>124</v>
      </c>
      <c r="C274" s="2" t="s">
        <v>30</v>
      </c>
      <c r="D274" s="1">
        <v>2583</v>
      </c>
      <c r="E274">
        <v>0</v>
      </c>
      <c r="F274">
        <v>166</v>
      </c>
      <c r="G274">
        <v>0</v>
      </c>
      <c r="H274">
        <v>136</v>
      </c>
      <c r="I274">
        <v>0</v>
      </c>
      <c r="J274">
        <v>1</v>
      </c>
      <c r="K274">
        <v>1</v>
      </c>
      <c r="L274">
        <v>7</v>
      </c>
      <c r="M274">
        <v>15</v>
      </c>
      <c r="N274">
        <v>10</v>
      </c>
      <c r="O274">
        <v>1</v>
      </c>
      <c r="P274">
        <v>1</v>
      </c>
      <c r="Q274">
        <v>12</v>
      </c>
      <c r="R274">
        <v>1</v>
      </c>
      <c r="S274">
        <v>0</v>
      </c>
      <c r="T274">
        <v>95</v>
      </c>
      <c r="U274">
        <v>45</v>
      </c>
      <c r="V274">
        <v>0</v>
      </c>
      <c r="W274">
        <v>1</v>
      </c>
      <c r="X274">
        <v>0</v>
      </c>
      <c r="Y274">
        <v>543</v>
      </c>
      <c r="Z274">
        <v>103</v>
      </c>
      <c r="AA274">
        <v>379</v>
      </c>
      <c r="AB274">
        <v>191</v>
      </c>
      <c r="AC274">
        <v>280</v>
      </c>
      <c r="AD274">
        <v>262</v>
      </c>
      <c r="AE274">
        <v>0</v>
      </c>
      <c r="AF274">
        <v>282</v>
      </c>
      <c r="AG274">
        <v>51</v>
      </c>
    </row>
    <row r="275" spans="1:33" x14ac:dyDescent="0.3">
      <c r="A275" t="s">
        <v>118</v>
      </c>
      <c r="B275" t="s">
        <v>124</v>
      </c>
      <c r="C275" s="2" t="s">
        <v>33</v>
      </c>
      <c r="D275">
        <v>874</v>
      </c>
      <c r="E275">
        <v>0</v>
      </c>
      <c r="F275">
        <v>23</v>
      </c>
      <c r="G275">
        <v>0</v>
      </c>
      <c r="H275">
        <v>5</v>
      </c>
      <c r="I275">
        <v>0</v>
      </c>
      <c r="J275">
        <v>1</v>
      </c>
      <c r="K275">
        <v>1</v>
      </c>
      <c r="L275">
        <v>3</v>
      </c>
      <c r="M275">
        <v>15</v>
      </c>
      <c r="N275">
        <v>0</v>
      </c>
      <c r="O275">
        <v>0</v>
      </c>
      <c r="P275">
        <v>0</v>
      </c>
      <c r="Q275">
        <v>10</v>
      </c>
      <c r="R275">
        <v>1</v>
      </c>
      <c r="S275">
        <v>0</v>
      </c>
      <c r="T275">
        <v>19</v>
      </c>
      <c r="U275">
        <v>27</v>
      </c>
      <c r="V275">
        <v>0</v>
      </c>
      <c r="W275">
        <v>1</v>
      </c>
      <c r="X275">
        <v>0</v>
      </c>
      <c r="Y275">
        <v>218</v>
      </c>
      <c r="Z275">
        <v>35</v>
      </c>
      <c r="AA275">
        <v>166</v>
      </c>
      <c r="AB275">
        <v>114</v>
      </c>
      <c r="AC275">
        <v>27</v>
      </c>
      <c r="AD275">
        <v>66</v>
      </c>
      <c r="AE275">
        <v>0</v>
      </c>
      <c r="AF275">
        <v>122</v>
      </c>
      <c r="AG275">
        <v>20</v>
      </c>
    </row>
    <row r="276" spans="1:33" x14ac:dyDescent="0.3">
      <c r="A276" t="s">
        <v>118</v>
      </c>
      <c r="B276" t="s">
        <v>124</v>
      </c>
      <c r="C276" s="2" t="s">
        <v>34</v>
      </c>
      <c r="D276" s="1">
        <v>1709</v>
      </c>
      <c r="E276">
        <v>0</v>
      </c>
      <c r="F276">
        <v>143</v>
      </c>
      <c r="G276">
        <v>0</v>
      </c>
      <c r="H276">
        <v>131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10</v>
      </c>
      <c r="O276">
        <v>1</v>
      </c>
      <c r="P276">
        <v>1</v>
      </c>
      <c r="Q276">
        <v>2</v>
      </c>
      <c r="R276">
        <v>0</v>
      </c>
      <c r="S276">
        <v>0</v>
      </c>
      <c r="T276">
        <v>76</v>
      </c>
      <c r="U276">
        <v>18</v>
      </c>
      <c r="V276">
        <v>0</v>
      </c>
      <c r="W276">
        <v>0</v>
      </c>
      <c r="X276">
        <v>0</v>
      </c>
      <c r="Y276">
        <v>325</v>
      </c>
      <c r="Z276">
        <v>68</v>
      </c>
      <c r="AA276">
        <v>213</v>
      </c>
      <c r="AB276">
        <v>77</v>
      </c>
      <c r="AC276">
        <v>253</v>
      </c>
      <c r="AD276">
        <v>196</v>
      </c>
      <c r="AE276">
        <v>0</v>
      </c>
      <c r="AF276">
        <v>160</v>
      </c>
      <c r="AG276">
        <v>31</v>
      </c>
    </row>
    <row r="277" spans="1:33" x14ac:dyDescent="0.3">
      <c r="A277" t="s">
        <v>118</v>
      </c>
      <c r="B277" t="s">
        <v>125</v>
      </c>
      <c r="C277" s="2" t="s">
        <v>30</v>
      </c>
      <c r="D277" s="1">
        <v>1483</v>
      </c>
      <c r="E277">
        <v>0</v>
      </c>
      <c r="F277">
        <v>380</v>
      </c>
      <c r="G277">
        <v>0</v>
      </c>
      <c r="H277">
        <v>128</v>
      </c>
      <c r="I277">
        <v>0</v>
      </c>
      <c r="J277">
        <v>13</v>
      </c>
      <c r="K277">
        <v>21</v>
      </c>
      <c r="L277">
        <v>42</v>
      </c>
      <c r="M277">
        <v>45</v>
      </c>
      <c r="N277">
        <v>25</v>
      </c>
      <c r="O277">
        <v>8</v>
      </c>
      <c r="P277">
        <v>2</v>
      </c>
      <c r="Q277">
        <v>12</v>
      </c>
      <c r="R277">
        <v>0</v>
      </c>
      <c r="S277">
        <v>10</v>
      </c>
      <c r="T277">
        <v>35</v>
      </c>
      <c r="U277">
        <v>71</v>
      </c>
      <c r="V277">
        <v>0</v>
      </c>
      <c r="W277">
        <v>0</v>
      </c>
      <c r="X277">
        <v>0</v>
      </c>
      <c r="Y277">
        <v>12</v>
      </c>
      <c r="Z277">
        <v>65</v>
      </c>
      <c r="AA277">
        <v>86</v>
      </c>
      <c r="AB277">
        <v>42</v>
      </c>
      <c r="AC277">
        <v>286</v>
      </c>
      <c r="AD277">
        <v>0</v>
      </c>
      <c r="AE277">
        <v>122</v>
      </c>
      <c r="AF277">
        <v>0</v>
      </c>
      <c r="AG277">
        <v>78</v>
      </c>
    </row>
    <row r="278" spans="1:33" x14ac:dyDescent="0.3">
      <c r="A278" t="s">
        <v>118</v>
      </c>
      <c r="B278" t="s">
        <v>125</v>
      </c>
      <c r="C278" s="2" t="s">
        <v>33</v>
      </c>
      <c r="D278">
        <v>604</v>
      </c>
      <c r="E278">
        <v>0</v>
      </c>
      <c r="F278">
        <v>95</v>
      </c>
      <c r="G278">
        <v>0</v>
      </c>
      <c r="H278">
        <v>16</v>
      </c>
      <c r="I278">
        <v>0</v>
      </c>
      <c r="J278">
        <v>8</v>
      </c>
      <c r="K278">
        <v>19</v>
      </c>
      <c r="L278">
        <v>35</v>
      </c>
      <c r="M278">
        <v>40</v>
      </c>
      <c r="N278">
        <v>3</v>
      </c>
      <c r="O278">
        <v>7</v>
      </c>
      <c r="P278">
        <v>1</v>
      </c>
      <c r="Q278">
        <v>9</v>
      </c>
      <c r="R278">
        <v>0</v>
      </c>
      <c r="S278">
        <v>10</v>
      </c>
      <c r="T278">
        <v>12</v>
      </c>
      <c r="U278">
        <v>45</v>
      </c>
      <c r="V278">
        <v>0</v>
      </c>
      <c r="W278">
        <v>0</v>
      </c>
      <c r="X278">
        <v>0</v>
      </c>
      <c r="Y278">
        <v>6</v>
      </c>
      <c r="Z278">
        <v>26</v>
      </c>
      <c r="AA278">
        <v>27</v>
      </c>
      <c r="AB278">
        <v>25</v>
      </c>
      <c r="AC278">
        <v>159</v>
      </c>
      <c r="AD278">
        <v>0</v>
      </c>
      <c r="AE278">
        <v>23</v>
      </c>
      <c r="AF278">
        <v>0</v>
      </c>
      <c r="AG278">
        <v>38</v>
      </c>
    </row>
    <row r="279" spans="1:33" x14ac:dyDescent="0.3">
      <c r="A279" t="s">
        <v>118</v>
      </c>
      <c r="B279" t="s">
        <v>125</v>
      </c>
      <c r="C279" s="2" t="s">
        <v>34</v>
      </c>
      <c r="D279">
        <v>879</v>
      </c>
      <c r="E279">
        <v>0</v>
      </c>
      <c r="F279">
        <v>285</v>
      </c>
      <c r="G279">
        <v>0</v>
      </c>
      <c r="H279">
        <v>112</v>
      </c>
      <c r="I279">
        <v>0</v>
      </c>
      <c r="J279">
        <v>5</v>
      </c>
      <c r="K279">
        <v>2</v>
      </c>
      <c r="L279">
        <v>7</v>
      </c>
      <c r="M279">
        <v>5</v>
      </c>
      <c r="N279">
        <v>22</v>
      </c>
      <c r="O279">
        <v>1</v>
      </c>
      <c r="P279">
        <v>1</v>
      </c>
      <c r="Q279">
        <v>3</v>
      </c>
      <c r="R279">
        <v>0</v>
      </c>
      <c r="S279">
        <v>0</v>
      </c>
      <c r="T279">
        <v>23</v>
      </c>
      <c r="U279">
        <v>26</v>
      </c>
      <c r="V279">
        <v>0</v>
      </c>
      <c r="W279">
        <v>0</v>
      </c>
      <c r="X279">
        <v>0</v>
      </c>
      <c r="Y279">
        <v>6</v>
      </c>
      <c r="Z279">
        <v>39</v>
      </c>
      <c r="AA279">
        <v>59</v>
      </c>
      <c r="AB279">
        <v>17</v>
      </c>
      <c r="AC279">
        <v>127</v>
      </c>
      <c r="AD279">
        <v>0</v>
      </c>
      <c r="AE279">
        <v>99</v>
      </c>
      <c r="AF279">
        <v>0</v>
      </c>
      <c r="AG279">
        <v>40</v>
      </c>
    </row>
    <row r="280" spans="1:33" x14ac:dyDescent="0.3">
      <c r="A280" t="s">
        <v>118</v>
      </c>
      <c r="B280" t="s">
        <v>126</v>
      </c>
      <c r="C280" s="2" t="s">
        <v>30</v>
      </c>
      <c r="D280" s="1">
        <v>1339</v>
      </c>
      <c r="E280">
        <v>1</v>
      </c>
      <c r="F280">
        <v>391</v>
      </c>
      <c r="G280">
        <v>0</v>
      </c>
      <c r="H280">
        <v>84</v>
      </c>
      <c r="I280">
        <v>0</v>
      </c>
      <c r="J280">
        <v>15</v>
      </c>
      <c r="K280">
        <v>4</v>
      </c>
      <c r="L280">
        <v>28</v>
      </c>
      <c r="M280">
        <v>8</v>
      </c>
      <c r="N280">
        <v>15</v>
      </c>
      <c r="O280">
        <v>9</v>
      </c>
      <c r="P280">
        <v>20</v>
      </c>
      <c r="Q280">
        <v>18</v>
      </c>
      <c r="R280">
        <v>2</v>
      </c>
      <c r="S280">
        <v>5</v>
      </c>
      <c r="T280">
        <v>41</v>
      </c>
      <c r="U280">
        <v>64</v>
      </c>
      <c r="V280">
        <v>0</v>
      </c>
      <c r="W280">
        <v>0</v>
      </c>
      <c r="X280">
        <v>0</v>
      </c>
      <c r="Y280">
        <v>12</v>
      </c>
      <c r="Z280">
        <v>41</v>
      </c>
      <c r="AA280">
        <v>75</v>
      </c>
      <c r="AB280">
        <v>25</v>
      </c>
      <c r="AC280">
        <v>262</v>
      </c>
      <c r="AD280">
        <v>1</v>
      </c>
      <c r="AE280">
        <v>138</v>
      </c>
      <c r="AF280">
        <v>0</v>
      </c>
      <c r="AG280">
        <v>80</v>
      </c>
    </row>
    <row r="281" spans="1:33" x14ac:dyDescent="0.3">
      <c r="A281" t="s">
        <v>118</v>
      </c>
      <c r="B281" t="s">
        <v>126</v>
      </c>
      <c r="C281" s="2" t="s">
        <v>33</v>
      </c>
      <c r="D281">
        <v>595</v>
      </c>
      <c r="E281">
        <v>1</v>
      </c>
      <c r="F281">
        <v>168</v>
      </c>
      <c r="G281">
        <v>0</v>
      </c>
      <c r="H281">
        <v>11</v>
      </c>
      <c r="I281">
        <v>0</v>
      </c>
      <c r="J281">
        <v>10</v>
      </c>
      <c r="K281">
        <v>4</v>
      </c>
      <c r="L281">
        <v>22</v>
      </c>
      <c r="M281">
        <v>8</v>
      </c>
      <c r="N281">
        <v>1</v>
      </c>
      <c r="O281">
        <v>7</v>
      </c>
      <c r="P281">
        <v>9</v>
      </c>
      <c r="Q281">
        <v>12</v>
      </c>
      <c r="R281">
        <v>2</v>
      </c>
      <c r="S281">
        <v>5</v>
      </c>
      <c r="T281">
        <v>21</v>
      </c>
      <c r="U281">
        <v>34</v>
      </c>
      <c r="V281">
        <v>0</v>
      </c>
      <c r="W281">
        <v>0</v>
      </c>
      <c r="X281">
        <v>0</v>
      </c>
      <c r="Y281">
        <v>8</v>
      </c>
      <c r="Z281">
        <v>25</v>
      </c>
      <c r="AA281">
        <v>35</v>
      </c>
      <c r="AB281">
        <v>16</v>
      </c>
      <c r="AC281">
        <v>126</v>
      </c>
      <c r="AD281">
        <v>1</v>
      </c>
      <c r="AE281">
        <v>28</v>
      </c>
      <c r="AF281">
        <v>0</v>
      </c>
      <c r="AG281">
        <v>41</v>
      </c>
    </row>
    <row r="282" spans="1:33" x14ac:dyDescent="0.3">
      <c r="A282" t="s">
        <v>118</v>
      </c>
      <c r="B282" t="s">
        <v>126</v>
      </c>
      <c r="C282" s="2" t="s">
        <v>34</v>
      </c>
      <c r="D282">
        <v>744</v>
      </c>
      <c r="E282">
        <v>0</v>
      </c>
      <c r="F282">
        <v>223</v>
      </c>
      <c r="G282">
        <v>0</v>
      </c>
      <c r="H282">
        <v>73</v>
      </c>
      <c r="I282">
        <v>0</v>
      </c>
      <c r="J282">
        <v>5</v>
      </c>
      <c r="K282">
        <v>0</v>
      </c>
      <c r="L282">
        <v>6</v>
      </c>
      <c r="M282">
        <v>0</v>
      </c>
      <c r="N282">
        <v>14</v>
      </c>
      <c r="O282">
        <v>2</v>
      </c>
      <c r="P282">
        <v>11</v>
      </c>
      <c r="Q282">
        <v>6</v>
      </c>
      <c r="R282">
        <v>0</v>
      </c>
      <c r="S282">
        <v>0</v>
      </c>
      <c r="T282">
        <v>20</v>
      </c>
      <c r="U282">
        <v>30</v>
      </c>
      <c r="V282">
        <v>0</v>
      </c>
      <c r="W282">
        <v>0</v>
      </c>
      <c r="X282">
        <v>0</v>
      </c>
      <c r="Y282">
        <v>4</v>
      </c>
      <c r="Z282">
        <v>16</v>
      </c>
      <c r="AA282">
        <v>40</v>
      </c>
      <c r="AB282">
        <v>9</v>
      </c>
      <c r="AC282">
        <v>136</v>
      </c>
      <c r="AD282">
        <v>0</v>
      </c>
      <c r="AE282">
        <v>110</v>
      </c>
      <c r="AF282">
        <v>0</v>
      </c>
      <c r="AG282">
        <v>39</v>
      </c>
    </row>
    <row r="283" spans="1:33" x14ac:dyDescent="0.3">
      <c r="A283" t="s">
        <v>118</v>
      </c>
      <c r="B283" t="s">
        <v>127</v>
      </c>
      <c r="C283" s="2" t="s">
        <v>30</v>
      </c>
      <c r="D283">
        <v>864</v>
      </c>
      <c r="E283">
        <v>0</v>
      </c>
      <c r="F283">
        <v>305</v>
      </c>
      <c r="G283">
        <v>0</v>
      </c>
      <c r="H283">
        <v>33</v>
      </c>
      <c r="I283">
        <v>0</v>
      </c>
      <c r="J283">
        <v>1</v>
      </c>
      <c r="K283">
        <v>3</v>
      </c>
      <c r="L283">
        <v>38</v>
      </c>
      <c r="M283">
        <v>6</v>
      </c>
      <c r="N283">
        <v>12</v>
      </c>
      <c r="O283">
        <v>2</v>
      </c>
      <c r="P283">
        <v>0</v>
      </c>
      <c r="Q283">
        <v>6</v>
      </c>
      <c r="R283">
        <v>9</v>
      </c>
      <c r="S283">
        <v>6</v>
      </c>
      <c r="T283">
        <v>19</v>
      </c>
      <c r="U283">
        <v>29</v>
      </c>
      <c r="V283">
        <v>0</v>
      </c>
      <c r="W283">
        <v>0</v>
      </c>
      <c r="X283">
        <v>0</v>
      </c>
      <c r="Y283">
        <v>13</v>
      </c>
      <c r="Z283">
        <v>23</v>
      </c>
      <c r="AA283">
        <v>75</v>
      </c>
      <c r="AB283">
        <v>24</v>
      </c>
      <c r="AC283">
        <v>156</v>
      </c>
      <c r="AD283">
        <v>1</v>
      </c>
      <c r="AE283">
        <v>54</v>
      </c>
      <c r="AF283">
        <v>0</v>
      </c>
      <c r="AG283">
        <v>49</v>
      </c>
    </row>
    <row r="284" spans="1:33" x14ac:dyDescent="0.3">
      <c r="A284" t="s">
        <v>118</v>
      </c>
      <c r="B284" t="s">
        <v>127</v>
      </c>
      <c r="C284" s="2" t="s">
        <v>33</v>
      </c>
      <c r="D284">
        <v>463</v>
      </c>
      <c r="E284">
        <v>0</v>
      </c>
      <c r="F284">
        <v>128</v>
      </c>
      <c r="G284">
        <v>0</v>
      </c>
      <c r="H284">
        <v>7</v>
      </c>
      <c r="I284">
        <v>0</v>
      </c>
      <c r="J284">
        <v>0</v>
      </c>
      <c r="K284">
        <v>2</v>
      </c>
      <c r="L284">
        <v>35</v>
      </c>
      <c r="M284">
        <v>6</v>
      </c>
      <c r="N284">
        <v>3</v>
      </c>
      <c r="O284">
        <v>2</v>
      </c>
      <c r="P284">
        <v>0</v>
      </c>
      <c r="Q284">
        <v>6</v>
      </c>
      <c r="R284">
        <v>9</v>
      </c>
      <c r="S284">
        <v>6</v>
      </c>
      <c r="T284">
        <v>11</v>
      </c>
      <c r="U284">
        <v>24</v>
      </c>
      <c r="V284">
        <v>0</v>
      </c>
      <c r="W284">
        <v>0</v>
      </c>
      <c r="X284">
        <v>0</v>
      </c>
      <c r="Y284">
        <v>10</v>
      </c>
      <c r="Z284">
        <v>15</v>
      </c>
      <c r="AA284">
        <v>28</v>
      </c>
      <c r="AB284">
        <v>20</v>
      </c>
      <c r="AC284">
        <v>108</v>
      </c>
      <c r="AD284">
        <v>0</v>
      </c>
      <c r="AE284">
        <v>13</v>
      </c>
      <c r="AF284">
        <v>0</v>
      </c>
      <c r="AG284">
        <v>30</v>
      </c>
    </row>
    <row r="285" spans="1:33" x14ac:dyDescent="0.3">
      <c r="A285" t="s">
        <v>118</v>
      </c>
      <c r="B285" t="s">
        <v>127</v>
      </c>
      <c r="C285" s="2" t="s">
        <v>34</v>
      </c>
      <c r="D285">
        <v>401</v>
      </c>
      <c r="E285">
        <v>0</v>
      </c>
      <c r="F285">
        <v>177</v>
      </c>
      <c r="G285">
        <v>0</v>
      </c>
      <c r="H285">
        <v>26</v>
      </c>
      <c r="I285">
        <v>0</v>
      </c>
      <c r="J285">
        <v>1</v>
      </c>
      <c r="K285">
        <v>1</v>
      </c>
      <c r="L285">
        <v>3</v>
      </c>
      <c r="M285">
        <v>0</v>
      </c>
      <c r="N285">
        <v>9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8</v>
      </c>
      <c r="U285">
        <v>5</v>
      </c>
      <c r="V285">
        <v>0</v>
      </c>
      <c r="W285">
        <v>0</v>
      </c>
      <c r="X285">
        <v>0</v>
      </c>
      <c r="Y285">
        <v>3</v>
      </c>
      <c r="Z285">
        <v>8</v>
      </c>
      <c r="AA285">
        <v>47</v>
      </c>
      <c r="AB285">
        <v>4</v>
      </c>
      <c r="AC285">
        <v>48</v>
      </c>
      <c r="AD285">
        <v>1</v>
      </c>
      <c r="AE285">
        <v>41</v>
      </c>
      <c r="AF285">
        <v>0</v>
      </c>
      <c r="AG285">
        <v>19</v>
      </c>
    </row>
    <row r="286" spans="1:33" x14ac:dyDescent="0.3">
      <c r="A286" t="s">
        <v>118</v>
      </c>
      <c r="B286" t="s">
        <v>128</v>
      </c>
      <c r="C286" s="2" t="s">
        <v>30</v>
      </c>
      <c r="D286">
        <v>741</v>
      </c>
      <c r="E286">
        <v>1</v>
      </c>
      <c r="F286">
        <v>188</v>
      </c>
      <c r="G286">
        <v>0</v>
      </c>
      <c r="H286">
        <v>37</v>
      </c>
      <c r="I286">
        <v>1</v>
      </c>
      <c r="J286">
        <v>16</v>
      </c>
      <c r="K286">
        <v>4</v>
      </c>
      <c r="L286">
        <v>12</v>
      </c>
      <c r="M286">
        <v>12</v>
      </c>
      <c r="N286">
        <v>19</v>
      </c>
      <c r="O286">
        <v>4</v>
      </c>
      <c r="P286">
        <v>0</v>
      </c>
      <c r="Q286">
        <v>8</v>
      </c>
      <c r="R286">
        <v>0</v>
      </c>
      <c r="S286">
        <v>1</v>
      </c>
      <c r="T286">
        <v>26</v>
      </c>
      <c r="U286">
        <v>20</v>
      </c>
      <c r="V286">
        <v>0</v>
      </c>
      <c r="W286">
        <v>0</v>
      </c>
      <c r="X286">
        <v>0</v>
      </c>
      <c r="Y286">
        <v>12</v>
      </c>
      <c r="Z286">
        <v>21</v>
      </c>
      <c r="AA286">
        <v>22</v>
      </c>
      <c r="AB286">
        <v>21</v>
      </c>
      <c r="AC286">
        <v>199</v>
      </c>
      <c r="AD286">
        <v>0</v>
      </c>
      <c r="AE286">
        <v>55</v>
      </c>
      <c r="AF286">
        <v>0</v>
      </c>
      <c r="AG286">
        <v>62</v>
      </c>
    </row>
    <row r="287" spans="1:33" x14ac:dyDescent="0.3">
      <c r="A287" t="s">
        <v>118</v>
      </c>
      <c r="B287" t="s">
        <v>128</v>
      </c>
      <c r="C287" s="2" t="s">
        <v>33</v>
      </c>
      <c r="D287">
        <v>239</v>
      </c>
      <c r="E287">
        <v>0</v>
      </c>
      <c r="F287">
        <v>61</v>
      </c>
      <c r="G287">
        <v>0</v>
      </c>
      <c r="H287">
        <v>6</v>
      </c>
      <c r="I287">
        <v>0</v>
      </c>
      <c r="J287">
        <v>11</v>
      </c>
      <c r="K287">
        <v>2</v>
      </c>
      <c r="L287">
        <v>9</v>
      </c>
      <c r="M287">
        <v>12</v>
      </c>
      <c r="N287">
        <v>5</v>
      </c>
      <c r="O287">
        <v>3</v>
      </c>
      <c r="P287">
        <v>0</v>
      </c>
      <c r="Q287">
        <v>6</v>
      </c>
      <c r="R287">
        <v>0</v>
      </c>
      <c r="S287">
        <v>1</v>
      </c>
      <c r="T287">
        <v>7</v>
      </c>
      <c r="U287">
        <v>9</v>
      </c>
      <c r="V287">
        <v>0</v>
      </c>
      <c r="W287">
        <v>0</v>
      </c>
      <c r="X287">
        <v>0</v>
      </c>
      <c r="Y287">
        <v>7</v>
      </c>
      <c r="Z287">
        <v>6</v>
      </c>
      <c r="AA287">
        <v>6</v>
      </c>
      <c r="AB287">
        <v>9</v>
      </c>
      <c r="AC287">
        <v>40</v>
      </c>
      <c r="AD287">
        <v>0</v>
      </c>
      <c r="AE287">
        <v>7</v>
      </c>
      <c r="AF287">
        <v>0</v>
      </c>
      <c r="AG287">
        <v>32</v>
      </c>
    </row>
    <row r="288" spans="1:33" x14ac:dyDescent="0.3">
      <c r="A288" t="s">
        <v>118</v>
      </c>
      <c r="B288" t="s">
        <v>128</v>
      </c>
      <c r="C288" s="2" t="s">
        <v>34</v>
      </c>
      <c r="D288">
        <v>502</v>
      </c>
      <c r="E288">
        <v>1</v>
      </c>
      <c r="F288">
        <v>127</v>
      </c>
      <c r="G288">
        <v>0</v>
      </c>
      <c r="H288">
        <v>31</v>
      </c>
      <c r="I288">
        <v>1</v>
      </c>
      <c r="J288">
        <v>5</v>
      </c>
      <c r="K288">
        <v>2</v>
      </c>
      <c r="L288">
        <v>3</v>
      </c>
      <c r="M288">
        <v>0</v>
      </c>
      <c r="N288">
        <v>14</v>
      </c>
      <c r="O288">
        <v>1</v>
      </c>
      <c r="P288">
        <v>0</v>
      </c>
      <c r="Q288">
        <v>2</v>
      </c>
      <c r="R288">
        <v>0</v>
      </c>
      <c r="S288">
        <v>0</v>
      </c>
      <c r="T288">
        <v>19</v>
      </c>
      <c r="U288">
        <v>11</v>
      </c>
      <c r="V288">
        <v>0</v>
      </c>
      <c r="W288">
        <v>0</v>
      </c>
      <c r="X288">
        <v>0</v>
      </c>
      <c r="Y288">
        <v>5</v>
      </c>
      <c r="Z288">
        <v>15</v>
      </c>
      <c r="AA288">
        <v>16</v>
      </c>
      <c r="AB288">
        <v>12</v>
      </c>
      <c r="AC288">
        <v>159</v>
      </c>
      <c r="AD288">
        <v>0</v>
      </c>
      <c r="AE288">
        <v>48</v>
      </c>
      <c r="AF288">
        <v>0</v>
      </c>
      <c r="AG288">
        <v>30</v>
      </c>
    </row>
    <row r="289" spans="1:33" x14ac:dyDescent="0.3">
      <c r="A289" t="s">
        <v>118</v>
      </c>
      <c r="B289" t="s">
        <v>129</v>
      </c>
      <c r="C289" s="2" t="s">
        <v>30</v>
      </c>
      <c r="D289">
        <v>569</v>
      </c>
      <c r="E289">
        <v>0</v>
      </c>
      <c r="F289">
        <v>183</v>
      </c>
      <c r="G289">
        <v>0</v>
      </c>
      <c r="H289">
        <v>39</v>
      </c>
      <c r="I289">
        <v>0</v>
      </c>
      <c r="J289">
        <v>2</v>
      </c>
      <c r="K289">
        <v>0</v>
      </c>
      <c r="L289">
        <v>17</v>
      </c>
      <c r="M289">
        <v>0</v>
      </c>
      <c r="N289">
        <v>9</v>
      </c>
      <c r="O289">
        <v>3</v>
      </c>
      <c r="P289">
        <v>0</v>
      </c>
      <c r="Q289">
        <v>6</v>
      </c>
      <c r="R289">
        <v>2</v>
      </c>
      <c r="S289">
        <v>0</v>
      </c>
      <c r="T289">
        <v>8</v>
      </c>
      <c r="U289">
        <v>28</v>
      </c>
      <c r="V289">
        <v>0</v>
      </c>
      <c r="W289">
        <v>0</v>
      </c>
      <c r="X289">
        <v>0</v>
      </c>
      <c r="Y289">
        <v>5</v>
      </c>
      <c r="Z289">
        <v>19</v>
      </c>
      <c r="AA289">
        <v>22</v>
      </c>
      <c r="AB289">
        <v>20</v>
      </c>
      <c r="AC289">
        <v>116</v>
      </c>
      <c r="AD289">
        <v>0</v>
      </c>
      <c r="AE289">
        <v>50</v>
      </c>
      <c r="AF289">
        <v>0</v>
      </c>
      <c r="AG289">
        <v>40</v>
      </c>
    </row>
    <row r="290" spans="1:33" x14ac:dyDescent="0.3">
      <c r="A290" t="s">
        <v>118</v>
      </c>
      <c r="B290" t="s">
        <v>129</v>
      </c>
      <c r="C290" s="2" t="s">
        <v>33</v>
      </c>
      <c r="D290">
        <v>272</v>
      </c>
      <c r="E290">
        <v>0</v>
      </c>
      <c r="F290">
        <v>74</v>
      </c>
      <c r="G290">
        <v>0</v>
      </c>
      <c r="H290">
        <v>9</v>
      </c>
      <c r="I290">
        <v>0</v>
      </c>
      <c r="J290">
        <v>1</v>
      </c>
      <c r="K290">
        <v>0</v>
      </c>
      <c r="L290">
        <v>14</v>
      </c>
      <c r="M290">
        <v>0</v>
      </c>
      <c r="N290">
        <v>2</v>
      </c>
      <c r="O290">
        <v>3</v>
      </c>
      <c r="P290">
        <v>0</v>
      </c>
      <c r="Q290">
        <v>5</v>
      </c>
      <c r="R290">
        <v>2</v>
      </c>
      <c r="S290">
        <v>0</v>
      </c>
      <c r="T290">
        <v>4</v>
      </c>
      <c r="U290">
        <v>18</v>
      </c>
      <c r="V290">
        <v>0</v>
      </c>
      <c r="W290">
        <v>0</v>
      </c>
      <c r="X290">
        <v>0</v>
      </c>
      <c r="Y290">
        <v>2</v>
      </c>
      <c r="Z290">
        <v>13</v>
      </c>
      <c r="AA290">
        <v>10</v>
      </c>
      <c r="AB290">
        <v>10</v>
      </c>
      <c r="AC290">
        <v>71</v>
      </c>
      <c r="AD290">
        <v>0</v>
      </c>
      <c r="AE290">
        <v>12</v>
      </c>
      <c r="AF290">
        <v>0</v>
      </c>
      <c r="AG290">
        <v>22</v>
      </c>
    </row>
    <row r="291" spans="1:33" x14ac:dyDescent="0.3">
      <c r="A291" t="s">
        <v>118</v>
      </c>
      <c r="B291" t="s">
        <v>129</v>
      </c>
      <c r="C291" s="2" t="s">
        <v>34</v>
      </c>
      <c r="D291">
        <v>297</v>
      </c>
      <c r="E291">
        <v>0</v>
      </c>
      <c r="F291">
        <v>109</v>
      </c>
      <c r="G291">
        <v>0</v>
      </c>
      <c r="H291">
        <v>30</v>
      </c>
      <c r="I291">
        <v>0</v>
      </c>
      <c r="J291">
        <v>1</v>
      </c>
      <c r="K291">
        <v>0</v>
      </c>
      <c r="L291">
        <v>3</v>
      </c>
      <c r="M291">
        <v>0</v>
      </c>
      <c r="N291">
        <v>7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4</v>
      </c>
      <c r="U291">
        <v>10</v>
      </c>
      <c r="V291">
        <v>0</v>
      </c>
      <c r="W291">
        <v>0</v>
      </c>
      <c r="X291">
        <v>0</v>
      </c>
      <c r="Y291">
        <v>3</v>
      </c>
      <c r="Z291">
        <v>6</v>
      </c>
      <c r="AA291">
        <v>12</v>
      </c>
      <c r="AB291">
        <v>10</v>
      </c>
      <c r="AC291">
        <v>45</v>
      </c>
      <c r="AD291">
        <v>0</v>
      </c>
      <c r="AE291">
        <v>38</v>
      </c>
      <c r="AF291">
        <v>0</v>
      </c>
      <c r="AG291">
        <v>18</v>
      </c>
    </row>
    <row r="292" spans="1:33" x14ac:dyDescent="0.3">
      <c r="A292" t="s">
        <v>118</v>
      </c>
      <c r="B292" t="s">
        <v>130</v>
      </c>
      <c r="C292" s="2" t="s">
        <v>30</v>
      </c>
      <c r="D292">
        <v>568</v>
      </c>
      <c r="E292">
        <v>0</v>
      </c>
      <c r="F292">
        <v>29</v>
      </c>
      <c r="G292">
        <v>0</v>
      </c>
      <c r="H292">
        <v>6</v>
      </c>
      <c r="I292">
        <v>0</v>
      </c>
      <c r="J292">
        <v>7</v>
      </c>
      <c r="K292">
        <v>0</v>
      </c>
      <c r="L292">
        <v>5</v>
      </c>
      <c r="M292">
        <v>4</v>
      </c>
      <c r="N292">
        <v>4</v>
      </c>
      <c r="O292">
        <v>14</v>
      </c>
      <c r="P292">
        <v>188</v>
      </c>
      <c r="Q292">
        <v>0</v>
      </c>
      <c r="R292">
        <v>1</v>
      </c>
      <c r="S292">
        <v>1</v>
      </c>
      <c r="T292">
        <v>4</v>
      </c>
      <c r="U292">
        <v>34</v>
      </c>
      <c r="V292">
        <v>0</v>
      </c>
      <c r="W292">
        <v>0</v>
      </c>
      <c r="X292">
        <v>0</v>
      </c>
      <c r="Y292">
        <v>0</v>
      </c>
      <c r="Z292">
        <v>28</v>
      </c>
      <c r="AA292">
        <v>17</v>
      </c>
      <c r="AB292">
        <v>28</v>
      </c>
      <c r="AC292">
        <v>171</v>
      </c>
      <c r="AD292">
        <v>0</v>
      </c>
      <c r="AE292">
        <v>7</v>
      </c>
      <c r="AF292">
        <v>0</v>
      </c>
      <c r="AG292">
        <v>20</v>
      </c>
    </row>
    <row r="293" spans="1:33" x14ac:dyDescent="0.3">
      <c r="A293" t="s">
        <v>118</v>
      </c>
      <c r="B293" t="s">
        <v>130</v>
      </c>
      <c r="C293" s="2" t="s">
        <v>33</v>
      </c>
      <c r="D293">
        <v>370</v>
      </c>
      <c r="E293">
        <v>0</v>
      </c>
      <c r="F293">
        <v>17</v>
      </c>
      <c r="G293">
        <v>0</v>
      </c>
      <c r="H293">
        <v>1</v>
      </c>
      <c r="I293">
        <v>0</v>
      </c>
      <c r="J293">
        <v>6</v>
      </c>
      <c r="K293">
        <v>0</v>
      </c>
      <c r="L293">
        <v>5</v>
      </c>
      <c r="M293">
        <v>4</v>
      </c>
      <c r="N293">
        <v>2</v>
      </c>
      <c r="O293">
        <v>12</v>
      </c>
      <c r="P293">
        <v>84</v>
      </c>
      <c r="Q293">
        <v>0</v>
      </c>
      <c r="R293">
        <v>1</v>
      </c>
      <c r="S293">
        <v>1</v>
      </c>
      <c r="T293">
        <v>3</v>
      </c>
      <c r="U293">
        <v>23</v>
      </c>
      <c r="V293">
        <v>0</v>
      </c>
      <c r="W293">
        <v>0</v>
      </c>
      <c r="X293">
        <v>0</v>
      </c>
      <c r="Y293">
        <v>0</v>
      </c>
      <c r="Z293">
        <v>21</v>
      </c>
      <c r="AA293">
        <v>10</v>
      </c>
      <c r="AB293">
        <v>26</v>
      </c>
      <c r="AC293">
        <v>141</v>
      </c>
      <c r="AD293">
        <v>0</v>
      </c>
      <c r="AE293">
        <v>3</v>
      </c>
      <c r="AF293">
        <v>0</v>
      </c>
      <c r="AG293">
        <v>10</v>
      </c>
    </row>
    <row r="294" spans="1:33" x14ac:dyDescent="0.3">
      <c r="A294" t="s">
        <v>118</v>
      </c>
      <c r="B294" t="s">
        <v>130</v>
      </c>
      <c r="C294" s="2" t="s">
        <v>34</v>
      </c>
      <c r="D294">
        <v>198</v>
      </c>
      <c r="E294">
        <v>0</v>
      </c>
      <c r="F294">
        <v>12</v>
      </c>
      <c r="G294">
        <v>0</v>
      </c>
      <c r="H294">
        <v>5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</v>
      </c>
      <c r="O294">
        <v>2</v>
      </c>
      <c r="P294">
        <v>104</v>
      </c>
      <c r="Q294">
        <v>0</v>
      </c>
      <c r="R294">
        <v>0</v>
      </c>
      <c r="S294">
        <v>0</v>
      </c>
      <c r="T294">
        <v>1</v>
      </c>
      <c r="U294">
        <v>11</v>
      </c>
      <c r="V294">
        <v>0</v>
      </c>
      <c r="W294">
        <v>0</v>
      </c>
      <c r="X294">
        <v>0</v>
      </c>
      <c r="Y294">
        <v>0</v>
      </c>
      <c r="Z294">
        <v>7</v>
      </c>
      <c r="AA294">
        <v>7</v>
      </c>
      <c r="AB294">
        <v>2</v>
      </c>
      <c r="AC294">
        <v>30</v>
      </c>
      <c r="AD294">
        <v>0</v>
      </c>
      <c r="AE294">
        <v>4</v>
      </c>
      <c r="AF294">
        <v>0</v>
      </c>
      <c r="AG294">
        <v>10</v>
      </c>
    </row>
    <row r="295" spans="1:33" x14ac:dyDescent="0.3">
      <c r="A295" t="s">
        <v>118</v>
      </c>
      <c r="B295" t="s">
        <v>131</v>
      </c>
      <c r="C295" s="2" t="s">
        <v>30</v>
      </c>
      <c r="D295">
        <v>535</v>
      </c>
      <c r="E295">
        <v>0</v>
      </c>
      <c r="F295">
        <v>284</v>
      </c>
      <c r="G295">
        <v>0</v>
      </c>
      <c r="H295">
        <v>32</v>
      </c>
      <c r="I295">
        <v>0</v>
      </c>
      <c r="J295">
        <v>0</v>
      </c>
      <c r="K295">
        <v>0</v>
      </c>
      <c r="L295">
        <v>17</v>
      </c>
      <c r="M295">
        <v>2</v>
      </c>
      <c r="N295">
        <v>16</v>
      </c>
      <c r="O295">
        <v>1</v>
      </c>
      <c r="P295">
        <v>0</v>
      </c>
      <c r="Q295">
        <v>4</v>
      </c>
      <c r="R295">
        <v>0</v>
      </c>
      <c r="S295">
        <v>0</v>
      </c>
      <c r="T295">
        <v>0</v>
      </c>
      <c r="U295">
        <v>8</v>
      </c>
      <c r="V295">
        <v>0</v>
      </c>
      <c r="W295">
        <v>0</v>
      </c>
      <c r="X295">
        <v>0</v>
      </c>
      <c r="Y295">
        <v>11</v>
      </c>
      <c r="Z295">
        <v>28</v>
      </c>
      <c r="AA295">
        <v>34</v>
      </c>
      <c r="AB295">
        <v>23</v>
      </c>
      <c r="AC295">
        <v>29</v>
      </c>
      <c r="AD295">
        <v>11</v>
      </c>
      <c r="AE295">
        <v>0</v>
      </c>
      <c r="AF295">
        <v>0</v>
      </c>
      <c r="AG295">
        <v>35</v>
      </c>
    </row>
    <row r="296" spans="1:33" x14ac:dyDescent="0.3">
      <c r="A296" t="s">
        <v>118</v>
      </c>
      <c r="B296" t="s">
        <v>131</v>
      </c>
      <c r="C296" s="2" t="s">
        <v>33</v>
      </c>
      <c r="D296">
        <v>253</v>
      </c>
      <c r="E296">
        <v>0</v>
      </c>
      <c r="F296">
        <v>144</v>
      </c>
      <c r="G296">
        <v>0</v>
      </c>
      <c r="H296">
        <v>6</v>
      </c>
      <c r="I296">
        <v>0</v>
      </c>
      <c r="J296">
        <v>0</v>
      </c>
      <c r="K296">
        <v>0</v>
      </c>
      <c r="L296">
        <v>15</v>
      </c>
      <c r="M296">
        <v>2</v>
      </c>
      <c r="N296">
        <v>4</v>
      </c>
      <c r="O296">
        <v>1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5</v>
      </c>
      <c r="V296">
        <v>0</v>
      </c>
      <c r="W296">
        <v>0</v>
      </c>
      <c r="X296">
        <v>0</v>
      </c>
      <c r="Y296">
        <v>5</v>
      </c>
      <c r="Z296">
        <v>12</v>
      </c>
      <c r="AA296">
        <v>12</v>
      </c>
      <c r="AB296">
        <v>15</v>
      </c>
      <c r="AC296">
        <v>3</v>
      </c>
      <c r="AD296">
        <v>9</v>
      </c>
      <c r="AE296">
        <v>0</v>
      </c>
      <c r="AF296">
        <v>0</v>
      </c>
      <c r="AG296">
        <v>18</v>
      </c>
    </row>
    <row r="297" spans="1:33" x14ac:dyDescent="0.3">
      <c r="A297" t="s">
        <v>118</v>
      </c>
      <c r="B297" t="s">
        <v>131</v>
      </c>
      <c r="C297" s="2" t="s">
        <v>34</v>
      </c>
      <c r="D297">
        <v>282</v>
      </c>
      <c r="E297">
        <v>0</v>
      </c>
      <c r="F297">
        <v>140</v>
      </c>
      <c r="G297">
        <v>0</v>
      </c>
      <c r="H297">
        <v>26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12</v>
      </c>
      <c r="O297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6</v>
      </c>
      <c r="Z297">
        <v>16</v>
      </c>
      <c r="AA297">
        <v>22</v>
      </c>
      <c r="AB297">
        <v>8</v>
      </c>
      <c r="AC297">
        <v>26</v>
      </c>
      <c r="AD297">
        <v>2</v>
      </c>
      <c r="AE297">
        <v>0</v>
      </c>
      <c r="AF297">
        <v>0</v>
      </c>
      <c r="AG297">
        <v>17</v>
      </c>
    </row>
    <row r="298" spans="1:33" x14ac:dyDescent="0.3">
      <c r="A298" t="s">
        <v>118</v>
      </c>
      <c r="B298" t="s">
        <v>132</v>
      </c>
      <c r="C298" s="2" t="s">
        <v>30</v>
      </c>
      <c r="D298">
        <v>492</v>
      </c>
      <c r="E298">
        <v>1</v>
      </c>
      <c r="F298">
        <v>142</v>
      </c>
      <c r="G298">
        <v>0</v>
      </c>
      <c r="H298">
        <v>32</v>
      </c>
      <c r="I298">
        <v>0</v>
      </c>
      <c r="J298">
        <v>4</v>
      </c>
      <c r="K298">
        <v>4</v>
      </c>
      <c r="L298">
        <v>16</v>
      </c>
      <c r="M298">
        <v>4</v>
      </c>
      <c r="N298">
        <v>2</v>
      </c>
      <c r="O298">
        <v>5</v>
      </c>
      <c r="P298">
        <v>0</v>
      </c>
      <c r="Q298">
        <v>1</v>
      </c>
      <c r="R298">
        <v>4</v>
      </c>
      <c r="S298">
        <v>8</v>
      </c>
      <c r="T298">
        <v>15</v>
      </c>
      <c r="U298">
        <v>17</v>
      </c>
      <c r="V298">
        <v>0</v>
      </c>
      <c r="W298">
        <v>0</v>
      </c>
      <c r="X298">
        <v>0</v>
      </c>
      <c r="Y298">
        <v>4</v>
      </c>
      <c r="Z298">
        <v>14</v>
      </c>
      <c r="AA298">
        <v>35</v>
      </c>
      <c r="AB298">
        <v>20</v>
      </c>
      <c r="AC298">
        <v>85</v>
      </c>
      <c r="AD298">
        <v>1</v>
      </c>
      <c r="AE298">
        <v>40</v>
      </c>
      <c r="AF298">
        <v>0</v>
      </c>
      <c r="AG298">
        <v>38</v>
      </c>
    </row>
    <row r="299" spans="1:33" x14ac:dyDescent="0.3">
      <c r="A299" t="s">
        <v>118</v>
      </c>
      <c r="B299" t="s">
        <v>132</v>
      </c>
      <c r="C299" s="2" t="s">
        <v>33</v>
      </c>
      <c r="D299">
        <v>231</v>
      </c>
      <c r="E299">
        <v>0</v>
      </c>
      <c r="F299">
        <v>56</v>
      </c>
      <c r="G299">
        <v>0</v>
      </c>
      <c r="H299">
        <v>8</v>
      </c>
      <c r="I299">
        <v>0</v>
      </c>
      <c r="J299">
        <v>1</v>
      </c>
      <c r="K299">
        <v>4</v>
      </c>
      <c r="L299">
        <v>14</v>
      </c>
      <c r="M299">
        <v>4</v>
      </c>
      <c r="N299">
        <v>1</v>
      </c>
      <c r="O299">
        <v>5</v>
      </c>
      <c r="P299">
        <v>0</v>
      </c>
      <c r="Q299">
        <v>1</v>
      </c>
      <c r="R299">
        <v>3</v>
      </c>
      <c r="S299">
        <v>7</v>
      </c>
      <c r="T299">
        <v>3</v>
      </c>
      <c r="U299">
        <v>10</v>
      </c>
      <c r="V299">
        <v>0</v>
      </c>
      <c r="W299">
        <v>0</v>
      </c>
      <c r="X299">
        <v>0</v>
      </c>
      <c r="Y299">
        <v>2</v>
      </c>
      <c r="Z299">
        <v>7</v>
      </c>
      <c r="AA299">
        <v>13</v>
      </c>
      <c r="AB299">
        <v>14</v>
      </c>
      <c r="AC299">
        <v>43</v>
      </c>
      <c r="AD299">
        <v>1</v>
      </c>
      <c r="AE299">
        <v>15</v>
      </c>
      <c r="AF299">
        <v>0</v>
      </c>
      <c r="AG299">
        <v>19</v>
      </c>
    </row>
    <row r="300" spans="1:33" x14ac:dyDescent="0.3">
      <c r="A300" t="s">
        <v>118</v>
      </c>
      <c r="B300" t="s">
        <v>132</v>
      </c>
      <c r="C300" s="2" t="s">
        <v>34</v>
      </c>
      <c r="D300">
        <v>261</v>
      </c>
      <c r="E300">
        <v>1</v>
      </c>
      <c r="F300">
        <v>86</v>
      </c>
      <c r="G300">
        <v>0</v>
      </c>
      <c r="H300">
        <v>24</v>
      </c>
      <c r="I300">
        <v>0</v>
      </c>
      <c r="J300">
        <v>3</v>
      </c>
      <c r="K300">
        <v>0</v>
      </c>
      <c r="L300">
        <v>2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12</v>
      </c>
      <c r="U300">
        <v>7</v>
      </c>
      <c r="V300">
        <v>0</v>
      </c>
      <c r="W300">
        <v>0</v>
      </c>
      <c r="X300">
        <v>0</v>
      </c>
      <c r="Y300">
        <v>2</v>
      </c>
      <c r="Z300">
        <v>7</v>
      </c>
      <c r="AA300">
        <v>22</v>
      </c>
      <c r="AB300">
        <v>6</v>
      </c>
      <c r="AC300">
        <v>42</v>
      </c>
      <c r="AD300">
        <v>0</v>
      </c>
      <c r="AE300">
        <v>25</v>
      </c>
      <c r="AF300">
        <v>0</v>
      </c>
      <c r="AG300">
        <v>19</v>
      </c>
    </row>
    <row r="301" spans="1:33" x14ac:dyDescent="0.3">
      <c r="A301" t="s">
        <v>118</v>
      </c>
      <c r="B301" t="s">
        <v>133</v>
      </c>
      <c r="C301" s="2" t="s">
        <v>30</v>
      </c>
      <c r="D301">
        <v>394</v>
      </c>
      <c r="E301">
        <v>0</v>
      </c>
      <c r="F301">
        <v>142</v>
      </c>
      <c r="G301">
        <v>0</v>
      </c>
      <c r="H301">
        <v>14</v>
      </c>
      <c r="I301">
        <v>0</v>
      </c>
      <c r="J301">
        <v>1</v>
      </c>
      <c r="K301">
        <v>1</v>
      </c>
      <c r="L301">
        <v>34</v>
      </c>
      <c r="M301">
        <v>7</v>
      </c>
      <c r="N301">
        <v>1</v>
      </c>
      <c r="O301">
        <v>1</v>
      </c>
      <c r="P301">
        <v>0</v>
      </c>
      <c r="Q301">
        <v>2</v>
      </c>
      <c r="R301">
        <v>1</v>
      </c>
      <c r="S301">
        <v>1</v>
      </c>
      <c r="T301">
        <v>2</v>
      </c>
      <c r="U301">
        <v>22</v>
      </c>
      <c r="V301">
        <v>0</v>
      </c>
      <c r="W301">
        <v>0</v>
      </c>
      <c r="X301">
        <v>0</v>
      </c>
      <c r="Y301">
        <v>4</v>
      </c>
      <c r="Z301">
        <v>5</v>
      </c>
      <c r="AA301">
        <v>42</v>
      </c>
      <c r="AB301">
        <v>5</v>
      </c>
      <c r="AC301">
        <v>47</v>
      </c>
      <c r="AD301">
        <v>1</v>
      </c>
      <c r="AE301">
        <v>21</v>
      </c>
      <c r="AF301">
        <v>0</v>
      </c>
      <c r="AG301">
        <v>40</v>
      </c>
    </row>
    <row r="302" spans="1:33" x14ac:dyDescent="0.3">
      <c r="A302" t="s">
        <v>118</v>
      </c>
      <c r="B302" t="s">
        <v>133</v>
      </c>
      <c r="C302" s="2" t="s">
        <v>33</v>
      </c>
      <c r="D302">
        <v>234</v>
      </c>
      <c r="E302">
        <v>0</v>
      </c>
      <c r="F302">
        <v>81</v>
      </c>
      <c r="G302">
        <v>0</v>
      </c>
      <c r="H302">
        <v>4</v>
      </c>
      <c r="I302">
        <v>0</v>
      </c>
      <c r="J302">
        <v>0</v>
      </c>
      <c r="K302">
        <v>1</v>
      </c>
      <c r="L302">
        <v>30</v>
      </c>
      <c r="M302">
        <v>7</v>
      </c>
      <c r="N302">
        <v>0</v>
      </c>
      <c r="O302">
        <v>1</v>
      </c>
      <c r="P302">
        <v>0</v>
      </c>
      <c r="Q302">
        <v>2</v>
      </c>
      <c r="R302">
        <v>0</v>
      </c>
      <c r="S302">
        <v>1</v>
      </c>
      <c r="T302">
        <v>1</v>
      </c>
      <c r="U302">
        <v>15</v>
      </c>
      <c r="V302">
        <v>0</v>
      </c>
      <c r="W302">
        <v>0</v>
      </c>
      <c r="X302">
        <v>0</v>
      </c>
      <c r="Y302">
        <v>3</v>
      </c>
      <c r="Z302">
        <v>2</v>
      </c>
      <c r="AA302">
        <v>20</v>
      </c>
      <c r="AB302">
        <v>4</v>
      </c>
      <c r="AC302">
        <v>33</v>
      </c>
      <c r="AD302">
        <v>1</v>
      </c>
      <c r="AE302">
        <v>7</v>
      </c>
      <c r="AF302">
        <v>0</v>
      </c>
      <c r="AG302">
        <v>21</v>
      </c>
    </row>
    <row r="303" spans="1:33" x14ac:dyDescent="0.3">
      <c r="A303" t="s">
        <v>118</v>
      </c>
      <c r="B303" t="s">
        <v>133</v>
      </c>
      <c r="C303" s="2" t="s">
        <v>34</v>
      </c>
      <c r="D303">
        <v>160</v>
      </c>
      <c r="E303">
        <v>0</v>
      </c>
      <c r="F303">
        <v>61</v>
      </c>
      <c r="G303">
        <v>0</v>
      </c>
      <c r="H303">
        <v>10</v>
      </c>
      <c r="I303">
        <v>0</v>
      </c>
      <c r="J303">
        <v>1</v>
      </c>
      <c r="K303">
        <v>0</v>
      </c>
      <c r="L303">
        <v>4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7</v>
      </c>
      <c r="V303">
        <v>0</v>
      </c>
      <c r="W303">
        <v>0</v>
      </c>
      <c r="X303">
        <v>0</v>
      </c>
      <c r="Y303">
        <v>1</v>
      </c>
      <c r="Z303">
        <v>3</v>
      </c>
      <c r="AA303">
        <v>22</v>
      </c>
      <c r="AB303">
        <v>1</v>
      </c>
      <c r="AC303">
        <v>14</v>
      </c>
      <c r="AD303">
        <v>0</v>
      </c>
      <c r="AE303">
        <v>14</v>
      </c>
      <c r="AF303">
        <v>0</v>
      </c>
      <c r="AG303">
        <v>19</v>
      </c>
    </row>
    <row r="304" spans="1:33" x14ac:dyDescent="0.3">
      <c r="A304" t="s">
        <v>118</v>
      </c>
      <c r="B304" t="s">
        <v>134</v>
      </c>
      <c r="C304" s="2" t="s">
        <v>30</v>
      </c>
      <c r="D304">
        <v>385</v>
      </c>
      <c r="E304">
        <v>0</v>
      </c>
      <c r="F304">
        <v>112</v>
      </c>
      <c r="G304">
        <v>0</v>
      </c>
      <c r="H304">
        <v>37</v>
      </c>
      <c r="I304">
        <v>0</v>
      </c>
      <c r="J304">
        <v>0</v>
      </c>
      <c r="K304">
        <v>1</v>
      </c>
      <c r="L304">
        <v>13</v>
      </c>
      <c r="M304">
        <v>0</v>
      </c>
      <c r="N304">
        <v>5</v>
      </c>
      <c r="O304">
        <v>2</v>
      </c>
      <c r="P304">
        <v>0</v>
      </c>
      <c r="Q304">
        <v>1</v>
      </c>
      <c r="R304">
        <v>0</v>
      </c>
      <c r="S304">
        <v>3</v>
      </c>
      <c r="T304">
        <v>5</v>
      </c>
      <c r="U304">
        <v>18</v>
      </c>
      <c r="V304">
        <v>0</v>
      </c>
      <c r="W304">
        <v>0</v>
      </c>
      <c r="X304">
        <v>0</v>
      </c>
      <c r="Y304">
        <v>8</v>
      </c>
      <c r="Z304">
        <v>17</v>
      </c>
      <c r="AA304">
        <v>33</v>
      </c>
      <c r="AB304">
        <v>17</v>
      </c>
      <c r="AC304">
        <v>80</v>
      </c>
      <c r="AD304">
        <v>0</v>
      </c>
      <c r="AE304">
        <v>0</v>
      </c>
      <c r="AF304">
        <v>0</v>
      </c>
      <c r="AG304">
        <v>33</v>
      </c>
    </row>
    <row r="305" spans="1:33" x14ac:dyDescent="0.3">
      <c r="A305" t="s">
        <v>118</v>
      </c>
      <c r="B305" t="s">
        <v>134</v>
      </c>
      <c r="C305" s="2" t="s">
        <v>33</v>
      </c>
      <c r="D305">
        <v>206</v>
      </c>
      <c r="E305">
        <v>0</v>
      </c>
      <c r="F305">
        <v>54</v>
      </c>
      <c r="G305">
        <v>0</v>
      </c>
      <c r="H305">
        <v>8</v>
      </c>
      <c r="I305">
        <v>0</v>
      </c>
      <c r="J305">
        <v>0</v>
      </c>
      <c r="K305">
        <v>0</v>
      </c>
      <c r="L305">
        <v>10</v>
      </c>
      <c r="M305">
        <v>0</v>
      </c>
      <c r="N305">
        <v>3</v>
      </c>
      <c r="O305">
        <v>1</v>
      </c>
      <c r="P305">
        <v>0</v>
      </c>
      <c r="Q305">
        <v>0</v>
      </c>
      <c r="R305">
        <v>0</v>
      </c>
      <c r="S305">
        <v>3</v>
      </c>
      <c r="T305">
        <v>2</v>
      </c>
      <c r="U305">
        <v>13</v>
      </c>
      <c r="V305">
        <v>0</v>
      </c>
      <c r="W305">
        <v>0</v>
      </c>
      <c r="X305">
        <v>0</v>
      </c>
      <c r="Y305">
        <v>6</v>
      </c>
      <c r="Z305">
        <v>11</v>
      </c>
      <c r="AA305">
        <v>11</v>
      </c>
      <c r="AB305">
        <v>8</v>
      </c>
      <c r="AC305">
        <v>55</v>
      </c>
      <c r="AD305">
        <v>0</v>
      </c>
      <c r="AE305">
        <v>0</v>
      </c>
      <c r="AF305">
        <v>0</v>
      </c>
      <c r="AG305">
        <v>21</v>
      </c>
    </row>
    <row r="306" spans="1:33" x14ac:dyDescent="0.3">
      <c r="A306" t="s">
        <v>118</v>
      </c>
      <c r="B306" t="s">
        <v>134</v>
      </c>
      <c r="C306" s="2" t="s">
        <v>34</v>
      </c>
      <c r="D306">
        <v>179</v>
      </c>
      <c r="E306">
        <v>0</v>
      </c>
      <c r="F306">
        <v>58</v>
      </c>
      <c r="G306">
        <v>0</v>
      </c>
      <c r="H306">
        <v>29</v>
      </c>
      <c r="I306">
        <v>0</v>
      </c>
      <c r="J306">
        <v>0</v>
      </c>
      <c r="K306">
        <v>1</v>
      </c>
      <c r="L306">
        <v>3</v>
      </c>
      <c r="M306">
        <v>0</v>
      </c>
      <c r="N306">
        <v>2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3</v>
      </c>
      <c r="U306">
        <v>5</v>
      </c>
      <c r="V306">
        <v>0</v>
      </c>
      <c r="W306">
        <v>0</v>
      </c>
      <c r="X306">
        <v>0</v>
      </c>
      <c r="Y306">
        <v>2</v>
      </c>
      <c r="Z306">
        <v>6</v>
      </c>
      <c r="AA306">
        <v>22</v>
      </c>
      <c r="AB306">
        <v>9</v>
      </c>
      <c r="AC306">
        <v>25</v>
      </c>
      <c r="AD306">
        <v>0</v>
      </c>
      <c r="AE306">
        <v>0</v>
      </c>
      <c r="AF306">
        <v>0</v>
      </c>
      <c r="AG306">
        <v>12</v>
      </c>
    </row>
    <row r="307" spans="1:33" x14ac:dyDescent="0.3">
      <c r="A307" t="s">
        <v>118</v>
      </c>
      <c r="B307" t="s">
        <v>135</v>
      </c>
      <c r="C307" s="2" t="s">
        <v>30</v>
      </c>
      <c r="D307">
        <v>332</v>
      </c>
      <c r="E307">
        <v>0</v>
      </c>
      <c r="F307">
        <v>65</v>
      </c>
      <c r="G307">
        <v>0</v>
      </c>
      <c r="H307">
        <v>19</v>
      </c>
      <c r="I307">
        <v>0</v>
      </c>
      <c r="J307">
        <v>0</v>
      </c>
      <c r="K307">
        <v>0</v>
      </c>
      <c r="L307">
        <v>5</v>
      </c>
      <c r="M307">
        <v>28</v>
      </c>
      <c r="N307">
        <v>6</v>
      </c>
      <c r="O307">
        <v>5</v>
      </c>
      <c r="P307">
        <v>0</v>
      </c>
      <c r="Q307">
        <v>4</v>
      </c>
      <c r="R307">
        <v>0</v>
      </c>
      <c r="S307">
        <v>0</v>
      </c>
      <c r="T307">
        <v>5</v>
      </c>
      <c r="U307">
        <v>12</v>
      </c>
      <c r="V307">
        <v>0</v>
      </c>
      <c r="W307">
        <v>0</v>
      </c>
      <c r="X307">
        <v>0</v>
      </c>
      <c r="Y307">
        <v>9</v>
      </c>
      <c r="Z307">
        <v>10</v>
      </c>
      <c r="AA307">
        <v>31</v>
      </c>
      <c r="AB307">
        <v>20</v>
      </c>
      <c r="AC307">
        <v>74</v>
      </c>
      <c r="AD307">
        <v>1</v>
      </c>
      <c r="AE307">
        <v>0</v>
      </c>
      <c r="AF307">
        <v>0</v>
      </c>
      <c r="AG307">
        <v>38</v>
      </c>
    </row>
    <row r="308" spans="1:33" x14ac:dyDescent="0.3">
      <c r="A308" t="s">
        <v>118</v>
      </c>
      <c r="B308" t="s">
        <v>135</v>
      </c>
      <c r="C308" s="2" t="s">
        <v>33</v>
      </c>
      <c r="D308">
        <v>115</v>
      </c>
      <c r="E308">
        <v>0</v>
      </c>
      <c r="F308">
        <v>18</v>
      </c>
      <c r="G308">
        <v>0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26</v>
      </c>
      <c r="N308">
        <v>0</v>
      </c>
      <c r="O308">
        <v>4</v>
      </c>
      <c r="P308">
        <v>0</v>
      </c>
      <c r="Q308">
        <v>2</v>
      </c>
      <c r="R308">
        <v>0</v>
      </c>
      <c r="S308">
        <v>0</v>
      </c>
      <c r="T308">
        <v>3</v>
      </c>
      <c r="U308">
        <v>3</v>
      </c>
      <c r="V308">
        <v>0</v>
      </c>
      <c r="W308">
        <v>0</v>
      </c>
      <c r="X308">
        <v>0</v>
      </c>
      <c r="Y308">
        <v>3</v>
      </c>
      <c r="Z308">
        <v>2</v>
      </c>
      <c r="AA308">
        <v>9</v>
      </c>
      <c r="AB308">
        <v>8</v>
      </c>
      <c r="AC308">
        <v>11</v>
      </c>
      <c r="AD308">
        <v>1</v>
      </c>
      <c r="AE308">
        <v>0</v>
      </c>
      <c r="AF308">
        <v>0</v>
      </c>
      <c r="AG308">
        <v>20</v>
      </c>
    </row>
    <row r="309" spans="1:33" x14ac:dyDescent="0.3">
      <c r="A309" t="s">
        <v>118</v>
      </c>
      <c r="B309" t="s">
        <v>135</v>
      </c>
      <c r="C309" s="2" t="s">
        <v>34</v>
      </c>
      <c r="D309">
        <v>217</v>
      </c>
      <c r="E309">
        <v>0</v>
      </c>
      <c r="F309">
        <v>47</v>
      </c>
      <c r="G309">
        <v>0</v>
      </c>
      <c r="H309">
        <v>14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6</v>
      </c>
      <c r="O309">
        <v>1</v>
      </c>
      <c r="P309">
        <v>0</v>
      </c>
      <c r="Q309">
        <v>2</v>
      </c>
      <c r="R309">
        <v>0</v>
      </c>
      <c r="S309">
        <v>0</v>
      </c>
      <c r="T309">
        <v>2</v>
      </c>
      <c r="U309">
        <v>9</v>
      </c>
      <c r="V309">
        <v>0</v>
      </c>
      <c r="W309">
        <v>0</v>
      </c>
      <c r="X309">
        <v>0</v>
      </c>
      <c r="Y309">
        <v>6</v>
      </c>
      <c r="Z309">
        <v>8</v>
      </c>
      <c r="AA309">
        <v>22</v>
      </c>
      <c r="AB309">
        <v>12</v>
      </c>
      <c r="AC309">
        <v>63</v>
      </c>
      <c r="AD309">
        <v>0</v>
      </c>
      <c r="AE309">
        <v>0</v>
      </c>
      <c r="AF309">
        <v>0</v>
      </c>
      <c r="AG309">
        <v>18</v>
      </c>
    </row>
    <row r="310" spans="1:33" x14ac:dyDescent="0.3">
      <c r="A310" t="s">
        <v>118</v>
      </c>
      <c r="B310" t="s">
        <v>136</v>
      </c>
      <c r="C310" s="2" t="s">
        <v>30</v>
      </c>
      <c r="D310">
        <v>330</v>
      </c>
      <c r="E310">
        <v>0</v>
      </c>
      <c r="F310">
        <v>68</v>
      </c>
      <c r="G310">
        <v>0</v>
      </c>
      <c r="H310">
        <v>20</v>
      </c>
      <c r="I310">
        <v>0</v>
      </c>
      <c r="J310">
        <v>0</v>
      </c>
      <c r="K310">
        <v>0</v>
      </c>
      <c r="L310">
        <v>2</v>
      </c>
      <c r="M310">
        <v>1</v>
      </c>
      <c r="N310">
        <v>4</v>
      </c>
      <c r="O310">
        <v>1</v>
      </c>
      <c r="P310">
        <v>0</v>
      </c>
      <c r="Q310">
        <v>7</v>
      </c>
      <c r="R310">
        <v>0</v>
      </c>
      <c r="S310">
        <v>0</v>
      </c>
      <c r="T310">
        <v>25</v>
      </c>
      <c r="U310">
        <v>9</v>
      </c>
      <c r="V310">
        <v>0</v>
      </c>
      <c r="W310">
        <v>0</v>
      </c>
      <c r="X310">
        <v>0</v>
      </c>
      <c r="Y310">
        <v>17</v>
      </c>
      <c r="Z310">
        <v>14</v>
      </c>
      <c r="AA310">
        <v>22</v>
      </c>
      <c r="AB310">
        <v>22</v>
      </c>
      <c r="AC310">
        <v>88</v>
      </c>
      <c r="AD310">
        <v>12</v>
      </c>
      <c r="AE310">
        <v>0</v>
      </c>
      <c r="AF310">
        <v>0</v>
      </c>
      <c r="AG310">
        <v>18</v>
      </c>
    </row>
    <row r="311" spans="1:33" x14ac:dyDescent="0.3">
      <c r="A311" t="s">
        <v>118</v>
      </c>
      <c r="B311" t="s">
        <v>136</v>
      </c>
      <c r="C311" s="2" t="s">
        <v>33</v>
      </c>
      <c r="D311">
        <v>60</v>
      </c>
      <c r="E311">
        <v>0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6</v>
      </c>
      <c r="R311">
        <v>0</v>
      </c>
      <c r="S311">
        <v>0</v>
      </c>
      <c r="T311">
        <v>2</v>
      </c>
      <c r="U311">
        <v>3</v>
      </c>
      <c r="V311">
        <v>0</v>
      </c>
      <c r="W311">
        <v>0</v>
      </c>
      <c r="X311">
        <v>0</v>
      </c>
      <c r="Y311">
        <v>1</v>
      </c>
      <c r="Z311">
        <v>4</v>
      </c>
      <c r="AA311">
        <v>3</v>
      </c>
      <c r="AB311">
        <v>11</v>
      </c>
      <c r="AC311">
        <v>9</v>
      </c>
      <c r="AD311">
        <v>5</v>
      </c>
      <c r="AE311">
        <v>0</v>
      </c>
      <c r="AF311">
        <v>0</v>
      </c>
      <c r="AG311">
        <v>8</v>
      </c>
    </row>
    <row r="312" spans="1:33" x14ac:dyDescent="0.3">
      <c r="A312" t="s">
        <v>118</v>
      </c>
      <c r="B312" t="s">
        <v>136</v>
      </c>
      <c r="C312" s="2" t="s">
        <v>34</v>
      </c>
      <c r="D312">
        <v>270</v>
      </c>
      <c r="E312">
        <v>0</v>
      </c>
      <c r="F312">
        <v>62</v>
      </c>
      <c r="G312">
        <v>0</v>
      </c>
      <c r="H312">
        <v>20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4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23</v>
      </c>
      <c r="U312">
        <v>6</v>
      </c>
      <c r="V312">
        <v>0</v>
      </c>
      <c r="W312">
        <v>0</v>
      </c>
      <c r="X312">
        <v>0</v>
      </c>
      <c r="Y312">
        <v>16</v>
      </c>
      <c r="Z312">
        <v>10</v>
      </c>
      <c r="AA312">
        <v>19</v>
      </c>
      <c r="AB312">
        <v>11</v>
      </c>
      <c r="AC312">
        <v>79</v>
      </c>
      <c r="AD312">
        <v>7</v>
      </c>
      <c r="AE312">
        <v>0</v>
      </c>
      <c r="AF312">
        <v>0</v>
      </c>
      <c r="AG312">
        <v>10</v>
      </c>
    </row>
    <row r="313" spans="1:33" x14ac:dyDescent="0.3">
      <c r="A313" t="s">
        <v>118</v>
      </c>
      <c r="B313" t="s">
        <v>137</v>
      </c>
      <c r="C313" s="2" t="s">
        <v>30</v>
      </c>
      <c r="D313">
        <v>323</v>
      </c>
      <c r="E313">
        <v>0</v>
      </c>
      <c r="F313">
        <v>135</v>
      </c>
      <c r="G313">
        <v>0</v>
      </c>
      <c r="H313">
        <v>27</v>
      </c>
      <c r="I313">
        <v>0</v>
      </c>
      <c r="J313">
        <v>0</v>
      </c>
      <c r="K313">
        <v>0</v>
      </c>
      <c r="L313">
        <v>14</v>
      </c>
      <c r="M313">
        <v>24</v>
      </c>
      <c r="N313">
        <v>7</v>
      </c>
      <c r="O313">
        <v>2</v>
      </c>
      <c r="P313">
        <v>0</v>
      </c>
      <c r="Q313">
        <v>0</v>
      </c>
      <c r="R313">
        <v>1</v>
      </c>
      <c r="S313">
        <v>0</v>
      </c>
      <c r="T313">
        <v>4</v>
      </c>
      <c r="U313">
        <v>10</v>
      </c>
      <c r="V313">
        <v>0</v>
      </c>
      <c r="W313">
        <v>0</v>
      </c>
      <c r="X313">
        <v>0</v>
      </c>
      <c r="Y313">
        <v>2</v>
      </c>
      <c r="Z313">
        <v>5</v>
      </c>
      <c r="AA313">
        <v>23</v>
      </c>
      <c r="AB313">
        <v>3</v>
      </c>
      <c r="AC313">
        <v>37</v>
      </c>
      <c r="AD313">
        <v>0</v>
      </c>
      <c r="AE313">
        <v>0</v>
      </c>
      <c r="AF313">
        <v>0</v>
      </c>
      <c r="AG313">
        <v>29</v>
      </c>
    </row>
    <row r="314" spans="1:33" x14ac:dyDescent="0.3">
      <c r="A314" t="s">
        <v>118</v>
      </c>
      <c r="B314" t="s">
        <v>137</v>
      </c>
      <c r="C314" s="2" t="s">
        <v>33</v>
      </c>
      <c r="D314">
        <v>149</v>
      </c>
      <c r="E314">
        <v>0</v>
      </c>
      <c r="F314">
        <v>47</v>
      </c>
      <c r="G314">
        <v>0</v>
      </c>
      <c r="H314">
        <v>4</v>
      </c>
      <c r="I314">
        <v>0</v>
      </c>
      <c r="J314">
        <v>0</v>
      </c>
      <c r="K314">
        <v>0</v>
      </c>
      <c r="L314">
        <v>11</v>
      </c>
      <c r="M314">
        <v>21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2</v>
      </c>
      <c r="U314">
        <v>7</v>
      </c>
      <c r="V314">
        <v>0</v>
      </c>
      <c r="W314">
        <v>0</v>
      </c>
      <c r="X314">
        <v>0</v>
      </c>
      <c r="Y314">
        <v>2</v>
      </c>
      <c r="Z314">
        <v>2</v>
      </c>
      <c r="AA314">
        <v>11</v>
      </c>
      <c r="AB314">
        <v>2</v>
      </c>
      <c r="AC314">
        <v>24</v>
      </c>
      <c r="AD314">
        <v>0</v>
      </c>
      <c r="AE314">
        <v>0</v>
      </c>
      <c r="AF314">
        <v>0</v>
      </c>
      <c r="AG314">
        <v>14</v>
      </c>
    </row>
    <row r="315" spans="1:33" x14ac:dyDescent="0.3">
      <c r="A315" t="s">
        <v>118</v>
      </c>
      <c r="B315" t="s">
        <v>137</v>
      </c>
      <c r="C315" s="2" t="s">
        <v>34</v>
      </c>
      <c r="D315">
        <v>174</v>
      </c>
      <c r="E315">
        <v>0</v>
      </c>
      <c r="F315">
        <v>88</v>
      </c>
      <c r="G315">
        <v>0</v>
      </c>
      <c r="H315">
        <v>23</v>
      </c>
      <c r="I315">
        <v>0</v>
      </c>
      <c r="J315">
        <v>0</v>
      </c>
      <c r="K315">
        <v>0</v>
      </c>
      <c r="L315">
        <v>3</v>
      </c>
      <c r="M315">
        <v>3</v>
      </c>
      <c r="N315">
        <v>7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3</v>
      </c>
      <c r="AA315">
        <v>12</v>
      </c>
      <c r="AB315">
        <v>1</v>
      </c>
      <c r="AC315">
        <v>13</v>
      </c>
      <c r="AD315">
        <v>0</v>
      </c>
      <c r="AE315">
        <v>0</v>
      </c>
      <c r="AF315">
        <v>0</v>
      </c>
      <c r="AG315">
        <v>15</v>
      </c>
    </row>
    <row r="316" spans="1:33" x14ac:dyDescent="0.3">
      <c r="A316" t="s">
        <v>118</v>
      </c>
      <c r="B316" t="s">
        <v>138</v>
      </c>
      <c r="C316" s="2" t="s">
        <v>30</v>
      </c>
      <c r="D316">
        <v>289</v>
      </c>
      <c r="E316">
        <v>1</v>
      </c>
      <c r="F316">
        <v>85</v>
      </c>
      <c r="G316">
        <v>0</v>
      </c>
      <c r="H316">
        <v>15</v>
      </c>
      <c r="I316">
        <v>0</v>
      </c>
      <c r="J316">
        <v>2</v>
      </c>
      <c r="K316">
        <v>2</v>
      </c>
      <c r="L316">
        <v>3</v>
      </c>
      <c r="M316">
        <v>0</v>
      </c>
      <c r="N316">
        <v>6</v>
      </c>
      <c r="O316">
        <v>2</v>
      </c>
      <c r="P316">
        <v>0</v>
      </c>
      <c r="Q316">
        <v>3</v>
      </c>
      <c r="R316">
        <v>0</v>
      </c>
      <c r="S316">
        <v>0</v>
      </c>
      <c r="T316">
        <v>9</v>
      </c>
      <c r="U316">
        <v>4</v>
      </c>
      <c r="V316">
        <v>0</v>
      </c>
      <c r="W316">
        <v>0</v>
      </c>
      <c r="X316">
        <v>0</v>
      </c>
      <c r="Y316">
        <v>2</v>
      </c>
      <c r="Z316">
        <v>10</v>
      </c>
      <c r="AA316">
        <v>12</v>
      </c>
      <c r="AB316">
        <v>8</v>
      </c>
      <c r="AC316">
        <v>79</v>
      </c>
      <c r="AD316">
        <v>0</v>
      </c>
      <c r="AE316">
        <v>21</v>
      </c>
      <c r="AF316">
        <v>0</v>
      </c>
      <c r="AG316">
        <v>25</v>
      </c>
    </row>
    <row r="317" spans="1:33" x14ac:dyDescent="0.3">
      <c r="A317" t="s">
        <v>118</v>
      </c>
      <c r="B317" t="s">
        <v>138</v>
      </c>
      <c r="C317" s="2" t="s">
        <v>33</v>
      </c>
      <c r="D317">
        <v>80</v>
      </c>
      <c r="E317">
        <v>0</v>
      </c>
      <c r="F317">
        <v>26</v>
      </c>
      <c r="G317">
        <v>0</v>
      </c>
      <c r="H317">
        <v>2</v>
      </c>
      <c r="I317">
        <v>0</v>
      </c>
      <c r="J317">
        <v>0</v>
      </c>
      <c r="K317">
        <v>2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3</v>
      </c>
      <c r="U317">
        <v>2</v>
      </c>
      <c r="V317">
        <v>0</v>
      </c>
      <c r="W317">
        <v>0</v>
      </c>
      <c r="X317">
        <v>0</v>
      </c>
      <c r="Y317">
        <v>1</v>
      </c>
      <c r="Z317">
        <v>2</v>
      </c>
      <c r="AA317">
        <v>5</v>
      </c>
      <c r="AB317">
        <v>1</v>
      </c>
      <c r="AC317">
        <v>13</v>
      </c>
      <c r="AD317">
        <v>0</v>
      </c>
      <c r="AE317">
        <v>4</v>
      </c>
      <c r="AF317">
        <v>0</v>
      </c>
      <c r="AG317">
        <v>13</v>
      </c>
    </row>
    <row r="318" spans="1:33" x14ac:dyDescent="0.3">
      <c r="A318" t="s">
        <v>118</v>
      </c>
      <c r="B318" t="s">
        <v>138</v>
      </c>
      <c r="C318" s="2" t="s">
        <v>34</v>
      </c>
      <c r="D318">
        <v>209</v>
      </c>
      <c r="E318">
        <v>1</v>
      </c>
      <c r="F318">
        <v>59</v>
      </c>
      <c r="G318">
        <v>0</v>
      </c>
      <c r="H318">
        <v>13</v>
      </c>
      <c r="I318">
        <v>0</v>
      </c>
      <c r="J318">
        <v>2</v>
      </c>
      <c r="K318">
        <v>0</v>
      </c>
      <c r="L318">
        <v>1</v>
      </c>
      <c r="M318">
        <v>0</v>
      </c>
      <c r="N318">
        <v>5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6</v>
      </c>
      <c r="U318">
        <v>2</v>
      </c>
      <c r="V318">
        <v>0</v>
      </c>
      <c r="W318">
        <v>0</v>
      </c>
      <c r="X318">
        <v>0</v>
      </c>
      <c r="Y318">
        <v>1</v>
      </c>
      <c r="Z318">
        <v>8</v>
      </c>
      <c r="AA318">
        <v>7</v>
      </c>
      <c r="AB318">
        <v>7</v>
      </c>
      <c r="AC318">
        <v>66</v>
      </c>
      <c r="AD318">
        <v>0</v>
      </c>
      <c r="AE318">
        <v>17</v>
      </c>
      <c r="AF318">
        <v>0</v>
      </c>
      <c r="AG318">
        <v>12</v>
      </c>
    </row>
    <row r="319" spans="1:33" x14ac:dyDescent="0.3">
      <c r="A319" t="s">
        <v>118</v>
      </c>
      <c r="B319" t="s">
        <v>139</v>
      </c>
      <c r="C319" s="2" t="s">
        <v>30</v>
      </c>
      <c r="D319">
        <v>285</v>
      </c>
      <c r="E319">
        <v>0</v>
      </c>
      <c r="F319">
        <v>115</v>
      </c>
      <c r="G319">
        <v>0</v>
      </c>
      <c r="H319">
        <v>17</v>
      </c>
      <c r="I319">
        <v>0</v>
      </c>
      <c r="J319">
        <v>1</v>
      </c>
      <c r="K319">
        <v>3</v>
      </c>
      <c r="L319">
        <v>7</v>
      </c>
      <c r="M319">
        <v>28</v>
      </c>
      <c r="N319">
        <v>6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3</v>
      </c>
      <c r="U319">
        <v>12</v>
      </c>
      <c r="V319">
        <v>0</v>
      </c>
      <c r="W319">
        <v>0</v>
      </c>
      <c r="X319">
        <v>0</v>
      </c>
      <c r="Y319">
        <v>2</v>
      </c>
      <c r="Z319">
        <v>9</v>
      </c>
      <c r="AA319">
        <v>8</v>
      </c>
      <c r="AB319">
        <v>10</v>
      </c>
      <c r="AC319">
        <v>51</v>
      </c>
      <c r="AD319">
        <v>0</v>
      </c>
      <c r="AE319">
        <v>0</v>
      </c>
      <c r="AF319">
        <v>0</v>
      </c>
      <c r="AG319">
        <v>12</v>
      </c>
    </row>
    <row r="320" spans="1:33" x14ac:dyDescent="0.3">
      <c r="A320" t="s">
        <v>118</v>
      </c>
      <c r="B320" t="s">
        <v>139</v>
      </c>
      <c r="C320" s="2" t="s">
        <v>33</v>
      </c>
      <c r="D320">
        <v>138</v>
      </c>
      <c r="E320">
        <v>0</v>
      </c>
      <c r="F320">
        <v>45</v>
      </c>
      <c r="G320">
        <v>0</v>
      </c>
      <c r="H320">
        <v>4</v>
      </c>
      <c r="I320">
        <v>0</v>
      </c>
      <c r="J320">
        <v>0</v>
      </c>
      <c r="K320">
        <v>2</v>
      </c>
      <c r="L320">
        <v>5</v>
      </c>
      <c r="M320">
        <v>27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3</v>
      </c>
      <c r="U320">
        <v>4</v>
      </c>
      <c r="V320">
        <v>0</v>
      </c>
      <c r="W320">
        <v>0</v>
      </c>
      <c r="X320">
        <v>0</v>
      </c>
      <c r="Y320">
        <v>0</v>
      </c>
      <c r="Z320">
        <v>4</v>
      </c>
      <c r="AA320">
        <v>4</v>
      </c>
      <c r="AB320">
        <v>6</v>
      </c>
      <c r="AC320">
        <v>25</v>
      </c>
      <c r="AD320">
        <v>0</v>
      </c>
      <c r="AE320">
        <v>0</v>
      </c>
      <c r="AF320">
        <v>0</v>
      </c>
      <c r="AG320">
        <v>7</v>
      </c>
    </row>
    <row r="321" spans="1:33" x14ac:dyDescent="0.3">
      <c r="A321" t="s">
        <v>118</v>
      </c>
      <c r="B321" t="s">
        <v>139</v>
      </c>
      <c r="C321" s="2" t="s">
        <v>34</v>
      </c>
      <c r="D321">
        <v>147</v>
      </c>
      <c r="E321">
        <v>0</v>
      </c>
      <c r="F321">
        <v>70</v>
      </c>
      <c r="G321">
        <v>0</v>
      </c>
      <c r="H321">
        <v>13</v>
      </c>
      <c r="I321">
        <v>0</v>
      </c>
      <c r="J321">
        <v>1</v>
      </c>
      <c r="K321">
        <v>1</v>
      </c>
      <c r="L321">
        <v>2</v>
      </c>
      <c r="M321">
        <v>1</v>
      </c>
      <c r="N321">
        <v>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8</v>
      </c>
      <c r="V321">
        <v>0</v>
      </c>
      <c r="W321">
        <v>0</v>
      </c>
      <c r="X321">
        <v>0</v>
      </c>
      <c r="Y321">
        <v>2</v>
      </c>
      <c r="Z321">
        <v>5</v>
      </c>
      <c r="AA321">
        <v>4</v>
      </c>
      <c r="AB321">
        <v>4</v>
      </c>
      <c r="AC321">
        <v>26</v>
      </c>
      <c r="AD321">
        <v>0</v>
      </c>
      <c r="AE321">
        <v>0</v>
      </c>
      <c r="AF321">
        <v>0</v>
      </c>
      <c r="AG321">
        <v>5</v>
      </c>
    </row>
    <row r="322" spans="1:33" x14ac:dyDescent="0.3">
      <c r="A322" t="s">
        <v>118</v>
      </c>
      <c r="B322" t="s">
        <v>140</v>
      </c>
      <c r="C322" s="2" t="s">
        <v>30</v>
      </c>
      <c r="D322">
        <v>256</v>
      </c>
      <c r="E322">
        <v>0</v>
      </c>
      <c r="F322">
        <v>65</v>
      </c>
      <c r="G322">
        <v>0</v>
      </c>
      <c r="H322">
        <v>16</v>
      </c>
      <c r="I322">
        <v>0</v>
      </c>
      <c r="J322">
        <v>3</v>
      </c>
      <c r="K322">
        <v>3</v>
      </c>
      <c r="L322">
        <v>10</v>
      </c>
      <c r="M322">
        <v>1</v>
      </c>
      <c r="N322">
        <v>5</v>
      </c>
      <c r="O322">
        <v>4</v>
      </c>
      <c r="P322">
        <v>0</v>
      </c>
      <c r="Q322">
        <v>1</v>
      </c>
      <c r="R322">
        <v>1</v>
      </c>
      <c r="S322">
        <v>3</v>
      </c>
      <c r="T322">
        <v>4</v>
      </c>
      <c r="U322">
        <v>12</v>
      </c>
      <c r="V322">
        <v>0</v>
      </c>
      <c r="W322">
        <v>0</v>
      </c>
      <c r="X322">
        <v>0</v>
      </c>
      <c r="Y322">
        <v>1</v>
      </c>
      <c r="Z322">
        <v>8</v>
      </c>
      <c r="AA322">
        <v>4</v>
      </c>
      <c r="AB322">
        <v>25</v>
      </c>
      <c r="AC322">
        <v>42</v>
      </c>
      <c r="AD322">
        <v>0</v>
      </c>
      <c r="AE322">
        <v>23</v>
      </c>
      <c r="AF322">
        <v>0</v>
      </c>
      <c r="AG322">
        <v>25</v>
      </c>
    </row>
    <row r="323" spans="1:33" x14ac:dyDescent="0.3">
      <c r="A323" t="s">
        <v>118</v>
      </c>
      <c r="B323" t="s">
        <v>140</v>
      </c>
      <c r="C323" s="2" t="s">
        <v>33</v>
      </c>
      <c r="D323">
        <v>121</v>
      </c>
      <c r="E323">
        <v>0</v>
      </c>
      <c r="F323">
        <v>27</v>
      </c>
      <c r="G323">
        <v>0</v>
      </c>
      <c r="H323">
        <v>3</v>
      </c>
      <c r="I323">
        <v>0</v>
      </c>
      <c r="J323">
        <v>2</v>
      </c>
      <c r="K323">
        <v>3</v>
      </c>
      <c r="L323">
        <v>8</v>
      </c>
      <c r="M323">
        <v>0</v>
      </c>
      <c r="N323">
        <v>1</v>
      </c>
      <c r="O323">
        <v>4</v>
      </c>
      <c r="P323">
        <v>0</v>
      </c>
      <c r="Q323">
        <v>1</v>
      </c>
      <c r="R323">
        <v>1</v>
      </c>
      <c r="S323">
        <v>3</v>
      </c>
      <c r="T323">
        <v>0</v>
      </c>
      <c r="U323">
        <v>8</v>
      </c>
      <c r="V323">
        <v>0</v>
      </c>
      <c r="W323">
        <v>0</v>
      </c>
      <c r="X323">
        <v>0</v>
      </c>
      <c r="Y323">
        <v>1</v>
      </c>
      <c r="Z323">
        <v>5</v>
      </c>
      <c r="AA323">
        <v>0</v>
      </c>
      <c r="AB323">
        <v>14</v>
      </c>
      <c r="AC323">
        <v>23</v>
      </c>
      <c r="AD323">
        <v>0</v>
      </c>
      <c r="AE323">
        <v>7</v>
      </c>
      <c r="AF323">
        <v>0</v>
      </c>
      <c r="AG323">
        <v>10</v>
      </c>
    </row>
    <row r="324" spans="1:33" x14ac:dyDescent="0.3">
      <c r="A324" t="s">
        <v>118</v>
      </c>
      <c r="B324" t="s">
        <v>140</v>
      </c>
      <c r="C324" s="2" t="s">
        <v>34</v>
      </c>
      <c r="D324">
        <v>135</v>
      </c>
      <c r="E324">
        <v>0</v>
      </c>
      <c r="F324">
        <v>38</v>
      </c>
      <c r="G324">
        <v>0</v>
      </c>
      <c r="H324">
        <v>13</v>
      </c>
      <c r="I324">
        <v>0</v>
      </c>
      <c r="J324">
        <v>1</v>
      </c>
      <c r="K324">
        <v>0</v>
      </c>
      <c r="L324">
        <v>2</v>
      </c>
      <c r="M324">
        <v>1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</v>
      </c>
      <c r="U324">
        <v>4</v>
      </c>
      <c r="V324">
        <v>0</v>
      </c>
      <c r="W324">
        <v>0</v>
      </c>
      <c r="X324">
        <v>0</v>
      </c>
      <c r="Y324">
        <v>0</v>
      </c>
      <c r="Z324">
        <v>3</v>
      </c>
      <c r="AA324">
        <v>4</v>
      </c>
      <c r="AB324">
        <v>11</v>
      </c>
      <c r="AC324">
        <v>19</v>
      </c>
      <c r="AD324">
        <v>0</v>
      </c>
      <c r="AE324">
        <v>16</v>
      </c>
      <c r="AF324">
        <v>0</v>
      </c>
      <c r="AG324">
        <v>15</v>
      </c>
    </row>
    <row r="325" spans="1:33" x14ac:dyDescent="0.3">
      <c r="A325" t="s">
        <v>118</v>
      </c>
      <c r="B325" t="s">
        <v>141</v>
      </c>
      <c r="C325" s="2" t="s">
        <v>30</v>
      </c>
      <c r="D325">
        <v>235</v>
      </c>
      <c r="E325">
        <v>0</v>
      </c>
      <c r="F325">
        <v>42</v>
      </c>
      <c r="G325">
        <v>0</v>
      </c>
      <c r="H325">
        <v>10</v>
      </c>
      <c r="I325">
        <v>0</v>
      </c>
      <c r="J325">
        <v>1</v>
      </c>
      <c r="K325">
        <v>1</v>
      </c>
      <c r="L325">
        <v>14</v>
      </c>
      <c r="M325">
        <v>2</v>
      </c>
      <c r="N325">
        <v>3</v>
      </c>
      <c r="O325">
        <v>2</v>
      </c>
      <c r="P325">
        <v>1</v>
      </c>
      <c r="Q325">
        <v>2</v>
      </c>
      <c r="R325">
        <v>1</v>
      </c>
      <c r="S325">
        <v>1</v>
      </c>
      <c r="T325">
        <v>16</v>
      </c>
      <c r="U325">
        <v>14</v>
      </c>
      <c r="V325">
        <v>0</v>
      </c>
      <c r="W325">
        <v>0</v>
      </c>
      <c r="X325">
        <v>0</v>
      </c>
      <c r="Y325">
        <v>3</v>
      </c>
      <c r="Z325">
        <v>9</v>
      </c>
      <c r="AA325">
        <v>16</v>
      </c>
      <c r="AB325">
        <v>2</v>
      </c>
      <c r="AC325">
        <v>54</v>
      </c>
      <c r="AD325">
        <v>0</v>
      </c>
      <c r="AE325">
        <v>26</v>
      </c>
      <c r="AF325">
        <v>0</v>
      </c>
      <c r="AG325">
        <v>15</v>
      </c>
    </row>
    <row r="326" spans="1:33" x14ac:dyDescent="0.3">
      <c r="A326" t="s">
        <v>118</v>
      </c>
      <c r="B326" t="s">
        <v>141</v>
      </c>
      <c r="C326" s="2" t="s">
        <v>33</v>
      </c>
      <c r="D326">
        <v>113</v>
      </c>
      <c r="E326">
        <v>0</v>
      </c>
      <c r="F326">
        <v>20</v>
      </c>
      <c r="G326">
        <v>0</v>
      </c>
      <c r="H326">
        <v>3</v>
      </c>
      <c r="I326">
        <v>0</v>
      </c>
      <c r="J326">
        <v>0</v>
      </c>
      <c r="K326">
        <v>1</v>
      </c>
      <c r="L326">
        <v>13</v>
      </c>
      <c r="M326">
        <v>2</v>
      </c>
      <c r="N326">
        <v>1</v>
      </c>
      <c r="O326">
        <v>1</v>
      </c>
      <c r="P326">
        <v>0</v>
      </c>
      <c r="Q326">
        <v>1</v>
      </c>
      <c r="R326">
        <v>1</v>
      </c>
      <c r="S326">
        <v>1</v>
      </c>
      <c r="T326">
        <v>16</v>
      </c>
      <c r="U326">
        <v>7</v>
      </c>
      <c r="V326">
        <v>0</v>
      </c>
      <c r="W326">
        <v>0</v>
      </c>
      <c r="X326">
        <v>0</v>
      </c>
      <c r="Y326">
        <v>3</v>
      </c>
      <c r="Z326">
        <v>5</v>
      </c>
      <c r="AA326">
        <v>4</v>
      </c>
      <c r="AB326">
        <v>2</v>
      </c>
      <c r="AC326">
        <v>21</v>
      </c>
      <c r="AD326">
        <v>0</v>
      </c>
      <c r="AE326">
        <v>4</v>
      </c>
      <c r="AF326">
        <v>0</v>
      </c>
      <c r="AG326">
        <v>7</v>
      </c>
    </row>
    <row r="327" spans="1:33" x14ac:dyDescent="0.3">
      <c r="A327" t="s">
        <v>118</v>
      </c>
      <c r="B327" t="s">
        <v>141</v>
      </c>
      <c r="C327" s="2" t="s">
        <v>34</v>
      </c>
      <c r="D327">
        <v>122</v>
      </c>
      <c r="E327">
        <v>0</v>
      </c>
      <c r="F327">
        <v>22</v>
      </c>
      <c r="G327">
        <v>0</v>
      </c>
      <c r="H327">
        <v>7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2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7</v>
      </c>
      <c r="V327">
        <v>0</v>
      </c>
      <c r="W327">
        <v>0</v>
      </c>
      <c r="X327">
        <v>0</v>
      </c>
      <c r="Y327">
        <v>0</v>
      </c>
      <c r="Z327">
        <v>4</v>
      </c>
      <c r="AA327">
        <v>12</v>
      </c>
      <c r="AB327">
        <v>0</v>
      </c>
      <c r="AC327">
        <v>33</v>
      </c>
      <c r="AD327">
        <v>0</v>
      </c>
      <c r="AE327">
        <v>22</v>
      </c>
      <c r="AF327">
        <v>0</v>
      </c>
      <c r="AG327">
        <v>8</v>
      </c>
    </row>
    <row r="328" spans="1:33" x14ac:dyDescent="0.3">
      <c r="A328" t="s">
        <v>118</v>
      </c>
      <c r="B328" t="s">
        <v>142</v>
      </c>
      <c r="C328" s="2" t="s">
        <v>30</v>
      </c>
      <c r="D328">
        <v>231</v>
      </c>
      <c r="E328">
        <v>0</v>
      </c>
      <c r="F328">
        <v>23</v>
      </c>
      <c r="G328">
        <v>0</v>
      </c>
      <c r="H328">
        <v>11</v>
      </c>
      <c r="I328">
        <v>0</v>
      </c>
      <c r="J328">
        <v>3</v>
      </c>
      <c r="K328">
        <v>4</v>
      </c>
      <c r="L328">
        <v>5</v>
      </c>
      <c r="M328">
        <v>62</v>
      </c>
      <c r="N328">
        <v>2</v>
      </c>
      <c r="O328">
        <v>3</v>
      </c>
      <c r="P328">
        <v>0</v>
      </c>
      <c r="Q328">
        <v>6</v>
      </c>
      <c r="R328">
        <v>3</v>
      </c>
      <c r="S328">
        <v>2</v>
      </c>
      <c r="T328">
        <v>1</v>
      </c>
      <c r="U328">
        <v>13</v>
      </c>
      <c r="V328">
        <v>0</v>
      </c>
      <c r="W328">
        <v>0</v>
      </c>
      <c r="X328">
        <v>0</v>
      </c>
      <c r="Y328">
        <v>1</v>
      </c>
      <c r="Z328">
        <v>5</v>
      </c>
      <c r="AA328">
        <v>21</v>
      </c>
      <c r="AB328">
        <v>5</v>
      </c>
      <c r="AC328">
        <v>39</v>
      </c>
      <c r="AD328">
        <v>0</v>
      </c>
      <c r="AE328">
        <v>0</v>
      </c>
      <c r="AF328">
        <v>0</v>
      </c>
      <c r="AG328">
        <v>22</v>
      </c>
    </row>
    <row r="329" spans="1:33" x14ac:dyDescent="0.3">
      <c r="A329" t="s">
        <v>118</v>
      </c>
      <c r="B329" t="s">
        <v>142</v>
      </c>
      <c r="C329" s="2" t="s">
        <v>33</v>
      </c>
      <c r="D329">
        <v>144</v>
      </c>
      <c r="E329">
        <v>0</v>
      </c>
      <c r="F329">
        <v>5</v>
      </c>
      <c r="G329">
        <v>0</v>
      </c>
      <c r="H329">
        <v>2</v>
      </c>
      <c r="I329">
        <v>0</v>
      </c>
      <c r="J329">
        <v>2</v>
      </c>
      <c r="K329">
        <v>3</v>
      </c>
      <c r="L329">
        <v>3</v>
      </c>
      <c r="M329">
        <v>61</v>
      </c>
      <c r="N329">
        <v>0</v>
      </c>
      <c r="O329">
        <v>3</v>
      </c>
      <c r="P329">
        <v>0</v>
      </c>
      <c r="Q329">
        <v>4</v>
      </c>
      <c r="R329">
        <v>3</v>
      </c>
      <c r="S329">
        <v>2</v>
      </c>
      <c r="T329">
        <v>0</v>
      </c>
      <c r="U329">
        <v>9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9</v>
      </c>
      <c r="AB329">
        <v>5</v>
      </c>
      <c r="AC329">
        <v>16</v>
      </c>
      <c r="AD329">
        <v>0</v>
      </c>
      <c r="AE329">
        <v>0</v>
      </c>
      <c r="AF329">
        <v>0</v>
      </c>
      <c r="AG329">
        <v>14</v>
      </c>
    </row>
    <row r="330" spans="1:33" x14ac:dyDescent="0.3">
      <c r="A330" t="s">
        <v>118</v>
      </c>
      <c r="B330" t="s">
        <v>142</v>
      </c>
      <c r="C330" s="2" t="s">
        <v>34</v>
      </c>
      <c r="D330">
        <v>87</v>
      </c>
      <c r="E330">
        <v>0</v>
      </c>
      <c r="F330">
        <v>18</v>
      </c>
      <c r="G330">
        <v>0</v>
      </c>
      <c r="H330">
        <v>9</v>
      </c>
      <c r="I330">
        <v>0</v>
      </c>
      <c r="J330">
        <v>1</v>
      </c>
      <c r="K330">
        <v>1</v>
      </c>
      <c r="L330">
        <v>2</v>
      </c>
      <c r="M330">
        <v>1</v>
      </c>
      <c r="N330">
        <v>2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1</v>
      </c>
      <c r="U330">
        <v>4</v>
      </c>
      <c r="V330">
        <v>0</v>
      </c>
      <c r="W330">
        <v>0</v>
      </c>
      <c r="X330">
        <v>0</v>
      </c>
      <c r="Y330">
        <v>1</v>
      </c>
      <c r="Z330">
        <v>2</v>
      </c>
      <c r="AA330">
        <v>12</v>
      </c>
      <c r="AB330">
        <v>0</v>
      </c>
      <c r="AC330">
        <v>23</v>
      </c>
      <c r="AD330">
        <v>0</v>
      </c>
      <c r="AE330">
        <v>0</v>
      </c>
      <c r="AF330">
        <v>0</v>
      </c>
      <c r="AG330">
        <v>8</v>
      </c>
    </row>
    <row r="331" spans="1:33" x14ac:dyDescent="0.3">
      <c r="A331" t="s">
        <v>118</v>
      </c>
      <c r="B331" t="s">
        <v>143</v>
      </c>
      <c r="C331" s="2" t="s">
        <v>30</v>
      </c>
      <c r="D331">
        <v>213</v>
      </c>
      <c r="E331">
        <v>0</v>
      </c>
      <c r="F331">
        <v>78</v>
      </c>
      <c r="G331">
        <v>0</v>
      </c>
      <c r="H331">
        <v>15</v>
      </c>
      <c r="I331">
        <v>0</v>
      </c>
      <c r="J331">
        <v>2</v>
      </c>
      <c r="K331">
        <v>0</v>
      </c>
      <c r="L331">
        <v>6</v>
      </c>
      <c r="M331">
        <v>3</v>
      </c>
      <c r="N331">
        <v>2</v>
      </c>
      <c r="O331">
        <v>1</v>
      </c>
      <c r="P331">
        <v>0</v>
      </c>
      <c r="Q331">
        <v>3</v>
      </c>
      <c r="R331">
        <v>0</v>
      </c>
      <c r="S331">
        <v>6</v>
      </c>
      <c r="T331">
        <v>5</v>
      </c>
      <c r="U331">
        <v>5</v>
      </c>
      <c r="V331">
        <v>0</v>
      </c>
      <c r="W331">
        <v>0</v>
      </c>
      <c r="X331">
        <v>0</v>
      </c>
      <c r="Y331">
        <v>4</v>
      </c>
      <c r="Z331">
        <v>8</v>
      </c>
      <c r="AA331">
        <v>0</v>
      </c>
      <c r="AB331">
        <v>5</v>
      </c>
      <c r="AC331">
        <v>32</v>
      </c>
      <c r="AD331">
        <v>0</v>
      </c>
      <c r="AE331">
        <v>19</v>
      </c>
      <c r="AF331">
        <v>0</v>
      </c>
      <c r="AG331">
        <v>19</v>
      </c>
    </row>
    <row r="332" spans="1:33" x14ac:dyDescent="0.3">
      <c r="A332" t="s">
        <v>118</v>
      </c>
      <c r="B332" t="s">
        <v>143</v>
      </c>
      <c r="C332" s="2" t="s">
        <v>33</v>
      </c>
      <c r="D332">
        <v>88</v>
      </c>
      <c r="E332">
        <v>0</v>
      </c>
      <c r="F332">
        <v>29</v>
      </c>
      <c r="G332">
        <v>0</v>
      </c>
      <c r="H332">
        <v>2</v>
      </c>
      <c r="I332">
        <v>0</v>
      </c>
      <c r="J332">
        <v>1</v>
      </c>
      <c r="K332">
        <v>0</v>
      </c>
      <c r="L332">
        <v>5</v>
      </c>
      <c r="M332">
        <v>3</v>
      </c>
      <c r="N332">
        <v>0</v>
      </c>
      <c r="O332">
        <v>1</v>
      </c>
      <c r="P332">
        <v>0</v>
      </c>
      <c r="Q332">
        <v>3</v>
      </c>
      <c r="R332">
        <v>0</v>
      </c>
      <c r="S332">
        <v>6</v>
      </c>
      <c r="T332">
        <v>2</v>
      </c>
      <c r="U332">
        <v>3</v>
      </c>
      <c r="V332">
        <v>0</v>
      </c>
      <c r="W332">
        <v>0</v>
      </c>
      <c r="X332">
        <v>0</v>
      </c>
      <c r="Y332">
        <v>2</v>
      </c>
      <c r="Z332">
        <v>2</v>
      </c>
      <c r="AA332">
        <v>0</v>
      </c>
      <c r="AB332">
        <v>3</v>
      </c>
      <c r="AC332">
        <v>12</v>
      </c>
      <c r="AD332">
        <v>0</v>
      </c>
      <c r="AE332">
        <v>3</v>
      </c>
      <c r="AF332">
        <v>0</v>
      </c>
      <c r="AG332">
        <v>11</v>
      </c>
    </row>
    <row r="333" spans="1:33" x14ac:dyDescent="0.3">
      <c r="A333" t="s">
        <v>118</v>
      </c>
      <c r="B333" t="s">
        <v>143</v>
      </c>
      <c r="C333" s="2" t="s">
        <v>34</v>
      </c>
      <c r="D333">
        <v>125</v>
      </c>
      <c r="E333">
        <v>0</v>
      </c>
      <c r="F333">
        <v>49</v>
      </c>
      <c r="G333">
        <v>0</v>
      </c>
      <c r="H333">
        <v>13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3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6</v>
      </c>
      <c r="AA333">
        <v>0</v>
      </c>
      <c r="AB333">
        <v>2</v>
      </c>
      <c r="AC333">
        <v>20</v>
      </c>
      <c r="AD333">
        <v>0</v>
      </c>
      <c r="AE333">
        <v>16</v>
      </c>
      <c r="AF333">
        <v>0</v>
      </c>
      <c r="AG333">
        <v>8</v>
      </c>
    </row>
    <row r="334" spans="1:33" x14ac:dyDescent="0.3">
      <c r="A334" t="s">
        <v>118</v>
      </c>
      <c r="B334" t="s">
        <v>144</v>
      </c>
      <c r="C334" s="2" t="s">
        <v>30</v>
      </c>
      <c r="D334">
        <v>183</v>
      </c>
      <c r="E334">
        <v>0</v>
      </c>
      <c r="F334">
        <v>100</v>
      </c>
      <c r="G334">
        <v>0</v>
      </c>
      <c r="H334">
        <v>5</v>
      </c>
      <c r="I334">
        <v>0</v>
      </c>
      <c r="J334">
        <v>1</v>
      </c>
      <c r="K334">
        <v>1</v>
      </c>
      <c r="L334">
        <v>1</v>
      </c>
      <c r="M334">
        <v>2</v>
      </c>
      <c r="N334">
        <v>5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7</v>
      </c>
      <c r="V334">
        <v>0</v>
      </c>
      <c r="W334">
        <v>0</v>
      </c>
      <c r="X334">
        <v>0</v>
      </c>
      <c r="Y334">
        <v>0</v>
      </c>
      <c r="Z334">
        <v>8</v>
      </c>
      <c r="AA334">
        <v>2</v>
      </c>
      <c r="AB334">
        <v>4</v>
      </c>
      <c r="AC334">
        <v>23</v>
      </c>
      <c r="AD334">
        <v>1</v>
      </c>
      <c r="AE334">
        <v>0</v>
      </c>
      <c r="AF334">
        <v>0</v>
      </c>
      <c r="AG334">
        <v>21</v>
      </c>
    </row>
    <row r="335" spans="1:33" x14ac:dyDescent="0.3">
      <c r="A335" t="s">
        <v>118</v>
      </c>
      <c r="B335" t="s">
        <v>144</v>
      </c>
      <c r="C335" s="2" t="s">
        <v>33</v>
      </c>
      <c r="D335">
        <v>80</v>
      </c>
      <c r="E335">
        <v>0</v>
      </c>
      <c r="F335">
        <v>49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</v>
      </c>
      <c r="V335">
        <v>0</v>
      </c>
      <c r="W335">
        <v>0</v>
      </c>
      <c r="X335">
        <v>0</v>
      </c>
      <c r="Y335">
        <v>0</v>
      </c>
      <c r="Z335">
        <v>5</v>
      </c>
      <c r="AA335">
        <v>0</v>
      </c>
      <c r="AB335">
        <v>3</v>
      </c>
      <c r="AC335">
        <v>5</v>
      </c>
      <c r="AD335">
        <v>0</v>
      </c>
      <c r="AE335">
        <v>0</v>
      </c>
      <c r="AF335">
        <v>0</v>
      </c>
      <c r="AG335">
        <v>9</v>
      </c>
    </row>
    <row r="336" spans="1:33" x14ac:dyDescent="0.3">
      <c r="A336" t="s">
        <v>118</v>
      </c>
      <c r="B336" t="s">
        <v>144</v>
      </c>
      <c r="C336" s="2" t="s">
        <v>34</v>
      </c>
      <c r="D336">
        <v>103</v>
      </c>
      <c r="E336">
        <v>0</v>
      </c>
      <c r="F336">
        <v>51</v>
      </c>
      <c r="G336">
        <v>0</v>
      </c>
      <c r="H336">
        <v>5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4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3</v>
      </c>
      <c r="AA336">
        <v>2</v>
      </c>
      <c r="AB336">
        <v>1</v>
      </c>
      <c r="AC336">
        <v>18</v>
      </c>
      <c r="AD336">
        <v>1</v>
      </c>
      <c r="AE336">
        <v>0</v>
      </c>
      <c r="AF336">
        <v>0</v>
      </c>
      <c r="AG336">
        <v>12</v>
      </c>
    </row>
    <row r="337" spans="1:33" x14ac:dyDescent="0.3">
      <c r="A337" t="s">
        <v>118</v>
      </c>
      <c r="B337" t="s">
        <v>145</v>
      </c>
      <c r="C337" s="2" t="s">
        <v>30</v>
      </c>
      <c r="D337">
        <v>167</v>
      </c>
      <c r="E337">
        <v>0</v>
      </c>
      <c r="F337">
        <v>52</v>
      </c>
      <c r="G337">
        <v>0</v>
      </c>
      <c r="H337">
        <v>15</v>
      </c>
      <c r="I337">
        <v>0</v>
      </c>
      <c r="J337">
        <v>0</v>
      </c>
      <c r="K337">
        <v>0</v>
      </c>
      <c r="L337">
        <v>2</v>
      </c>
      <c r="M337">
        <v>3</v>
      </c>
      <c r="N337">
        <v>4</v>
      </c>
      <c r="O337">
        <v>2</v>
      </c>
      <c r="P337">
        <v>0</v>
      </c>
      <c r="Q337">
        <v>0</v>
      </c>
      <c r="R337">
        <v>1</v>
      </c>
      <c r="S337">
        <v>0</v>
      </c>
      <c r="T337">
        <v>3</v>
      </c>
      <c r="U337">
        <v>9</v>
      </c>
      <c r="V337">
        <v>0</v>
      </c>
      <c r="W337">
        <v>0</v>
      </c>
      <c r="X337">
        <v>0</v>
      </c>
      <c r="Y337">
        <v>3</v>
      </c>
      <c r="Z337">
        <v>9</v>
      </c>
      <c r="AA337">
        <v>8</v>
      </c>
      <c r="AB337">
        <v>11</v>
      </c>
      <c r="AC337">
        <v>37</v>
      </c>
      <c r="AD337">
        <v>0</v>
      </c>
      <c r="AE337">
        <v>0</v>
      </c>
      <c r="AF337">
        <v>0</v>
      </c>
      <c r="AG337">
        <v>8</v>
      </c>
    </row>
    <row r="338" spans="1:33" x14ac:dyDescent="0.3">
      <c r="A338" t="s">
        <v>118</v>
      </c>
      <c r="B338" t="s">
        <v>145</v>
      </c>
      <c r="C338" s="2" t="s">
        <v>33</v>
      </c>
      <c r="D338">
        <v>58</v>
      </c>
      <c r="E338">
        <v>0</v>
      </c>
      <c r="F338">
        <v>13</v>
      </c>
      <c r="G338">
        <v>0</v>
      </c>
      <c r="H338">
        <v>4</v>
      </c>
      <c r="I338">
        <v>0</v>
      </c>
      <c r="J338">
        <v>0</v>
      </c>
      <c r="K338">
        <v>0</v>
      </c>
      <c r="L338">
        <v>2</v>
      </c>
      <c r="M338">
        <v>3</v>
      </c>
      <c r="N338">
        <v>0</v>
      </c>
      <c r="O338">
        <v>2</v>
      </c>
      <c r="P338">
        <v>0</v>
      </c>
      <c r="Q338">
        <v>0</v>
      </c>
      <c r="R338">
        <v>1</v>
      </c>
      <c r="S338">
        <v>0</v>
      </c>
      <c r="T338">
        <v>2</v>
      </c>
      <c r="U338">
        <v>6</v>
      </c>
      <c r="V338">
        <v>0</v>
      </c>
      <c r="W338">
        <v>0</v>
      </c>
      <c r="X338">
        <v>0</v>
      </c>
      <c r="Y338">
        <v>1</v>
      </c>
      <c r="Z338">
        <v>3</v>
      </c>
      <c r="AA338">
        <v>1</v>
      </c>
      <c r="AB338">
        <v>3</v>
      </c>
      <c r="AC338">
        <v>12</v>
      </c>
      <c r="AD338">
        <v>0</v>
      </c>
      <c r="AE338">
        <v>0</v>
      </c>
      <c r="AF338">
        <v>0</v>
      </c>
      <c r="AG338">
        <v>5</v>
      </c>
    </row>
    <row r="339" spans="1:33" x14ac:dyDescent="0.3">
      <c r="A339" t="s">
        <v>118</v>
      </c>
      <c r="B339" t="s">
        <v>145</v>
      </c>
      <c r="C339" s="2" t="s">
        <v>34</v>
      </c>
      <c r="D339">
        <v>109</v>
      </c>
      <c r="E339">
        <v>0</v>
      </c>
      <c r="F339">
        <v>39</v>
      </c>
      <c r="G339">
        <v>0</v>
      </c>
      <c r="H339">
        <v>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3</v>
      </c>
      <c r="V339">
        <v>0</v>
      </c>
      <c r="W339">
        <v>0</v>
      </c>
      <c r="X339">
        <v>0</v>
      </c>
      <c r="Y339">
        <v>2</v>
      </c>
      <c r="Z339">
        <v>6</v>
      </c>
      <c r="AA339">
        <v>7</v>
      </c>
      <c r="AB339">
        <v>8</v>
      </c>
      <c r="AC339">
        <v>25</v>
      </c>
      <c r="AD339">
        <v>0</v>
      </c>
      <c r="AE339">
        <v>0</v>
      </c>
      <c r="AF339">
        <v>0</v>
      </c>
      <c r="AG339">
        <v>3</v>
      </c>
    </row>
    <row r="340" spans="1:33" x14ac:dyDescent="0.3">
      <c r="A340" t="s">
        <v>118</v>
      </c>
      <c r="B340" t="s">
        <v>146</v>
      </c>
      <c r="C340" s="2" t="s">
        <v>30</v>
      </c>
      <c r="D340">
        <v>132</v>
      </c>
      <c r="E340">
        <v>0</v>
      </c>
      <c r="F340">
        <v>37</v>
      </c>
      <c r="G340">
        <v>0</v>
      </c>
      <c r="H340">
        <v>17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4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6</v>
      </c>
      <c r="U340">
        <v>3</v>
      </c>
      <c r="V340">
        <v>0</v>
      </c>
      <c r="W340">
        <v>0</v>
      </c>
      <c r="X340">
        <v>0</v>
      </c>
      <c r="Y340">
        <v>5</v>
      </c>
      <c r="Z340">
        <v>7</v>
      </c>
      <c r="AA340">
        <v>2</v>
      </c>
      <c r="AB340">
        <v>3</v>
      </c>
      <c r="AC340">
        <v>22</v>
      </c>
      <c r="AD340">
        <v>6</v>
      </c>
      <c r="AE340">
        <v>0</v>
      </c>
      <c r="AF340">
        <v>0</v>
      </c>
      <c r="AG340">
        <v>17</v>
      </c>
    </row>
    <row r="341" spans="1:33" x14ac:dyDescent="0.3">
      <c r="A341" t="s">
        <v>118</v>
      </c>
      <c r="B341" t="s">
        <v>146</v>
      </c>
      <c r="C341" s="2" t="s">
        <v>33</v>
      </c>
      <c r="D341">
        <v>23</v>
      </c>
      <c r="E341">
        <v>0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1</v>
      </c>
      <c r="AB341">
        <v>2</v>
      </c>
      <c r="AC341">
        <v>0</v>
      </c>
      <c r="AD341">
        <v>1</v>
      </c>
      <c r="AE341">
        <v>0</v>
      </c>
      <c r="AF341">
        <v>0</v>
      </c>
      <c r="AG341">
        <v>7</v>
      </c>
    </row>
    <row r="342" spans="1:33" x14ac:dyDescent="0.3">
      <c r="A342" t="s">
        <v>118</v>
      </c>
      <c r="B342" t="s">
        <v>146</v>
      </c>
      <c r="C342" s="2" t="s">
        <v>34</v>
      </c>
      <c r="D342">
        <v>109</v>
      </c>
      <c r="E342">
        <v>0</v>
      </c>
      <c r="F342">
        <v>34</v>
      </c>
      <c r="G342">
        <v>0</v>
      </c>
      <c r="H342">
        <v>17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</v>
      </c>
      <c r="U342">
        <v>3</v>
      </c>
      <c r="V342">
        <v>0</v>
      </c>
      <c r="W342">
        <v>0</v>
      </c>
      <c r="X342">
        <v>0</v>
      </c>
      <c r="Y342">
        <v>3</v>
      </c>
      <c r="Z342">
        <v>7</v>
      </c>
      <c r="AA342">
        <v>1</v>
      </c>
      <c r="AB342">
        <v>1</v>
      </c>
      <c r="AC342">
        <v>22</v>
      </c>
      <c r="AD342">
        <v>5</v>
      </c>
      <c r="AE342">
        <v>0</v>
      </c>
      <c r="AF342">
        <v>0</v>
      </c>
      <c r="AG342">
        <v>10</v>
      </c>
    </row>
    <row r="343" spans="1:33" x14ac:dyDescent="0.3">
      <c r="A343" t="s">
        <v>118</v>
      </c>
      <c r="B343" t="s">
        <v>147</v>
      </c>
      <c r="C343" s="2" t="s">
        <v>30</v>
      </c>
      <c r="D343">
        <v>100</v>
      </c>
      <c r="E343">
        <v>0</v>
      </c>
      <c r="F343">
        <v>36</v>
      </c>
      <c r="G343">
        <v>0</v>
      </c>
      <c r="H343">
        <v>11</v>
      </c>
      <c r="I343">
        <v>0</v>
      </c>
      <c r="J343">
        <v>1</v>
      </c>
      <c r="K343">
        <v>0</v>
      </c>
      <c r="L343">
        <v>3</v>
      </c>
      <c r="M343">
        <v>0</v>
      </c>
      <c r="N343">
        <v>2</v>
      </c>
      <c r="O343">
        <v>2</v>
      </c>
      <c r="P343">
        <v>0</v>
      </c>
      <c r="Q343">
        <v>1</v>
      </c>
      <c r="R343">
        <v>0</v>
      </c>
      <c r="S343">
        <v>1</v>
      </c>
      <c r="T343">
        <v>3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7</v>
      </c>
      <c r="AA343">
        <v>1</v>
      </c>
      <c r="AB343">
        <v>0</v>
      </c>
      <c r="AC343">
        <v>13</v>
      </c>
      <c r="AD343">
        <v>0</v>
      </c>
      <c r="AE343">
        <v>0</v>
      </c>
      <c r="AF343">
        <v>0</v>
      </c>
      <c r="AG343">
        <v>18</v>
      </c>
    </row>
    <row r="344" spans="1:33" x14ac:dyDescent="0.3">
      <c r="A344" t="s">
        <v>118</v>
      </c>
      <c r="B344" t="s">
        <v>147</v>
      </c>
      <c r="C344" s="2" t="s">
        <v>33</v>
      </c>
      <c r="D344">
        <v>39</v>
      </c>
      <c r="E344">
        <v>0</v>
      </c>
      <c r="F344">
        <v>11</v>
      </c>
      <c r="G344">
        <v>0</v>
      </c>
      <c r="H344">
        <v>2</v>
      </c>
      <c r="I344">
        <v>0</v>
      </c>
      <c r="J344">
        <v>1</v>
      </c>
      <c r="K344">
        <v>0</v>
      </c>
      <c r="L344">
        <v>3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2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3</v>
      </c>
      <c r="AA344">
        <v>1</v>
      </c>
      <c r="AB344">
        <v>0</v>
      </c>
      <c r="AC344">
        <v>4</v>
      </c>
      <c r="AD344">
        <v>0</v>
      </c>
      <c r="AE344">
        <v>0</v>
      </c>
      <c r="AF344">
        <v>0</v>
      </c>
      <c r="AG344">
        <v>9</v>
      </c>
    </row>
    <row r="345" spans="1:33" x14ac:dyDescent="0.3">
      <c r="A345" t="s">
        <v>118</v>
      </c>
      <c r="B345" t="s">
        <v>147</v>
      </c>
      <c r="C345" s="2" t="s">
        <v>34</v>
      </c>
      <c r="D345">
        <v>61</v>
      </c>
      <c r="E345">
        <v>0</v>
      </c>
      <c r="F345">
        <v>25</v>
      </c>
      <c r="G345">
        <v>0</v>
      </c>
      <c r="H345">
        <v>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</v>
      </c>
      <c r="AA345">
        <v>0</v>
      </c>
      <c r="AB345">
        <v>0</v>
      </c>
      <c r="AC345">
        <v>9</v>
      </c>
      <c r="AD345">
        <v>0</v>
      </c>
      <c r="AE345">
        <v>0</v>
      </c>
      <c r="AF345">
        <v>0</v>
      </c>
      <c r="AG345">
        <v>9</v>
      </c>
    </row>
    <row r="346" spans="1:33" x14ac:dyDescent="0.3">
      <c r="A346" t="s">
        <v>118</v>
      </c>
      <c r="B346" t="s">
        <v>148</v>
      </c>
      <c r="C346" s="2" t="s">
        <v>30</v>
      </c>
      <c r="D346">
        <v>93</v>
      </c>
      <c r="E346">
        <v>0</v>
      </c>
      <c r="F346">
        <v>26</v>
      </c>
      <c r="G346">
        <v>0</v>
      </c>
      <c r="H346">
        <v>8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5</v>
      </c>
      <c r="O346">
        <v>0</v>
      </c>
      <c r="P346">
        <v>0</v>
      </c>
      <c r="Q346">
        <v>4</v>
      </c>
      <c r="R346">
        <v>0</v>
      </c>
      <c r="S346">
        <v>0</v>
      </c>
      <c r="T346">
        <v>1</v>
      </c>
      <c r="U346">
        <v>2</v>
      </c>
      <c r="V346">
        <v>0</v>
      </c>
      <c r="W346">
        <v>0</v>
      </c>
      <c r="X346">
        <v>0</v>
      </c>
      <c r="Y346">
        <v>5</v>
      </c>
      <c r="Z346">
        <v>9</v>
      </c>
      <c r="AA346">
        <v>9</v>
      </c>
      <c r="AB346">
        <v>10</v>
      </c>
      <c r="AC346">
        <v>12</v>
      </c>
      <c r="AD346">
        <v>1</v>
      </c>
      <c r="AE346">
        <v>0</v>
      </c>
      <c r="AF346">
        <v>0</v>
      </c>
      <c r="AG346">
        <v>0</v>
      </c>
    </row>
    <row r="347" spans="1:33" x14ac:dyDescent="0.3">
      <c r="A347" t="s">
        <v>118</v>
      </c>
      <c r="B347" t="s">
        <v>148</v>
      </c>
      <c r="C347" s="2" t="s">
        <v>33</v>
      </c>
      <c r="D347">
        <v>25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3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1</v>
      </c>
      <c r="AA347">
        <v>5</v>
      </c>
      <c r="AB347">
        <v>8</v>
      </c>
      <c r="AC347">
        <v>2</v>
      </c>
      <c r="AD347">
        <v>1</v>
      </c>
      <c r="AE347">
        <v>0</v>
      </c>
      <c r="AF347">
        <v>0</v>
      </c>
      <c r="AG347">
        <v>0</v>
      </c>
    </row>
    <row r="348" spans="1:33" x14ac:dyDescent="0.3">
      <c r="A348" t="s">
        <v>118</v>
      </c>
      <c r="B348" t="s">
        <v>148</v>
      </c>
      <c r="C348" s="2" t="s">
        <v>34</v>
      </c>
      <c r="D348">
        <v>68</v>
      </c>
      <c r="E348">
        <v>0</v>
      </c>
      <c r="F348">
        <v>26</v>
      </c>
      <c r="G348">
        <v>0</v>
      </c>
      <c r="H348">
        <v>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3</v>
      </c>
      <c r="Z348">
        <v>8</v>
      </c>
      <c r="AA348">
        <v>4</v>
      </c>
      <c r="AB348">
        <v>2</v>
      </c>
      <c r="AC348">
        <v>10</v>
      </c>
      <c r="AD348">
        <v>0</v>
      </c>
      <c r="AE348">
        <v>0</v>
      </c>
      <c r="AF348">
        <v>0</v>
      </c>
      <c r="AG348">
        <v>0</v>
      </c>
    </row>
    <row r="349" spans="1:33" x14ac:dyDescent="0.3">
      <c r="A349" t="s">
        <v>118</v>
      </c>
      <c r="B349" t="s">
        <v>149</v>
      </c>
      <c r="C349" s="2" t="s">
        <v>30</v>
      </c>
      <c r="D349">
        <v>91</v>
      </c>
      <c r="E349">
        <v>0</v>
      </c>
      <c r="F349">
        <v>12</v>
      </c>
      <c r="G349">
        <v>0</v>
      </c>
      <c r="H349">
        <v>4</v>
      </c>
      <c r="I349">
        <v>0</v>
      </c>
      <c r="J349">
        <v>1</v>
      </c>
      <c r="K349">
        <v>0</v>
      </c>
      <c r="L349">
        <v>1</v>
      </c>
      <c r="M349">
        <v>17</v>
      </c>
      <c r="N349">
        <v>3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4</v>
      </c>
      <c r="U349">
        <v>8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4</v>
      </c>
      <c r="AB349">
        <v>6</v>
      </c>
      <c r="AC349">
        <v>19</v>
      </c>
      <c r="AD349">
        <v>0</v>
      </c>
      <c r="AE349">
        <v>0</v>
      </c>
      <c r="AF349">
        <v>0</v>
      </c>
      <c r="AG349">
        <v>6</v>
      </c>
    </row>
    <row r="350" spans="1:33" x14ac:dyDescent="0.3">
      <c r="A350" t="s">
        <v>118</v>
      </c>
      <c r="B350" t="s">
        <v>149</v>
      </c>
      <c r="C350" s="2" t="s">
        <v>33</v>
      </c>
      <c r="D350">
        <v>53</v>
      </c>
      <c r="E350">
        <v>0</v>
      </c>
      <c r="F350">
        <v>5</v>
      </c>
      <c r="G350">
        <v>0</v>
      </c>
      <c r="H350">
        <v>2</v>
      </c>
      <c r="I350">
        <v>0</v>
      </c>
      <c r="J350">
        <v>1</v>
      </c>
      <c r="K350">
        <v>0</v>
      </c>
      <c r="L350">
        <v>1</v>
      </c>
      <c r="M350">
        <v>16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4</v>
      </c>
      <c r="U350">
        <v>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</v>
      </c>
      <c r="AB350">
        <v>2</v>
      </c>
      <c r="AC350">
        <v>9</v>
      </c>
      <c r="AD350">
        <v>0</v>
      </c>
      <c r="AE350">
        <v>0</v>
      </c>
      <c r="AF350">
        <v>0</v>
      </c>
      <c r="AG350">
        <v>5</v>
      </c>
    </row>
    <row r="351" spans="1:33" x14ac:dyDescent="0.3">
      <c r="A351" t="s">
        <v>118</v>
      </c>
      <c r="B351" t="s">
        <v>149</v>
      </c>
      <c r="C351" s="2" t="s">
        <v>34</v>
      </c>
      <c r="D351">
        <v>38</v>
      </c>
      <c r="E351">
        <v>0</v>
      </c>
      <c r="F351">
        <v>7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2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3</v>
      </c>
      <c r="AA351">
        <v>2</v>
      </c>
      <c r="AB351">
        <v>4</v>
      </c>
      <c r="AC351">
        <v>10</v>
      </c>
      <c r="AD351">
        <v>0</v>
      </c>
      <c r="AE351">
        <v>0</v>
      </c>
      <c r="AF351">
        <v>0</v>
      </c>
      <c r="AG351">
        <v>1</v>
      </c>
    </row>
    <row r="352" spans="1:33" x14ac:dyDescent="0.3">
      <c r="A352" t="s">
        <v>118</v>
      </c>
      <c r="B352" t="s">
        <v>150</v>
      </c>
      <c r="C352" s="2" t="s">
        <v>30</v>
      </c>
      <c r="D352">
        <v>87</v>
      </c>
      <c r="E352">
        <v>0</v>
      </c>
      <c r="F352">
        <v>18</v>
      </c>
      <c r="G352">
        <v>0</v>
      </c>
      <c r="H352">
        <v>9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2</v>
      </c>
      <c r="AA352">
        <v>10</v>
      </c>
      <c r="AB352">
        <v>2</v>
      </c>
      <c r="AC352">
        <v>19</v>
      </c>
      <c r="AD352">
        <v>2</v>
      </c>
      <c r="AE352">
        <v>1</v>
      </c>
      <c r="AF352">
        <v>0</v>
      </c>
      <c r="AG352">
        <v>9</v>
      </c>
    </row>
    <row r="353" spans="1:33" x14ac:dyDescent="0.3">
      <c r="A353" t="s">
        <v>118</v>
      </c>
      <c r="B353" t="s">
        <v>150</v>
      </c>
      <c r="C353" s="2" t="s">
        <v>33</v>
      </c>
      <c r="D353">
        <v>25</v>
      </c>
      <c r="E353">
        <v>0</v>
      </c>
      <c r="F353">
        <v>4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2</v>
      </c>
      <c r="AB353">
        <v>0</v>
      </c>
      <c r="AC353">
        <v>4</v>
      </c>
      <c r="AD353">
        <v>0</v>
      </c>
      <c r="AE353">
        <v>1</v>
      </c>
      <c r="AF353">
        <v>0</v>
      </c>
      <c r="AG353">
        <v>3</v>
      </c>
    </row>
    <row r="354" spans="1:33" x14ac:dyDescent="0.3">
      <c r="A354" t="s">
        <v>118</v>
      </c>
      <c r="B354" t="s">
        <v>150</v>
      </c>
      <c r="C354" s="2" t="s">
        <v>34</v>
      </c>
      <c r="D354">
        <v>62</v>
      </c>
      <c r="E354">
        <v>0</v>
      </c>
      <c r="F354">
        <v>14</v>
      </c>
      <c r="G354">
        <v>0</v>
      </c>
      <c r="H354">
        <v>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3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2</v>
      </c>
      <c r="AA354">
        <v>8</v>
      </c>
      <c r="AB354">
        <v>2</v>
      </c>
      <c r="AC354">
        <v>15</v>
      </c>
      <c r="AD354">
        <v>2</v>
      </c>
      <c r="AE354">
        <v>0</v>
      </c>
      <c r="AF354">
        <v>0</v>
      </c>
      <c r="AG354">
        <v>6</v>
      </c>
    </row>
    <row r="355" spans="1:33" x14ac:dyDescent="0.3">
      <c r="A355" t="s">
        <v>118</v>
      </c>
      <c r="B355" t="s">
        <v>151</v>
      </c>
      <c r="C355" s="2" t="s">
        <v>30</v>
      </c>
      <c r="D355">
        <v>80</v>
      </c>
      <c r="E355">
        <v>0</v>
      </c>
      <c r="F355">
        <v>9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2</v>
      </c>
      <c r="O355">
        <v>1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6</v>
      </c>
      <c r="V355">
        <v>0</v>
      </c>
      <c r="W355">
        <v>0</v>
      </c>
      <c r="X355">
        <v>0</v>
      </c>
      <c r="Y355">
        <v>1</v>
      </c>
      <c r="Z355">
        <v>5</v>
      </c>
      <c r="AA355">
        <v>1</v>
      </c>
      <c r="AB355">
        <v>7</v>
      </c>
      <c r="AC355">
        <v>39</v>
      </c>
      <c r="AD355">
        <v>0</v>
      </c>
      <c r="AE355">
        <v>4</v>
      </c>
      <c r="AF355">
        <v>0</v>
      </c>
      <c r="AG355">
        <v>0</v>
      </c>
    </row>
    <row r="356" spans="1:33" x14ac:dyDescent="0.3">
      <c r="A356" t="s">
        <v>118</v>
      </c>
      <c r="B356" t="s">
        <v>151</v>
      </c>
      <c r="C356" s="2" t="s">
        <v>33</v>
      </c>
      <c r="D356">
        <v>21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2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2</v>
      </c>
      <c r="AC356">
        <v>9</v>
      </c>
      <c r="AD356">
        <v>0</v>
      </c>
      <c r="AE356">
        <v>1</v>
      </c>
      <c r="AF356">
        <v>0</v>
      </c>
      <c r="AG356">
        <v>0</v>
      </c>
    </row>
    <row r="357" spans="1:33" x14ac:dyDescent="0.3">
      <c r="A357" t="s">
        <v>118</v>
      </c>
      <c r="B357" t="s">
        <v>151</v>
      </c>
      <c r="C357" s="2" t="s">
        <v>34</v>
      </c>
      <c r="D357">
        <v>59</v>
      </c>
      <c r="E357">
        <v>0</v>
      </c>
      <c r="F357">
        <v>8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1</v>
      </c>
      <c r="Z357">
        <v>3</v>
      </c>
      <c r="AA357">
        <v>1</v>
      </c>
      <c r="AB357">
        <v>5</v>
      </c>
      <c r="AC357">
        <v>30</v>
      </c>
      <c r="AD357">
        <v>0</v>
      </c>
      <c r="AE357">
        <v>3</v>
      </c>
      <c r="AF357">
        <v>0</v>
      </c>
      <c r="AG357">
        <v>0</v>
      </c>
    </row>
    <row r="358" spans="1:33" x14ac:dyDescent="0.3">
      <c r="A358" t="s">
        <v>118</v>
      </c>
      <c r="B358" t="s">
        <v>152</v>
      </c>
      <c r="C358" s="2" t="s">
        <v>30</v>
      </c>
      <c r="D358">
        <v>77</v>
      </c>
      <c r="E358">
        <v>0</v>
      </c>
      <c r="F358">
        <v>16</v>
      </c>
      <c r="G358">
        <v>0</v>
      </c>
      <c r="H358">
        <v>6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5</v>
      </c>
      <c r="O358">
        <v>1</v>
      </c>
      <c r="P358">
        <v>0</v>
      </c>
      <c r="Q358">
        <v>0</v>
      </c>
      <c r="R358">
        <v>2</v>
      </c>
      <c r="S358">
        <v>1</v>
      </c>
      <c r="T358">
        <v>2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9</v>
      </c>
      <c r="AB358">
        <v>3</v>
      </c>
      <c r="AC358">
        <v>17</v>
      </c>
      <c r="AD358">
        <v>0</v>
      </c>
      <c r="AE358">
        <v>0</v>
      </c>
      <c r="AF358">
        <v>0</v>
      </c>
      <c r="AG358">
        <v>8</v>
      </c>
    </row>
    <row r="359" spans="1:33" x14ac:dyDescent="0.3">
      <c r="A359" t="s">
        <v>118</v>
      </c>
      <c r="B359" t="s">
        <v>152</v>
      </c>
      <c r="C359" s="2" t="s">
        <v>33</v>
      </c>
      <c r="D359">
        <v>31</v>
      </c>
      <c r="E359">
        <v>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2</v>
      </c>
      <c r="O359">
        <v>0</v>
      </c>
      <c r="P359">
        <v>0</v>
      </c>
      <c r="Q359">
        <v>0</v>
      </c>
      <c r="R359">
        <v>2</v>
      </c>
      <c r="S359">
        <v>1</v>
      </c>
      <c r="T359">
        <v>2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1</v>
      </c>
      <c r="AC359">
        <v>8</v>
      </c>
      <c r="AD359">
        <v>0</v>
      </c>
      <c r="AE359">
        <v>0</v>
      </c>
      <c r="AF359">
        <v>0</v>
      </c>
      <c r="AG359">
        <v>5</v>
      </c>
    </row>
    <row r="360" spans="1:33" x14ac:dyDescent="0.3">
      <c r="A360" t="s">
        <v>118</v>
      </c>
      <c r="B360" t="s">
        <v>152</v>
      </c>
      <c r="C360" s="2" t="s">
        <v>34</v>
      </c>
      <c r="D360">
        <v>46</v>
      </c>
      <c r="E360">
        <v>0</v>
      </c>
      <c r="F360">
        <v>12</v>
      </c>
      <c r="G360">
        <v>0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7</v>
      </c>
      <c r="AB360">
        <v>2</v>
      </c>
      <c r="AC360">
        <v>9</v>
      </c>
      <c r="AD360">
        <v>0</v>
      </c>
      <c r="AE360">
        <v>0</v>
      </c>
      <c r="AF360">
        <v>0</v>
      </c>
      <c r="AG360">
        <v>3</v>
      </c>
    </row>
    <row r="361" spans="1:33" x14ac:dyDescent="0.3">
      <c r="A361" t="s">
        <v>118</v>
      </c>
      <c r="B361" t="s">
        <v>153</v>
      </c>
      <c r="C361" s="2" t="s">
        <v>30</v>
      </c>
      <c r="D361">
        <v>66</v>
      </c>
      <c r="E361">
        <v>0</v>
      </c>
      <c r="F361">
        <v>14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9</v>
      </c>
      <c r="Z361">
        <v>1</v>
      </c>
      <c r="AA361">
        <v>5</v>
      </c>
      <c r="AB361">
        <v>4</v>
      </c>
      <c r="AC361">
        <v>18</v>
      </c>
      <c r="AD361">
        <v>4</v>
      </c>
      <c r="AE361">
        <v>0</v>
      </c>
      <c r="AF361">
        <v>1</v>
      </c>
      <c r="AG361">
        <v>5</v>
      </c>
    </row>
    <row r="362" spans="1:33" x14ac:dyDescent="0.3">
      <c r="A362" t="s">
        <v>118</v>
      </c>
      <c r="B362" t="s">
        <v>153</v>
      </c>
      <c r="C362" s="2" t="s">
        <v>33</v>
      </c>
      <c r="D362">
        <v>18</v>
      </c>
      <c r="E362">
        <v>0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4</v>
      </c>
      <c r="Z362">
        <v>0</v>
      </c>
      <c r="AA362">
        <v>2</v>
      </c>
      <c r="AB362">
        <v>3</v>
      </c>
      <c r="AC362">
        <v>0</v>
      </c>
      <c r="AD362">
        <v>3</v>
      </c>
      <c r="AE362">
        <v>0</v>
      </c>
      <c r="AF362">
        <v>1</v>
      </c>
      <c r="AG362">
        <v>1</v>
      </c>
    </row>
    <row r="363" spans="1:33" x14ac:dyDescent="0.3">
      <c r="A363" t="s">
        <v>118</v>
      </c>
      <c r="B363" t="s">
        <v>153</v>
      </c>
      <c r="C363" s="2" t="s">
        <v>34</v>
      </c>
      <c r="D363">
        <v>48</v>
      </c>
      <c r="E363">
        <v>0</v>
      </c>
      <c r="F363">
        <v>11</v>
      </c>
      <c r="G363">
        <v>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5</v>
      </c>
      <c r="Z363">
        <v>1</v>
      </c>
      <c r="AA363">
        <v>3</v>
      </c>
      <c r="AB363">
        <v>1</v>
      </c>
      <c r="AC363">
        <v>18</v>
      </c>
      <c r="AD363">
        <v>1</v>
      </c>
      <c r="AE363">
        <v>0</v>
      </c>
      <c r="AF363">
        <v>0</v>
      </c>
      <c r="AG363">
        <v>4</v>
      </c>
    </row>
    <row r="364" spans="1:33" x14ac:dyDescent="0.3">
      <c r="A364" t="s">
        <v>118</v>
      </c>
      <c r="B364" t="s">
        <v>154</v>
      </c>
      <c r="C364" s="2" t="s">
        <v>30</v>
      </c>
      <c r="D364">
        <v>58</v>
      </c>
      <c r="E364">
        <v>0</v>
      </c>
      <c r="F364">
        <v>10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22</v>
      </c>
      <c r="AB364">
        <v>0</v>
      </c>
      <c r="AC364">
        <v>3</v>
      </c>
      <c r="AD364">
        <v>0</v>
      </c>
      <c r="AE364">
        <v>2</v>
      </c>
      <c r="AF364">
        <v>0</v>
      </c>
      <c r="AG364">
        <v>6</v>
      </c>
    </row>
    <row r="365" spans="1:33" x14ac:dyDescent="0.3">
      <c r="A365" t="s">
        <v>118</v>
      </c>
      <c r="B365" t="s">
        <v>154</v>
      </c>
      <c r="C365" s="2" t="s">
        <v>33</v>
      </c>
      <c r="D365">
        <v>32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8</v>
      </c>
      <c r="AB365">
        <v>0</v>
      </c>
      <c r="AC365">
        <v>1</v>
      </c>
      <c r="AD365">
        <v>0</v>
      </c>
      <c r="AE365">
        <v>2</v>
      </c>
      <c r="AF365">
        <v>0</v>
      </c>
      <c r="AG365">
        <v>6</v>
      </c>
    </row>
    <row r="366" spans="1:33" x14ac:dyDescent="0.3">
      <c r="A366" t="s">
        <v>118</v>
      </c>
      <c r="B366" t="s">
        <v>154</v>
      </c>
      <c r="C366" s="2" t="s">
        <v>34</v>
      </c>
      <c r="D366">
        <v>26</v>
      </c>
      <c r="E366">
        <v>0</v>
      </c>
      <c r="F366">
        <v>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14</v>
      </c>
      <c r="AB366">
        <v>0</v>
      </c>
      <c r="AC366">
        <v>2</v>
      </c>
      <c r="AD366">
        <v>0</v>
      </c>
      <c r="AE366">
        <v>0</v>
      </c>
      <c r="AF366">
        <v>0</v>
      </c>
      <c r="AG366">
        <v>0</v>
      </c>
    </row>
    <row r="367" spans="1:33" x14ac:dyDescent="0.3">
      <c r="A367" t="s">
        <v>118</v>
      </c>
      <c r="B367" t="s">
        <v>155</v>
      </c>
      <c r="C367" s="2" t="s">
        <v>30</v>
      </c>
      <c r="D367">
        <v>55</v>
      </c>
      <c r="E367">
        <v>0</v>
      </c>
      <c r="F367">
        <v>15</v>
      </c>
      <c r="G367">
        <v>0</v>
      </c>
      <c r="H367">
        <v>3</v>
      </c>
      <c r="I367">
        <v>0</v>
      </c>
      <c r="J367">
        <v>0</v>
      </c>
      <c r="K367">
        <v>0</v>
      </c>
      <c r="L367">
        <v>1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</v>
      </c>
      <c r="U367">
        <v>5</v>
      </c>
      <c r="V367">
        <v>0</v>
      </c>
      <c r="W367">
        <v>0</v>
      </c>
      <c r="X367">
        <v>0</v>
      </c>
      <c r="Y367">
        <v>1</v>
      </c>
      <c r="Z367">
        <v>2</v>
      </c>
      <c r="AA367">
        <v>2</v>
      </c>
      <c r="AB367">
        <v>1</v>
      </c>
      <c r="AC367">
        <v>12</v>
      </c>
      <c r="AD367">
        <v>0</v>
      </c>
      <c r="AE367">
        <v>0</v>
      </c>
      <c r="AF367">
        <v>0</v>
      </c>
      <c r="AG367">
        <v>8</v>
      </c>
    </row>
    <row r="368" spans="1:33" x14ac:dyDescent="0.3">
      <c r="A368" t="s">
        <v>118</v>
      </c>
      <c r="B368" t="s">
        <v>155</v>
      </c>
      <c r="C368" s="2" t="s">
        <v>33</v>
      </c>
      <c r="D368">
        <v>14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2</v>
      </c>
      <c r="AD368">
        <v>0</v>
      </c>
      <c r="AE368">
        <v>0</v>
      </c>
      <c r="AF368">
        <v>0</v>
      </c>
      <c r="AG368">
        <v>4</v>
      </c>
    </row>
    <row r="369" spans="1:33" x14ac:dyDescent="0.3">
      <c r="A369" t="s">
        <v>118</v>
      </c>
      <c r="B369" t="s">
        <v>155</v>
      </c>
      <c r="C369" s="2" t="s">
        <v>34</v>
      </c>
      <c r="D369">
        <v>41</v>
      </c>
      <c r="E369">
        <v>0</v>
      </c>
      <c r="F369">
        <v>14</v>
      </c>
      <c r="G369">
        <v>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2</v>
      </c>
      <c r="AB369">
        <v>1</v>
      </c>
      <c r="AC369">
        <v>10</v>
      </c>
      <c r="AD369">
        <v>0</v>
      </c>
      <c r="AE369">
        <v>0</v>
      </c>
      <c r="AF369">
        <v>0</v>
      </c>
      <c r="AG369">
        <v>4</v>
      </c>
    </row>
    <row r="370" spans="1:33" x14ac:dyDescent="0.3">
      <c r="A370" t="s">
        <v>118</v>
      </c>
      <c r="B370" t="s">
        <v>156</v>
      </c>
      <c r="C370" s="2" t="s">
        <v>30</v>
      </c>
      <c r="D370">
        <v>52</v>
      </c>
      <c r="E370">
        <v>0</v>
      </c>
      <c r="F370">
        <v>7</v>
      </c>
      <c r="G370">
        <v>0</v>
      </c>
      <c r="H370">
        <v>3</v>
      </c>
      <c r="I370">
        <v>1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2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1</v>
      </c>
      <c r="AB370">
        <v>1</v>
      </c>
      <c r="AC370">
        <v>17</v>
      </c>
      <c r="AD370">
        <v>0</v>
      </c>
      <c r="AE370">
        <v>0</v>
      </c>
      <c r="AF370">
        <v>0</v>
      </c>
      <c r="AG370">
        <v>13</v>
      </c>
    </row>
    <row r="371" spans="1:33" x14ac:dyDescent="0.3">
      <c r="A371" t="s">
        <v>118</v>
      </c>
      <c r="B371" t="s">
        <v>156</v>
      </c>
      <c r="C371" s="2" t="s">
        <v>33</v>
      </c>
      <c r="D371">
        <v>25</v>
      </c>
      <c r="E371">
        <v>0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1</v>
      </c>
      <c r="AC371">
        <v>8</v>
      </c>
      <c r="AD371">
        <v>0</v>
      </c>
      <c r="AE371">
        <v>0</v>
      </c>
      <c r="AF371">
        <v>0</v>
      </c>
      <c r="AG371">
        <v>7</v>
      </c>
    </row>
    <row r="372" spans="1:33" x14ac:dyDescent="0.3">
      <c r="A372" t="s">
        <v>118</v>
      </c>
      <c r="B372" t="s">
        <v>156</v>
      </c>
      <c r="C372" s="2" t="s">
        <v>34</v>
      </c>
      <c r="D372">
        <v>27</v>
      </c>
      <c r="E372">
        <v>0</v>
      </c>
      <c r="F372">
        <v>6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9</v>
      </c>
      <c r="AD372">
        <v>0</v>
      </c>
      <c r="AE372">
        <v>0</v>
      </c>
      <c r="AF372">
        <v>0</v>
      </c>
      <c r="AG372">
        <v>6</v>
      </c>
    </row>
    <row r="373" spans="1:33" x14ac:dyDescent="0.3">
      <c r="A373" t="s">
        <v>118</v>
      </c>
      <c r="B373" t="s">
        <v>157</v>
      </c>
      <c r="C373" s="2" t="s">
        <v>30</v>
      </c>
      <c r="D373">
        <v>37</v>
      </c>
      <c r="E373">
        <v>0</v>
      </c>
      <c r="F373">
        <v>8</v>
      </c>
      <c r="G373">
        <v>0</v>
      </c>
      <c r="H373">
        <v>2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3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4</v>
      </c>
      <c r="AB373">
        <v>1</v>
      </c>
      <c r="AC373">
        <v>10</v>
      </c>
      <c r="AD373">
        <v>1</v>
      </c>
      <c r="AE373">
        <v>0</v>
      </c>
      <c r="AF373">
        <v>0</v>
      </c>
      <c r="AG373">
        <v>2</v>
      </c>
    </row>
    <row r="374" spans="1:33" x14ac:dyDescent="0.3">
      <c r="A374" t="s">
        <v>118</v>
      </c>
      <c r="B374" t="s">
        <v>157</v>
      </c>
      <c r="C374" s="2" t="s">
        <v>33</v>
      </c>
      <c r="D374">
        <v>15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0</v>
      </c>
      <c r="N374">
        <v>2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5</v>
      </c>
      <c r="AD374">
        <v>1</v>
      </c>
      <c r="AE374">
        <v>0</v>
      </c>
      <c r="AF374">
        <v>0</v>
      </c>
      <c r="AG374">
        <v>0</v>
      </c>
    </row>
    <row r="375" spans="1:33" x14ac:dyDescent="0.3">
      <c r="A375" t="s">
        <v>118</v>
      </c>
      <c r="B375" t="s">
        <v>157</v>
      </c>
      <c r="C375" s="2" t="s">
        <v>34</v>
      </c>
      <c r="D375">
        <v>22</v>
      </c>
      <c r="E375">
        <v>0</v>
      </c>
      <c r="F375">
        <v>6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3</v>
      </c>
      <c r="AB375">
        <v>1</v>
      </c>
      <c r="AC375">
        <v>5</v>
      </c>
      <c r="AD375">
        <v>0</v>
      </c>
      <c r="AE375">
        <v>0</v>
      </c>
      <c r="AF375">
        <v>0</v>
      </c>
      <c r="AG375">
        <v>2</v>
      </c>
    </row>
    <row r="376" spans="1:33" x14ac:dyDescent="0.3">
      <c r="A376" t="s">
        <v>118</v>
      </c>
      <c r="B376" t="s">
        <v>158</v>
      </c>
      <c r="C376" s="2" t="s">
        <v>30</v>
      </c>
      <c r="D376">
        <v>14</v>
      </c>
      <c r="E376">
        <v>0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3</v>
      </c>
      <c r="AB376">
        <v>0</v>
      </c>
      <c r="AC376">
        <v>3</v>
      </c>
      <c r="AD376">
        <v>1</v>
      </c>
      <c r="AE376">
        <v>0</v>
      </c>
      <c r="AF376">
        <v>0</v>
      </c>
      <c r="AG376">
        <v>0</v>
      </c>
    </row>
    <row r="377" spans="1:33" x14ac:dyDescent="0.3">
      <c r="A377" t="s">
        <v>118</v>
      </c>
      <c r="B377" t="s">
        <v>158</v>
      </c>
      <c r="C377" s="2" t="s">
        <v>33</v>
      </c>
      <c r="D377">
        <v>5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</row>
    <row r="378" spans="1:33" x14ac:dyDescent="0.3">
      <c r="A378" t="s">
        <v>118</v>
      </c>
      <c r="B378" t="s">
        <v>158</v>
      </c>
      <c r="C378" s="2" t="s">
        <v>34</v>
      </c>
      <c r="D378">
        <v>9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3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</row>
    <row r="379" spans="1:33" x14ac:dyDescent="0.3">
      <c r="A379" t="s">
        <v>118</v>
      </c>
      <c r="B379" t="s">
        <v>159</v>
      </c>
      <c r="C379" s="2" t="s">
        <v>30</v>
      </c>
      <c r="D379">
        <v>11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3</v>
      </c>
      <c r="Z379">
        <v>1</v>
      </c>
      <c r="AA379">
        <v>0</v>
      </c>
      <c r="AB379">
        <v>0</v>
      </c>
      <c r="AC379">
        <v>4</v>
      </c>
      <c r="AD379">
        <v>0</v>
      </c>
      <c r="AE379">
        <v>0</v>
      </c>
      <c r="AF379">
        <v>0</v>
      </c>
      <c r="AG379">
        <v>1</v>
      </c>
    </row>
    <row r="380" spans="1:33" x14ac:dyDescent="0.3">
      <c r="A380" t="s">
        <v>118</v>
      </c>
      <c r="B380" t="s">
        <v>159</v>
      </c>
      <c r="C380" s="2" t="s">
        <v>33</v>
      </c>
      <c r="D380">
        <v>8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2</v>
      </c>
      <c r="Z380">
        <v>1</v>
      </c>
      <c r="AA380">
        <v>0</v>
      </c>
      <c r="AB380">
        <v>0</v>
      </c>
      <c r="AC380">
        <v>2</v>
      </c>
      <c r="AD380">
        <v>0</v>
      </c>
      <c r="AE380">
        <v>0</v>
      </c>
      <c r="AF380">
        <v>0</v>
      </c>
      <c r="AG380">
        <v>1</v>
      </c>
    </row>
    <row r="381" spans="1:33" x14ac:dyDescent="0.3">
      <c r="A381" t="s">
        <v>118</v>
      </c>
      <c r="B381" t="s">
        <v>159</v>
      </c>
      <c r="C381" s="2" t="s">
        <v>34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2</v>
      </c>
      <c r="AD381">
        <v>0</v>
      </c>
      <c r="AE381">
        <v>0</v>
      </c>
      <c r="AF381">
        <v>0</v>
      </c>
      <c r="AG381">
        <v>0</v>
      </c>
    </row>
    <row r="382" spans="1:33" x14ac:dyDescent="0.3">
      <c r="A382" t="s">
        <v>118</v>
      </c>
      <c r="B382" t="s">
        <v>160</v>
      </c>
      <c r="C382" s="2" t="s">
        <v>30</v>
      </c>
      <c r="D382">
        <v>10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</row>
    <row r="383" spans="1:33" x14ac:dyDescent="0.3">
      <c r="A383" t="s">
        <v>118</v>
      </c>
      <c r="B383" t="s">
        <v>160</v>
      </c>
      <c r="C383" s="2" t="s">
        <v>33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3">
      <c r="A384" t="s">
        <v>118</v>
      </c>
      <c r="B384" t="s">
        <v>160</v>
      </c>
      <c r="C384" s="2" t="s">
        <v>34</v>
      </c>
      <c r="D384">
        <v>7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</row>
    <row r="385" spans="1:33" x14ac:dyDescent="0.3">
      <c r="A385" t="s">
        <v>118</v>
      </c>
      <c r="B385" t="s">
        <v>161</v>
      </c>
      <c r="C385" s="2" t="s">
        <v>30</v>
      </c>
      <c r="D385">
        <v>9</v>
      </c>
      <c r="E385">
        <v>0</v>
      </c>
      <c r="F385">
        <v>3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0</v>
      </c>
      <c r="AE385">
        <v>0</v>
      </c>
      <c r="AF385">
        <v>0</v>
      </c>
      <c r="AG385">
        <v>1</v>
      </c>
    </row>
    <row r="386" spans="1:33" x14ac:dyDescent="0.3">
      <c r="A386" t="s">
        <v>118</v>
      </c>
      <c r="B386" t="s">
        <v>161</v>
      </c>
      <c r="C386" s="2" t="s">
        <v>33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0</v>
      </c>
      <c r="AE386">
        <v>0</v>
      </c>
      <c r="AF386">
        <v>0</v>
      </c>
      <c r="AG386">
        <v>0</v>
      </c>
    </row>
    <row r="387" spans="1:33" x14ac:dyDescent="0.3">
      <c r="A387" t="s">
        <v>118</v>
      </c>
      <c r="B387" t="s">
        <v>161</v>
      </c>
      <c r="C387" s="2" t="s">
        <v>34</v>
      </c>
      <c r="D387">
        <v>5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</row>
    <row r="388" spans="1:33" x14ac:dyDescent="0.3">
      <c r="A388" t="s">
        <v>118</v>
      </c>
      <c r="B388" t="s">
        <v>162</v>
      </c>
      <c r="C388" s="2" t="s">
        <v>30</v>
      </c>
      <c r="D388">
        <v>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2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</row>
    <row r="389" spans="1:33" x14ac:dyDescent="0.3">
      <c r="A389" t="s">
        <v>118</v>
      </c>
      <c r="B389" t="s">
        <v>162</v>
      </c>
      <c r="C389" s="2" t="s">
        <v>33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">
      <c r="A390" t="s">
        <v>118</v>
      </c>
      <c r="B390" t="s">
        <v>162</v>
      </c>
      <c r="C390" s="2" t="s">
        <v>34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</row>
    <row r="391" spans="1:33" x14ac:dyDescent="0.3">
      <c r="A391" t="s">
        <v>118</v>
      </c>
      <c r="B391" t="s">
        <v>163</v>
      </c>
      <c r="C391" s="2" t="s">
        <v>30</v>
      </c>
      <c r="D391">
        <v>6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2</v>
      </c>
      <c r="AD391">
        <v>0</v>
      </c>
      <c r="AE391">
        <v>0</v>
      </c>
      <c r="AF391">
        <v>0</v>
      </c>
      <c r="AG391">
        <v>0</v>
      </c>
    </row>
    <row r="392" spans="1:33" x14ac:dyDescent="0.3">
      <c r="A392" t="s">
        <v>118</v>
      </c>
      <c r="B392" t="s">
        <v>163</v>
      </c>
      <c r="C392" s="2" t="s">
        <v>33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</v>
      </c>
      <c r="AD392">
        <v>0</v>
      </c>
      <c r="AE392">
        <v>0</v>
      </c>
      <c r="AF392">
        <v>0</v>
      </c>
      <c r="AG392">
        <v>0</v>
      </c>
    </row>
    <row r="393" spans="1:33" x14ac:dyDescent="0.3">
      <c r="A393" t="s">
        <v>118</v>
      </c>
      <c r="B393" t="s">
        <v>163</v>
      </c>
      <c r="C393" s="2" t="s">
        <v>34</v>
      </c>
      <c r="D393">
        <v>3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3">
      <c r="A394" t="s">
        <v>118</v>
      </c>
      <c r="B394" t="s">
        <v>164</v>
      </c>
      <c r="C394" s="2" t="s">
        <v>30</v>
      </c>
      <c r="D394">
        <v>3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3">
      <c r="A395" t="s">
        <v>118</v>
      </c>
      <c r="B395" t="s">
        <v>164</v>
      </c>
      <c r="C395" s="2" t="s">
        <v>33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3">
      <c r="A396" t="s">
        <v>118</v>
      </c>
      <c r="B396" t="s">
        <v>164</v>
      </c>
      <c r="C396" s="2" t="s">
        <v>34</v>
      </c>
      <c r="D396">
        <v>2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3">
      <c r="A397" t="s">
        <v>118</v>
      </c>
      <c r="B397" t="s">
        <v>165</v>
      </c>
      <c r="C397" s="2" t="s">
        <v>30</v>
      </c>
      <c r="D397">
        <v>3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0</v>
      </c>
      <c r="AG397">
        <v>0</v>
      </c>
    </row>
    <row r="398" spans="1:33" x14ac:dyDescent="0.3">
      <c r="A398" t="s">
        <v>118</v>
      </c>
      <c r="B398" t="s">
        <v>165</v>
      </c>
      <c r="C398" s="2" t="s">
        <v>33</v>
      </c>
      <c r="D398">
        <v>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</row>
    <row r="399" spans="1:33" x14ac:dyDescent="0.3">
      <c r="A399" t="s">
        <v>118</v>
      </c>
      <c r="B399" t="s">
        <v>165</v>
      </c>
      <c r="C399" s="2" t="s">
        <v>34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</row>
    <row r="400" spans="1:33" x14ac:dyDescent="0.3">
      <c r="A400" t="s">
        <v>118</v>
      </c>
      <c r="B400" t="s">
        <v>166</v>
      </c>
      <c r="C400" s="2" t="s">
        <v>30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</row>
    <row r="401" spans="1:33" x14ac:dyDescent="0.3">
      <c r="A401" t="s">
        <v>118</v>
      </c>
      <c r="B401" t="s">
        <v>166</v>
      </c>
      <c r="C401" s="2" t="s">
        <v>33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</row>
    <row r="402" spans="1:33" x14ac:dyDescent="0.3">
      <c r="A402" t="s">
        <v>118</v>
      </c>
      <c r="B402" t="s">
        <v>167</v>
      </c>
      <c r="C402" s="2" t="s">
        <v>30</v>
      </c>
      <c r="D402">
        <v>2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3">
      <c r="A403" t="s">
        <v>118</v>
      </c>
      <c r="B403" t="s">
        <v>167</v>
      </c>
      <c r="C403" s="2" t="s">
        <v>34</v>
      </c>
      <c r="D403">
        <v>2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3">
      <c r="A404" t="s">
        <v>118</v>
      </c>
      <c r="B404" t="s">
        <v>168</v>
      </c>
      <c r="C404" s="2" t="s">
        <v>30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</v>
      </c>
    </row>
    <row r="405" spans="1:33" x14ac:dyDescent="0.3">
      <c r="A405" t="s">
        <v>118</v>
      </c>
      <c r="B405" t="s">
        <v>168</v>
      </c>
      <c r="C405" s="2" t="s">
        <v>33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</v>
      </c>
    </row>
    <row r="406" spans="1:33" x14ac:dyDescent="0.3">
      <c r="A406" t="s">
        <v>118</v>
      </c>
      <c r="B406" t="s">
        <v>169</v>
      </c>
      <c r="C406" s="2" t="s">
        <v>30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3">
      <c r="A407" t="s">
        <v>118</v>
      </c>
      <c r="B407" t="s">
        <v>169</v>
      </c>
      <c r="C407" s="2" t="s">
        <v>33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3">
      <c r="A408" t="s">
        <v>170</v>
      </c>
      <c r="B408" t="s">
        <v>30</v>
      </c>
      <c r="C408" s="2" t="s">
        <v>30</v>
      </c>
      <c r="D408" s="1">
        <v>2976</v>
      </c>
      <c r="E408">
        <v>3</v>
      </c>
      <c r="F408">
        <v>130</v>
      </c>
      <c r="G408">
        <v>0</v>
      </c>
      <c r="H408">
        <v>41</v>
      </c>
      <c r="I408">
        <v>4</v>
      </c>
      <c r="J408">
        <v>18</v>
      </c>
      <c r="K408">
        <v>8</v>
      </c>
      <c r="L408">
        <v>59</v>
      </c>
      <c r="M408">
        <v>49</v>
      </c>
      <c r="N408">
        <v>16</v>
      </c>
      <c r="O408">
        <v>37</v>
      </c>
      <c r="P408">
        <v>360</v>
      </c>
      <c r="Q408">
        <v>10</v>
      </c>
      <c r="R408">
        <v>22</v>
      </c>
      <c r="S408">
        <v>22</v>
      </c>
      <c r="T408">
        <v>83</v>
      </c>
      <c r="U408">
        <v>173</v>
      </c>
      <c r="V408">
        <v>0</v>
      </c>
      <c r="W408">
        <v>1</v>
      </c>
      <c r="X408">
        <v>0</v>
      </c>
      <c r="Y408">
        <v>75</v>
      </c>
      <c r="Z408">
        <v>127</v>
      </c>
      <c r="AA408">
        <v>188</v>
      </c>
      <c r="AB408">
        <v>499</v>
      </c>
      <c r="AC408">
        <v>773</v>
      </c>
      <c r="AD408">
        <v>1</v>
      </c>
      <c r="AE408">
        <v>66</v>
      </c>
      <c r="AF408">
        <v>0</v>
      </c>
      <c r="AG408">
        <v>211</v>
      </c>
    </row>
    <row r="409" spans="1:33" x14ac:dyDescent="0.3">
      <c r="A409" t="s">
        <v>170</v>
      </c>
      <c r="B409" t="s">
        <v>30</v>
      </c>
      <c r="C409" s="2" t="s">
        <v>33</v>
      </c>
      <c r="D409" s="1">
        <f>D412+D415+D418+D421+D424+D427+D430+D433+D436+D439+D442+D445</f>
        <v>1792</v>
      </c>
      <c r="E409" s="1">
        <f t="shared" ref="E409:AG409" si="10">E412+E415+E418+E421+E424+E427+E430+E433+E436+E439+E442+E445</f>
        <v>2</v>
      </c>
      <c r="F409" s="1">
        <f t="shared" si="10"/>
        <v>56</v>
      </c>
      <c r="G409" s="1">
        <f t="shared" si="10"/>
        <v>0</v>
      </c>
      <c r="H409" s="1">
        <f t="shared" si="10"/>
        <v>13</v>
      </c>
      <c r="I409" s="1">
        <f t="shared" si="10"/>
        <v>2</v>
      </c>
      <c r="J409" s="1">
        <f t="shared" si="10"/>
        <v>11</v>
      </c>
      <c r="K409" s="1">
        <f t="shared" si="10"/>
        <v>6</v>
      </c>
      <c r="L409" s="1">
        <f t="shared" si="10"/>
        <v>51</v>
      </c>
      <c r="M409" s="1">
        <f t="shared" si="10"/>
        <v>46</v>
      </c>
      <c r="N409" s="1">
        <f t="shared" si="10"/>
        <v>8</v>
      </c>
      <c r="O409" s="1">
        <f t="shared" si="10"/>
        <v>29</v>
      </c>
      <c r="P409" s="1">
        <f t="shared" si="10"/>
        <v>129</v>
      </c>
      <c r="Q409" s="1">
        <f t="shared" si="10"/>
        <v>9</v>
      </c>
      <c r="R409" s="1">
        <f t="shared" si="10"/>
        <v>22</v>
      </c>
      <c r="S409" s="1">
        <f t="shared" si="10"/>
        <v>22</v>
      </c>
      <c r="T409" s="1">
        <f t="shared" si="10"/>
        <v>53</v>
      </c>
      <c r="U409" s="1">
        <f t="shared" si="10"/>
        <v>104</v>
      </c>
      <c r="V409" s="1">
        <f t="shared" si="10"/>
        <v>0</v>
      </c>
      <c r="W409" s="1">
        <f t="shared" si="10"/>
        <v>1</v>
      </c>
      <c r="X409" s="1">
        <f t="shared" si="10"/>
        <v>0</v>
      </c>
      <c r="Y409" s="1">
        <f t="shared" si="10"/>
        <v>45</v>
      </c>
      <c r="Z409" s="1">
        <f t="shared" si="10"/>
        <v>74</v>
      </c>
      <c r="AA409" s="1">
        <f t="shared" si="10"/>
        <v>74</v>
      </c>
      <c r="AB409" s="1">
        <f t="shared" si="10"/>
        <v>317</v>
      </c>
      <c r="AC409" s="1">
        <f t="shared" si="10"/>
        <v>574</v>
      </c>
      <c r="AD409" s="1">
        <f t="shared" si="10"/>
        <v>0</v>
      </c>
      <c r="AE409" s="1">
        <f t="shared" si="10"/>
        <v>30</v>
      </c>
      <c r="AF409" s="1">
        <f t="shared" si="10"/>
        <v>0</v>
      </c>
      <c r="AG409" s="1">
        <f t="shared" si="10"/>
        <v>114</v>
      </c>
    </row>
    <row r="410" spans="1:33" x14ac:dyDescent="0.3">
      <c r="A410" t="s">
        <v>170</v>
      </c>
      <c r="B410" t="s">
        <v>30</v>
      </c>
      <c r="C410" s="2" t="s">
        <v>34</v>
      </c>
      <c r="D410" s="1">
        <f>D413+D416+D419+D422+D425+D428+D431+D434+D437+D440+D443</f>
        <v>1184</v>
      </c>
      <c r="E410" s="1">
        <f t="shared" ref="E410:AG410" si="11">E413+E416+E419+E422+E425+E428+E431+E434+E437+E440+E443</f>
        <v>1</v>
      </c>
      <c r="F410" s="1">
        <f t="shared" si="11"/>
        <v>74</v>
      </c>
      <c r="G410" s="1">
        <f t="shared" si="11"/>
        <v>0</v>
      </c>
      <c r="H410" s="1">
        <f t="shared" si="11"/>
        <v>28</v>
      </c>
      <c r="I410" s="1">
        <f t="shared" si="11"/>
        <v>2</v>
      </c>
      <c r="J410" s="1">
        <f t="shared" si="11"/>
        <v>7</v>
      </c>
      <c r="K410" s="1">
        <f t="shared" si="11"/>
        <v>2</v>
      </c>
      <c r="L410" s="1">
        <f t="shared" si="11"/>
        <v>8</v>
      </c>
      <c r="M410" s="1">
        <f t="shared" si="11"/>
        <v>3</v>
      </c>
      <c r="N410" s="1">
        <f t="shared" si="11"/>
        <v>8</v>
      </c>
      <c r="O410" s="1">
        <f t="shared" si="11"/>
        <v>8</v>
      </c>
      <c r="P410" s="1">
        <f t="shared" si="11"/>
        <v>231</v>
      </c>
      <c r="Q410" s="1">
        <f t="shared" si="11"/>
        <v>1</v>
      </c>
      <c r="R410" s="1">
        <f t="shared" si="11"/>
        <v>0</v>
      </c>
      <c r="S410" s="1">
        <f t="shared" si="11"/>
        <v>0</v>
      </c>
      <c r="T410" s="1">
        <f t="shared" si="11"/>
        <v>30</v>
      </c>
      <c r="U410" s="1">
        <f t="shared" si="11"/>
        <v>69</v>
      </c>
      <c r="V410" s="1">
        <f t="shared" si="11"/>
        <v>0</v>
      </c>
      <c r="W410" s="1">
        <f t="shared" si="11"/>
        <v>0</v>
      </c>
      <c r="X410" s="1">
        <f t="shared" si="11"/>
        <v>0</v>
      </c>
      <c r="Y410" s="1">
        <f t="shared" si="11"/>
        <v>30</v>
      </c>
      <c r="Z410" s="1">
        <f t="shared" si="11"/>
        <v>53</v>
      </c>
      <c r="AA410" s="1">
        <f t="shared" si="11"/>
        <v>114</v>
      </c>
      <c r="AB410" s="1">
        <f t="shared" si="11"/>
        <v>182</v>
      </c>
      <c r="AC410" s="1">
        <f t="shared" si="11"/>
        <v>199</v>
      </c>
      <c r="AD410" s="1">
        <f t="shared" si="11"/>
        <v>1</v>
      </c>
      <c r="AE410" s="1">
        <f t="shared" si="11"/>
        <v>36</v>
      </c>
      <c r="AF410" s="1">
        <f t="shared" si="11"/>
        <v>0</v>
      </c>
      <c r="AG410" s="1">
        <f t="shared" si="11"/>
        <v>97</v>
      </c>
    </row>
    <row r="411" spans="1:33" x14ac:dyDescent="0.3">
      <c r="A411" t="s">
        <v>170</v>
      </c>
      <c r="B411" t="s">
        <v>171</v>
      </c>
      <c r="C411" s="2" t="s">
        <v>30</v>
      </c>
      <c r="D411" s="1">
        <v>2128</v>
      </c>
      <c r="E411">
        <v>3</v>
      </c>
      <c r="F411">
        <v>102</v>
      </c>
      <c r="G411">
        <v>0</v>
      </c>
      <c r="H411">
        <v>30</v>
      </c>
      <c r="I411">
        <v>4</v>
      </c>
      <c r="J411">
        <v>14</v>
      </c>
      <c r="K411">
        <v>6</v>
      </c>
      <c r="L411">
        <v>45</v>
      </c>
      <c r="M411">
        <v>43</v>
      </c>
      <c r="N411">
        <v>8</v>
      </c>
      <c r="O411">
        <v>25</v>
      </c>
      <c r="P411">
        <v>236</v>
      </c>
      <c r="Q411">
        <v>9</v>
      </c>
      <c r="R411">
        <v>18</v>
      </c>
      <c r="S411">
        <v>14</v>
      </c>
      <c r="T411">
        <v>73</v>
      </c>
      <c r="U411">
        <v>114</v>
      </c>
      <c r="V411">
        <v>0</v>
      </c>
      <c r="W411">
        <v>0</v>
      </c>
      <c r="X411">
        <v>0</v>
      </c>
      <c r="Y411">
        <v>61</v>
      </c>
      <c r="Z411">
        <v>89</v>
      </c>
      <c r="AA411">
        <v>153</v>
      </c>
      <c r="AB411">
        <v>325</v>
      </c>
      <c r="AC411">
        <v>549</v>
      </c>
      <c r="AD411">
        <v>1</v>
      </c>
      <c r="AE411">
        <v>59</v>
      </c>
      <c r="AF411">
        <v>0</v>
      </c>
      <c r="AG411">
        <v>147</v>
      </c>
    </row>
    <row r="412" spans="1:33" x14ac:dyDescent="0.3">
      <c r="A412" t="s">
        <v>170</v>
      </c>
      <c r="B412" t="s">
        <v>171</v>
      </c>
      <c r="C412" s="2" t="s">
        <v>33</v>
      </c>
      <c r="D412" s="1">
        <v>1264</v>
      </c>
      <c r="E412">
        <v>2</v>
      </c>
      <c r="F412">
        <v>46</v>
      </c>
      <c r="G412">
        <v>0</v>
      </c>
      <c r="H412">
        <v>8</v>
      </c>
      <c r="I412">
        <v>2</v>
      </c>
      <c r="J412">
        <v>8</v>
      </c>
      <c r="K412">
        <v>5</v>
      </c>
      <c r="L412">
        <v>38</v>
      </c>
      <c r="M412">
        <v>41</v>
      </c>
      <c r="N412">
        <v>1</v>
      </c>
      <c r="O412">
        <v>21</v>
      </c>
      <c r="P412">
        <v>82</v>
      </c>
      <c r="Q412">
        <v>8</v>
      </c>
      <c r="R412">
        <v>18</v>
      </c>
      <c r="S412">
        <v>14</v>
      </c>
      <c r="T412">
        <v>45</v>
      </c>
      <c r="U412">
        <v>69</v>
      </c>
      <c r="V412">
        <v>0</v>
      </c>
      <c r="W412">
        <v>0</v>
      </c>
      <c r="X412">
        <v>0</v>
      </c>
      <c r="Y412">
        <v>41</v>
      </c>
      <c r="Z412">
        <v>54</v>
      </c>
      <c r="AA412">
        <v>61</v>
      </c>
      <c r="AB412">
        <v>191</v>
      </c>
      <c r="AC412">
        <v>399</v>
      </c>
      <c r="AD412">
        <v>0</v>
      </c>
      <c r="AE412">
        <v>25</v>
      </c>
      <c r="AF412">
        <v>0</v>
      </c>
      <c r="AG412">
        <v>85</v>
      </c>
    </row>
    <row r="413" spans="1:33" x14ac:dyDescent="0.3">
      <c r="A413" t="s">
        <v>170</v>
      </c>
      <c r="B413" t="s">
        <v>171</v>
      </c>
      <c r="C413" s="2" t="s">
        <v>34</v>
      </c>
      <c r="D413">
        <v>864</v>
      </c>
      <c r="E413">
        <v>1</v>
      </c>
      <c r="F413">
        <v>56</v>
      </c>
      <c r="G413">
        <v>0</v>
      </c>
      <c r="H413">
        <v>22</v>
      </c>
      <c r="I413">
        <v>2</v>
      </c>
      <c r="J413">
        <v>6</v>
      </c>
      <c r="K413">
        <v>1</v>
      </c>
      <c r="L413">
        <v>7</v>
      </c>
      <c r="M413">
        <v>2</v>
      </c>
      <c r="N413">
        <v>7</v>
      </c>
      <c r="O413">
        <v>4</v>
      </c>
      <c r="P413">
        <v>154</v>
      </c>
      <c r="Q413">
        <v>1</v>
      </c>
      <c r="R413">
        <v>0</v>
      </c>
      <c r="S413">
        <v>0</v>
      </c>
      <c r="T413">
        <v>28</v>
      </c>
      <c r="U413">
        <v>45</v>
      </c>
      <c r="V413">
        <v>0</v>
      </c>
      <c r="W413">
        <v>0</v>
      </c>
      <c r="X413">
        <v>0</v>
      </c>
      <c r="Y413">
        <v>20</v>
      </c>
      <c r="Z413">
        <v>35</v>
      </c>
      <c r="AA413">
        <v>92</v>
      </c>
      <c r="AB413">
        <v>134</v>
      </c>
      <c r="AC413">
        <v>150</v>
      </c>
      <c r="AD413">
        <v>1</v>
      </c>
      <c r="AE413">
        <v>34</v>
      </c>
      <c r="AF413">
        <v>0</v>
      </c>
      <c r="AG413">
        <v>62</v>
      </c>
    </row>
    <row r="414" spans="1:33" x14ac:dyDescent="0.3">
      <c r="A414" t="s">
        <v>170</v>
      </c>
      <c r="B414" t="s">
        <v>172</v>
      </c>
      <c r="C414" s="2" t="s">
        <v>30</v>
      </c>
      <c r="D414">
        <v>749</v>
      </c>
      <c r="E414">
        <v>0</v>
      </c>
      <c r="F414">
        <v>8</v>
      </c>
      <c r="G414">
        <v>0</v>
      </c>
      <c r="H414">
        <v>5</v>
      </c>
      <c r="I414">
        <v>0</v>
      </c>
      <c r="J414">
        <v>3</v>
      </c>
      <c r="K414">
        <v>2</v>
      </c>
      <c r="L414">
        <v>11</v>
      </c>
      <c r="M414">
        <v>6</v>
      </c>
      <c r="N414">
        <v>6</v>
      </c>
      <c r="O414">
        <v>12</v>
      </c>
      <c r="P414">
        <v>124</v>
      </c>
      <c r="Q414">
        <v>1</v>
      </c>
      <c r="R414">
        <v>4</v>
      </c>
      <c r="S414">
        <v>8</v>
      </c>
      <c r="T414">
        <v>9</v>
      </c>
      <c r="U414">
        <v>58</v>
      </c>
      <c r="V414">
        <v>0</v>
      </c>
      <c r="W414">
        <v>0</v>
      </c>
      <c r="X414">
        <v>0</v>
      </c>
      <c r="Y414">
        <v>14</v>
      </c>
      <c r="Z414">
        <v>31</v>
      </c>
      <c r="AA414">
        <v>31</v>
      </c>
      <c r="AB414">
        <v>166</v>
      </c>
      <c r="AC414">
        <v>210</v>
      </c>
      <c r="AD414">
        <v>0</v>
      </c>
      <c r="AE414">
        <v>7</v>
      </c>
      <c r="AF414">
        <v>0</v>
      </c>
      <c r="AG414">
        <v>33</v>
      </c>
    </row>
    <row r="415" spans="1:33" x14ac:dyDescent="0.3">
      <c r="A415" t="s">
        <v>170</v>
      </c>
      <c r="B415" t="s">
        <v>172</v>
      </c>
      <c r="C415" s="2" t="s">
        <v>33</v>
      </c>
      <c r="D415">
        <v>476</v>
      </c>
      <c r="E415">
        <v>0</v>
      </c>
      <c r="F415">
        <v>3</v>
      </c>
      <c r="G415">
        <v>0</v>
      </c>
      <c r="H415">
        <v>3</v>
      </c>
      <c r="I415">
        <v>0</v>
      </c>
      <c r="J415">
        <v>3</v>
      </c>
      <c r="K415">
        <v>1</v>
      </c>
      <c r="L415">
        <v>10</v>
      </c>
      <c r="M415">
        <v>5</v>
      </c>
      <c r="N415">
        <v>6</v>
      </c>
      <c r="O415">
        <v>8</v>
      </c>
      <c r="P415">
        <v>47</v>
      </c>
      <c r="Q415">
        <v>1</v>
      </c>
      <c r="R415">
        <v>4</v>
      </c>
      <c r="S415">
        <v>8</v>
      </c>
      <c r="T415">
        <v>7</v>
      </c>
      <c r="U415">
        <v>34</v>
      </c>
      <c r="V415">
        <v>0</v>
      </c>
      <c r="W415">
        <v>0</v>
      </c>
      <c r="X415">
        <v>0</v>
      </c>
      <c r="Y415">
        <v>4</v>
      </c>
      <c r="Z415">
        <v>13</v>
      </c>
      <c r="AA415">
        <v>12</v>
      </c>
      <c r="AB415">
        <v>120</v>
      </c>
      <c r="AC415">
        <v>166</v>
      </c>
      <c r="AD415">
        <v>0</v>
      </c>
      <c r="AE415">
        <v>5</v>
      </c>
      <c r="AF415">
        <v>0</v>
      </c>
      <c r="AG415">
        <v>16</v>
      </c>
    </row>
    <row r="416" spans="1:33" x14ac:dyDescent="0.3">
      <c r="A416" t="s">
        <v>170</v>
      </c>
      <c r="B416" t="s">
        <v>172</v>
      </c>
      <c r="C416" s="2" t="s">
        <v>34</v>
      </c>
      <c r="D416">
        <v>273</v>
      </c>
      <c r="E416">
        <v>0</v>
      </c>
      <c r="F416">
        <v>5</v>
      </c>
      <c r="G416">
        <v>0</v>
      </c>
      <c r="H416">
        <v>2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4</v>
      </c>
      <c r="P416">
        <v>77</v>
      </c>
      <c r="Q416">
        <v>0</v>
      </c>
      <c r="R416">
        <v>0</v>
      </c>
      <c r="S416">
        <v>0</v>
      </c>
      <c r="T416">
        <v>2</v>
      </c>
      <c r="U416">
        <v>24</v>
      </c>
      <c r="V416">
        <v>0</v>
      </c>
      <c r="W416">
        <v>0</v>
      </c>
      <c r="X416">
        <v>0</v>
      </c>
      <c r="Y416">
        <v>10</v>
      </c>
      <c r="Z416">
        <v>18</v>
      </c>
      <c r="AA416">
        <v>19</v>
      </c>
      <c r="AB416">
        <v>46</v>
      </c>
      <c r="AC416">
        <v>44</v>
      </c>
      <c r="AD416">
        <v>0</v>
      </c>
      <c r="AE416">
        <v>2</v>
      </c>
      <c r="AF416">
        <v>0</v>
      </c>
      <c r="AG416">
        <v>17</v>
      </c>
    </row>
    <row r="417" spans="1:33" x14ac:dyDescent="0.3">
      <c r="A417" t="s">
        <v>170</v>
      </c>
      <c r="B417" t="s">
        <v>173</v>
      </c>
      <c r="C417" s="2" t="s">
        <v>30</v>
      </c>
      <c r="D417">
        <v>28</v>
      </c>
      <c r="E417">
        <v>0</v>
      </c>
      <c r="F417">
        <v>12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2</v>
      </c>
      <c r="AC417">
        <v>5</v>
      </c>
      <c r="AD417">
        <v>0</v>
      </c>
      <c r="AE417">
        <v>0</v>
      </c>
      <c r="AF417">
        <v>0</v>
      </c>
      <c r="AG417">
        <v>5</v>
      </c>
    </row>
    <row r="418" spans="1:33" x14ac:dyDescent="0.3">
      <c r="A418" t="s">
        <v>170</v>
      </c>
      <c r="B418" t="s">
        <v>173</v>
      </c>
      <c r="C418" s="2" t="s">
        <v>33</v>
      </c>
      <c r="D418">
        <v>10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3</v>
      </c>
      <c r="AD418">
        <v>0</v>
      </c>
      <c r="AE418">
        <v>0</v>
      </c>
      <c r="AF418">
        <v>0</v>
      </c>
      <c r="AG418">
        <v>1</v>
      </c>
    </row>
    <row r="419" spans="1:33" x14ac:dyDescent="0.3">
      <c r="A419" t="s">
        <v>170</v>
      </c>
      <c r="B419" t="s">
        <v>173</v>
      </c>
      <c r="C419" s="2" t="s">
        <v>34</v>
      </c>
      <c r="D419">
        <v>18</v>
      </c>
      <c r="E419">
        <v>0</v>
      </c>
      <c r="F419">
        <v>9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2</v>
      </c>
      <c r="AD419">
        <v>0</v>
      </c>
      <c r="AE419">
        <v>0</v>
      </c>
      <c r="AF419">
        <v>0</v>
      </c>
      <c r="AG419">
        <v>4</v>
      </c>
    </row>
    <row r="420" spans="1:33" x14ac:dyDescent="0.3">
      <c r="A420" t="s">
        <v>170</v>
      </c>
      <c r="B420" t="s">
        <v>174</v>
      </c>
      <c r="C420" s="2" t="s">
        <v>30</v>
      </c>
      <c r="D420">
        <v>20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7</v>
      </c>
      <c r="AA420">
        <v>1</v>
      </c>
      <c r="AB420">
        <v>6</v>
      </c>
      <c r="AC420">
        <v>4</v>
      </c>
      <c r="AD420">
        <v>0</v>
      </c>
      <c r="AE420">
        <v>0</v>
      </c>
      <c r="AF420">
        <v>0</v>
      </c>
      <c r="AG420">
        <v>0</v>
      </c>
    </row>
    <row r="421" spans="1:33" x14ac:dyDescent="0.3">
      <c r="A421" t="s">
        <v>170</v>
      </c>
      <c r="B421" t="s">
        <v>174</v>
      </c>
      <c r="C421" s="2" t="s">
        <v>33</v>
      </c>
      <c r="D421">
        <v>18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7</v>
      </c>
      <c r="AA421">
        <v>1</v>
      </c>
      <c r="AB421">
        <v>5</v>
      </c>
      <c r="AC421">
        <v>3</v>
      </c>
      <c r="AD421">
        <v>0</v>
      </c>
      <c r="AE421">
        <v>0</v>
      </c>
      <c r="AF421">
        <v>0</v>
      </c>
      <c r="AG421">
        <v>0</v>
      </c>
    </row>
    <row r="422" spans="1:33" x14ac:dyDescent="0.3">
      <c r="A422" t="s">
        <v>170</v>
      </c>
      <c r="B422" t="s">
        <v>174</v>
      </c>
      <c r="C422" s="2" t="s">
        <v>34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</row>
    <row r="423" spans="1:33" x14ac:dyDescent="0.3">
      <c r="A423" t="s">
        <v>170</v>
      </c>
      <c r="B423" t="s">
        <v>175</v>
      </c>
      <c r="C423" s="2" t="s">
        <v>30</v>
      </c>
      <c r="D423">
        <v>13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</v>
      </c>
    </row>
    <row r="424" spans="1:33" x14ac:dyDescent="0.3">
      <c r="A424" t="s">
        <v>170</v>
      </c>
      <c r="B424" t="s">
        <v>175</v>
      </c>
      <c r="C424" s="2" t="s">
        <v>33</v>
      </c>
      <c r="D424">
        <v>7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</v>
      </c>
    </row>
    <row r="425" spans="1:33" x14ac:dyDescent="0.3">
      <c r="A425" t="s">
        <v>170</v>
      </c>
      <c r="B425" t="s">
        <v>175</v>
      </c>
      <c r="C425" s="2" t="s">
        <v>34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</v>
      </c>
    </row>
    <row r="426" spans="1:33" x14ac:dyDescent="0.3">
      <c r="A426" t="s">
        <v>170</v>
      </c>
      <c r="B426" t="s">
        <v>176</v>
      </c>
      <c r="C426" s="2" t="s">
        <v>30</v>
      </c>
      <c r="D426">
        <v>12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2</v>
      </c>
      <c r="AD426">
        <v>0</v>
      </c>
      <c r="AE426">
        <v>0</v>
      </c>
      <c r="AF426">
        <v>0</v>
      </c>
      <c r="AG426">
        <v>7</v>
      </c>
    </row>
    <row r="427" spans="1:33" x14ac:dyDescent="0.3">
      <c r="A427" t="s">
        <v>170</v>
      </c>
      <c r="B427" t="s">
        <v>176</v>
      </c>
      <c r="C427" s="2" t="s">
        <v>33</v>
      </c>
      <c r="D427">
        <v>3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</row>
    <row r="428" spans="1:33" x14ac:dyDescent="0.3">
      <c r="A428" t="s">
        <v>170</v>
      </c>
      <c r="B428" t="s">
        <v>176</v>
      </c>
      <c r="C428" s="2" t="s">
        <v>34</v>
      </c>
      <c r="D428">
        <v>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2</v>
      </c>
      <c r="AD428">
        <v>0</v>
      </c>
      <c r="AE428">
        <v>0</v>
      </c>
      <c r="AF428">
        <v>0</v>
      </c>
      <c r="AG428">
        <v>6</v>
      </c>
    </row>
    <row r="429" spans="1:33" x14ac:dyDescent="0.3">
      <c r="A429" t="s">
        <v>170</v>
      </c>
      <c r="B429" t="s">
        <v>177</v>
      </c>
      <c r="C429" s="2" t="s">
        <v>30</v>
      </c>
      <c r="D429">
        <v>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7</v>
      </c>
    </row>
    <row r="430" spans="1:33" x14ac:dyDescent="0.3">
      <c r="A430" t="s">
        <v>170</v>
      </c>
      <c r="B430" t="s">
        <v>177</v>
      </c>
      <c r="C430" s="2" t="s">
        <v>33</v>
      </c>
      <c r="D430">
        <v>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5</v>
      </c>
    </row>
    <row r="431" spans="1:33" x14ac:dyDescent="0.3">
      <c r="A431" t="s">
        <v>170</v>
      </c>
      <c r="B431" t="s">
        <v>177</v>
      </c>
      <c r="C431" s="2" t="s">
        <v>34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</v>
      </c>
    </row>
    <row r="432" spans="1:33" x14ac:dyDescent="0.3">
      <c r="A432" t="s">
        <v>170</v>
      </c>
      <c r="B432" t="s">
        <v>178</v>
      </c>
      <c r="C432" s="2" t="s">
        <v>30</v>
      </c>
      <c r="D432">
        <v>5</v>
      </c>
      <c r="E432">
        <v>0</v>
      </c>
      <c r="F432">
        <v>1</v>
      </c>
      <c r="G432">
        <v>0</v>
      </c>
      <c r="H432">
        <v>3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3">
      <c r="A433" t="s">
        <v>170</v>
      </c>
      <c r="B433" t="s">
        <v>178</v>
      </c>
      <c r="C433" s="2" t="s">
        <v>33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3">
      <c r="A434" t="s">
        <v>170</v>
      </c>
      <c r="B434" t="s">
        <v>178</v>
      </c>
      <c r="C434" s="2" t="s">
        <v>34</v>
      </c>
      <c r="D434">
        <v>4</v>
      </c>
      <c r="E434">
        <v>0</v>
      </c>
      <c r="F434">
        <v>1</v>
      </c>
      <c r="G434">
        <v>0</v>
      </c>
      <c r="H434">
        <v>2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3">
      <c r="A435" t="s">
        <v>170</v>
      </c>
      <c r="B435" t="s">
        <v>179</v>
      </c>
      <c r="C435" s="2" t="s">
        <v>30</v>
      </c>
      <c r="D435">
        <v>4</v>
      </c>
      <c r="E435">
        <v>0</v>
      </c>
      <c r="F435">
        <v>3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3">
      <c r="A436" t="s">
        <v>170</v>
      </c>
      <c r="B436" t="s">
        <v>179</v>
      </c>
      <c r="C436" s="2" t="s">
        <v>33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3">
      <c r="A437" t="s">
        <v>170</v>
      </c>
      <c r="B437" t="s">
        <v>179</v>
      </c>
      <c r="C437" s="2" t="s">
        <v>34</v>
      </c>
      <c r="D437">
        <v>3</v>
      </c>
      <c r="E437">
        <v>0</v>
      </c>
      <c r="F437">
        <v>2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3">
      <c r="A438" t="s">
        <v>170</v>
      </c>
      <c r="B438" t="s">
        <v>180</v>
      </c>
      <c r="C438" s="2" t="s">
        <v>30</v>
      </c>
      <c r="D438">
        <v>4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</v>
      </c>
    </row>
    <row r="439" spans="1:33" x14ac:dyDescent="0.3">
      <c r="A439" t="s">
        <v>170</v>
      </c>
      <c r="B439" t="s">
        <v>180</v>
      </c>
      <c r="C439" s="2" t="s">
        <v>33</v>
      </c>
      <c r="D439">
        <v>2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</row>
    <row r="440" spans="1:33" x14ac:dyDescent="0.3">
      <c r="A440" t="s">
        <v>170</v>
      </c>
      <c r="B440" t="s">
        <v>180</v>
      </c>
      <c r="C440" s="2" t="s">
        <v>34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</v>
      </c>
    </row>
    <row r="441" spans="1:33" x14ac:dyDescent="0.3">
      <c r="A441" t="s">
        <v>170</v>
      </c>
      <c r="B441" t="s">
        <v>181</v>
      </c>
      <c r="C441" s="2" t="s">
        <v>30</v>
      </c>
      <c r="D441">
        <v>3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</v>
      </c>
      <c r="AD441">
        <v>0</v>
      </c>
      <c r="AE441">
        <v>0</v>
      </c>
      <c r="AF441">
        <v>0</v>
      </c>
      <c r="AG441">
        <v>0</v>
      </c>
    </row>
    <row r="442" spans="1:33" x14ac:dyDescent="0.3">
      <c r="A442" t="s">
        <v>170</v>
      </c>
      <c r="B442" t="s">
        <v>181</v>
      </c>
      <c r="C442" s="2" t="s">
        <v>33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</v>
      </c>
      <c r="AD442">
        <v>0</v>
      </c>
      <c r="AE442">
        <v>0</v>
      </c>
      <c r="AF442">
        <v>0</v>
      </c>
      <c r="AG442">
        <v>0</v>
      </c>
    </row>
    <row r="443" spans="1:33" x14ac:dyDescent="0.3">
      <c r="A443" t="s">
        <v>170</v>
      </c>
      <c r="B443" t="s">
        <v>181</v>
      </c>
      <c r="C443" s="2" t="s">
        <v>34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">
      <c r="A444" t="s">
        <v>170</v>
      </c>
      <c r="B444" t="s">
        <v>182</v>
      </c>
      <c r="C444" s="2" t="s">
        <v>30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">
      <c r="A445" t="s">
        <v>170</v>
      </c>
      <c r="B445" t="s">
        <v>182</v>
      </c>
      <c r="C445" s="2" t="s">
        <v>33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">
      <c r="A446" t="s">
        <v>183</v>
      </c>
      <c r="B446" t="s">
        <v>30</v>
      </c>
      <c r="C446" s="2" t="s">
        <v>30</v>
      </c>
      <c r="D446" s="1">
        <v>25139</v>
      </c>
      <c r="E446">
        <v>1</v>
      </c>
      <c r="F446" s="1">
        <v>2919</v>
      </c>
      <c r="G446">
        <v>1</v>
      </c>
      <c r="H446">
        <v>776</v>
      </c>
      <c r="I446">
        <v>0</v>
      </c>
      <c r="J446">
        <v>37</v>
      </c>
      <c r="K446">
        <v>5</v>
      </c>
      <c r="L446">
        <v>512</v>
      </c>
      <c r="M446">
        <v>165</v>
      </c>
      <c r="N446">
        <v>575</v>
      </c>
      <c r="O446">
        <v>79</v>
      </c>
      <c r="P446" s="1">
        <v>3777</v>
      </c>
      <c r="Q446">
        <v>150</v>
      </c>
      <c r="R446">
        <v>8</v>
      </c>
      <c r="S446">
        <v>2</v>
      </c>
      <c r="T446">
        <v>67</v>
      </c>
      <c r="U446">
        <v>355</v>
      </c>
      <c r="V446">
        <v>0</v>
      </c>
      <c r="W446">
        <v>59</v>
      </c>
      <c r="X446">
        <v>0</v>
      </c>
      <c r="Y446">
        <v>299</v>
      </c>
      <c r="Z446" s="1">
        <v>1165</v>
      </c>
      <c r="AA446" s="1">
        <v>1872</v>
      </c>
      <c r="AB446">
        <v>323</v>
      </c>
      <c r="AC446" s="1">
        <v>1733</v>
      </c>
      <c r="AD446" s="1">
        <v>7144</v>
      </c>
      <c r="AE446" s="1">
        <v>0</v>
      </c>
      <c r="AF446" s="1">
        <v>0</v>
      </c>
      <c r="AG446" s="1">
        <v>3115</v>
      </c>
    </row>
    <row r="447" spans="1:33" x14ac:dyDescent="0.3">
      <c r="A447" t="s">
        <v>183</v>
      </c>
      <c r="B447" t="s">
        <v>30</v>
      </c>
      <c r="C447" s="2" t="s">
        <v>33</v>
      </c>
      <c r="D447" s="1">
        <f>D450+D453+D456+D459+D462+D465+D468+D471+D474+D477+D480+D483+D486+D489+D492+D495+D498+D501+D504+D507+D510+D513+D516+D519+D522+D525+D528+D531+D534+D537+D540+D543+D546+D549+D552+D555+D558+D561+D564+D567+D570+D573+D576+D579+D582+D585+D588+D591+D594+D597</f>
        <v>14923</v>
      </c>
      <c r="E447" s="1">
        <f t="shared" ref="E447:AG447" si="12">E450+E453+E456+E459+E462+E465+E468+E471+E474+E477+E480+E483+E486+E489+E492+E495+E498+E501+E504+E507+E510+E513+E516+E519+E522+E525+E528+E531+E534+E537+E540+E543+E546+E549+E552+E555+E558+E561+E564+E567+E570+E573+E576+E579+E582+E585+E588+E591+E594+E597</f>
        <v>1</v>
      </c>
      <c r="F447" s="1">
        <f t="shared" si="12"/>
        <v>1757</v>
      </c>
      <c r="G447" s="1">
        <f t="shared" si="12"/>
        <v>0</v>
      </c>
      <c r="H447" s="1">
        <f t="shared" si="12"/>
        <v>376</v>
      </c>
      <c r="I447" s="1">
        <f t="shared" si="12"/>
        <v>0</v>
      </c>
      <c r="J447" s="1">
        <f t="shared" si="12"/>
        <v>32</v>
      </c>
      <c r="K447" s="1">
        <f t="shared" si="12"/>
        <v>5</v>
      </c>
      <c r="L447" s="1">
        <f t="shared" si="12"/>
        <v>469</v>
      </c>
      <c r="M447" s="1">
        <f t="shared" si="12"/>
        <v>155</v>
      </c>
      <c r="N447" s="1">
        <f t="shared" si="12"/>
        <v>367</v>
      </c>
      <c r="O447" s="1">
        <f t="shared" si="12"/>
        <v>58</v>
      </c>
      <c r="P447" s="1">
        <f t="shared" si="12"/>
        <v>756</v>
      </c>
      <c r="Q447" s="1">
        <f t="shared" si="12"/>
        <v>122</v>
      </c>
      <c r="R447" s="1">
        <f t="shared" si="12"/>
        <v>8</v>
      </c>
      <c r="S447" s="1">
        <f t="shared" si="12"/>
        <v>2</v>
      </c>
      <c r="T447" s="1">
        <f t="shared" si="12"/>
        <v>47</v>
      </c>
      <c r="U447" s="1">
        <f t="shared" si="12"/>
        <v>226</v>
      </c>
      <c r="V447" s="1">
        <f t="shared" si="12"/>
        <v>0</v>
      </c>
      <c r="W447" s="1">
        <f t="shared" si="12"/>
        <v>56</v>
      </c>
      <c r="X447" s="1">
        <f t="shared" si="12"/>
        <v>0</v>
      </c>
      <c r="Y447" s="1">
        <f t="shared" si="12"/>
        <v>116</v>
      </c>
      <c r="Z447" s="1">
        <f t="shared" si="12"/>
        <v>659</v>
      </c>
      <c r="AA447" s="1">
        <f t="shared" si="12"/>
        <v>760</v>
      </c>
      <c r="AB447" s="1">
        <f t="shared" si="12"/>
        <v>254</v>
      </c>
      <c r="AC447" s="1">
        <f t="shared" si="12"/>
        <v>841</v>
      </c>
      <c r="AD447" s="1">
        <f t="shared" si="12"/>
        <v>5614</v>
      </c>
      <c r="AE447" s="1">
        <f t="shared" si="12"/>
        <v>0</v>
      </c>
      <c r="AF447" s="1">
        <f t="shared" si="12"/>
        <v>0</v>
      </c>
      <c r="AG447" s="1">
        <f t="shared" si="12"/>
        <v>2242</v>
      </c>
    </row>
    <row r="448" spans="1:33" x14ac:dyDescent="0.3">
      <c r="A448" t="s">
        <v>183</v>
      </c>
      <c r="B448" t="s">
        <v>30</v>
      </c>
      <c r="C448" s="2" t="s">
        <v>34</v>
      </c>
      <c r="D448" s="1">
        <f>D451+D454+D457+D460+D463+D466+D469+D472+D475+D478+D481+D484+D487+D490+D493+D496+D499+D502+D505+D508+D511+D514+D517+D520+D523+D526+D529+D532+D535+D538+D541+D544+D547+D550+D553+D556+D559+D562+D565+D568+D571+D574+D577+D580+D583+D586+D589+D592+D595+D598+D600</f>
        <v>10216</v>
      </c>
      <c r="E448" s="1">
        <f t="shared" ref="E448:AG448" si="13">E451+E454+E457+E460+E463+E466+E469+E472+E475+E478+E481+E484+E487+E490+E493+E496+E499+E502+E505+E508+E511+E514+E517+E520+E523+E526+E529+E532+E535+E538+E541+E544+E547+E550+E553+E556+E559+E562+E565+E568+E571+E574+E577+E580+E583+E586+E589+E592+E595+E598+E600</f>
        <v>0</v>
      </c>
      <c r="F448" s="1">
        <f t="shared" si="13"/>
        <v>1162</v>
      </c>
      <c r="G448" s="1">
        <f t="shared" si="13"/>
        <v>1</v>
      </c>
      <c r="H448" s="1">
        <f t="shared" si="13"/>
        <v>400</v>
      </c>
      <c r="I448" s="1">
        <f t="shared" si="13"/>
        <v>0</v>
      </c>
      <c r="J448" s="1">
        <f t="shared" si="13"/>
        <v>5</v>
      </c>
      <c r="K448" s="1">
        <f t="shared" si="13"/>
        <v>0</v>
      </c>
      <c r="L448" s="1">
        <f t="shared" si="13"/>
        <v>43</v>
      </c>
      <c r="M448" s="1">
        <f t="shared" si="13"/>
        <v>10</v>
      </c>
      <c r="N448" s="1">
        <f t="shared" si="13"/>
        <v>208</v>
      </c>
      <c r="O448" s="1">
        <f t="shared" si="13"/>
        <v>21</v>
      </c>
      <c r="P448" s="1">
        <f t="shared" si="13"/>
        <v>3021</v>
      </c>
      <c r="Q448" s="1">
        <f t="shared" si="13"/>
        <v>28</v>
      </c>
      <c r="R448" s="1">
        <f t="shared" si="13"/>
        <v>0</v>
      </c>
      <c r="S448" s="1">
        <f t="shared" si="13"/>
        <v>0</v>
      </c>
      <c r="T448" s="1">
        <f t="shared" si="13"/>
        <v>20</v>
      </c>
      <c r="U448" s="1">
        <f t="shared" si="13"/>
        <v>129</v>
      </c>
      <c r="V448" s="1">
        <f t="shared" si="13"/>
        <v>0</v>
      </c>
      <c r="W448" s="1">
        <f t="shared" si="13"/>
        <v>3</v>
      </c>
      <c r="X448" s="1">
        <f t="shared" si="13"/>
        <v>0</v>
      </c>
      <c r="Y448" s="1">
        <f t="shared" si="13"/>
        <v>183</v>
      </c>
      <c r="Z448" s="1">
        <f t="shared" si="13"/>
        <v>506</v>
      </c>
      <c r="AA448" s="1">
        <f t="shared" si="13"/>
        <v>1112</v>
      </c>
      <c r="AB448" s="1">
        <f t="shared" si="13"/>
        <v>69</v>
      </c>
      <c r="AC448" s="1">
        <f t="shared" si="13"/>
        <v>892</v>
      </c>
      <c r="AD448" s="1">
        <f t="shared" si="13"/>
        <v>1530</v>
      </c>
      <c r="AE448" s="1">
        <f t="shared" si="13"/>
        <v>0</v>
      </c>
      <c r="AF448" s="1">
        <f t="shared" si="13"/>
        <v>0</v>
      </c>
      <c r="AG448" s="1">
        <f t="shared" si="13"/>
        <v>873</v>
      </c>
    </row>
    <row r="449" spans="1:33" x14ac:dyDescent="0.3">
      <c r="A449" t="s">
        <v>183</v>
      </c>
      <c r="B449" t="s">
        <v>184</v>
      </c>
      <c r="C449" s="2" t="s">
        <v>30</v>
      </c>
      <c r="D449" s="1">
        <v>4979</v>
      </c>
      <c r="E449">
        <v>0</v>
      </c>
      <c r="F449">
        <v>31</v>
      </c>
      <c r="G449">
        <v>0</v>
      </c>
      <c r="H449">
        <v>14</v>
      </c>
      <c r="I449">
        <v>0</v>
      </c>
      <c r="J449">
        <v>2</v>
      </c>
      <c r="K449">
        <v>1</v>
      </c>
      <c r="L449">
        <v>9</v>
      </c>
      <c r="M449">
        <v>1</v>
      </c>
      <c r="N449">
        <v>32</v>
      </c>
      <c r="O449">
        <v>30</v>
      </c>
      <c r="P449" s="1">
        <v>3773</v>
      </c>
      <c r="Q449">
        <v>1</v>
      </c>
      <c r="R449">
        <v>8</v>
      </c>
      <c r="S449">
        <v>0</v>
      </c>
      <c r="T449">
        <v>6</v>
      </c>
      <c r="U449">
        <v>76</v>
      </c>
      <c r="V449">
        <v>0</v>
      </c>
      <c r="W449">
        <v>1</v>
      </c>
      <c r="X449">
        <v>0</v>
      </c>
      <c r="Y449">
        <v>4</v>
      </c>
      <c r="Z449">
        <v>97</v>
      </c>
      <c r="AA449">
        <v>153</v>
      </c>
      <c r="AB449">
        <v>29</v>
      </c>
      <c r="AC449">
        <v>260</v>
      </c>
      <c r="AD449">
        <v>374</v>
      </c>
      <c r="AE449" s="1">
        <v>0</v>
      </c>
      <c r="AF449" s="1">
        <v>0</v>
      </c>
      <c r="AG449">
        <v>77</v>
      </c>
    </row>
    <row r="450" spans="1:33" x14ac:dyDescent="0.3">
      <c r="A450" t="s">
        <v>183</v>
      </c>
      <c r="B450" t="s">
        <v>184</v>
      </c>
      <c r="C450" s="2" t="s">
        <v>33</v>
      </c>
      <c r="D450" s="1">
        <v>1492</v>
      </c>
      <c r="E450">
        <v>0</v>
      </c>
      <c r="F450">
        <v>10</v>
      </c>
      <c r="G450">
        <v>0</v>
      </c>
      <c r="H450">
        <v>9</v>
      </c>
      <c r="I450">
        <v>0</v>
      </c>
      <c r="J450">
        <v>2</v>
      </c>
      <c r="K450">
        <v>1</v>
      </c>
      <c r="L450">
        <v>9</v>
      </c>
      <c r="M450">
        <v>1</v>
      </c>
      <c r="N450">
        <v>9</v>
      </c>
      <c r="O450">
        <v>19</v>
      </c>
      <c r="P450">
        <v>755</v>
      </c>
      <c r="Q450">
        <v>1</v>
      </c>
      <c r="R450">
        <v>8</v>
      </c>
      <c r="S450">
        <v>0</v>
      </c>
      <c r="T450">
        <v>4</v>
      </c>
      <c r="U450">
        <v>35</v>
      </c>
      <c r="V450">
        <v>0</v>
      </c>
      <c r="W450">
        <v>1</v>
      </c>
      <c r="X450">
        <v>0</v>
      </c>
      <c r="Y450">
        <v>0</v>
      </c>
      <c r="Z450">
        <v>58</v>
      </c>
      <c r="AA450">
        <v>74</v>
      </c>
      <c r="AB450">
        <v>27</v>
      </c>
      <c r="AC450">
        <v>169</v>
      </c>
      <c r="AD450">
        <v>257</v>
      </c>
      <c r="AE450" s="1">
        <v>0</v>
      </c>
      <c r="AF450" s="1">
        <v>0</v>
      </c>
      <c r="AG450">
        <v>43</v>
      </c>
    </row>
    <row r="451" spans="1:33" x14ac:dyDescent="0.3">
      <c r="A451" t="s">
        <v>183</v>
      </c>
      <c r="B451" t="s">
        <v>184</v>
      </c>
      <c r="C451" s="2" t="s">
        <v>34</v>
      </c>
      <c r="D451" s="1">
        <v>3487</v>
      </c>
      <c r="E451">
        <v>0</v>
      </c>
      <c r="F451">
        <v>21</v>
      </c>
      <c r="G451">
        <v>0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23</v>
      </c>
      <c r="O451">
        <v>11</v>
      </c>
      <c r="P451" s="1">
        <v>3018</v>
      </c>
      <c r="Q451">
        <v>0</v>
      </c>
      <c r="R451">
        <v>0</v>
      </c>
      <c r="S451">
        <v>0</v>
      </c>
      <c r="T451">
        <v>2</v>
      </c>
      <c r="U451">
        <v>41</v>
      </c>
      <c r="V451">
        <v>0</v>
      </c>
      <c r="W451">
        <v>0</v>
      </c>
      <c r="X451">
        <v>0</v>
      </c>
      <c r="Y451">
        <v>4</v>
      </c>
      <c r="Z451">
        <v>39</v>
      </c>
      <c r="AA451">
        <v>79</v>
      </c>
      <c r="AB451">
        <v>2</v>
      </c>
      <c r="AC451">
        <v>91</v>
      </c>
      <c r="AD451">
        <v>117</v>
      </c>
      <c r="AE451" s="1">
        <v>0</v>
      </c>
      <c r="AF451" s="1">
        <v>0</v>
      </c>
      <c r="AG451">
        <v>34</v>
      </c>
    </row>
    <row r="452" spans="1:33" x14ac:dyDescent="0.3">
      <c r="A452" t="s">
        <v>183</v>
      </c>
      <c r="B452" t="s">
        <v>185</v>
      </c>
      <c r="C452" s="2" t="s">
        <v>30</v>
      </c>
      <c r="D452" s="1">
        <v>3003</v>
      </c>
      <c r="E452">
        <v>0</v>
      </c>
      <c r="F452">
        <v>175</v>
      </c>
      <c r="G452">
        <v>0</v>
      </c>
      <c r="H452">
        <v>83</v>
      </c>
      <c r="I452">
        <v>0</v>
      </c>
      <c r="J452">
        <v>2</v>
      </c>
      <c r="K452">
        <v>0</v>
      </c>
      <c r="L452">
        <v>135</v>
      </c>
      <c r="M452">
        <v>22</v>
      </c>
      <c r="N452">
        <v>8</v>
      </c>
      <c r="O452">
        <v>13</v>
      </c>
      <c r="P452">
        <v>2</v>
      </c>
      <c r="Q452">
        <v>27</v>
      </c>
      <c r="R452">
        <v>0</v>
      </c>
      <c r="S452">
        <v>0</v>
      </c>
      <c r="T452">
        <v>7</v>
      </c>
      <c r="U452">
        <v>24</v>
      </c>
      <c r="V452">
        <v>0</v>
      </c>
      <c r="W452">
        <v>1</v>
      </c>
      <c r="X452">
        <v>0</v>
      </c>
      <c r="Y452">
        <v>38</v>
      </c>
      <c r="Z452">
        <v>237</v>
      </c>
      <c r="AA452">
        <v>323</v>
      </c>
      <c r="AB452">
        <v>38</v>
      </c>
      <c r="AC452">
        <v>190</v>
      </c>
      <c r="AD452" s="1">
        <v>1268</v>
      </c>
      <c r="AE452" s="1">
        <v>0</v>
      </c>
      <c r="AF452" s="1">
        <v>0</v>
      </c>
      <c r="AG452">
        <v>410</v>
      </c>
    </row>
    <row r="453" spans="1:33" x14ac:dyDescent="0.3">
      <c r="A453" t="s">
        <v>183</v>
      </c>
      <c r="B453" t="s">
        <v>185</v>
      </c>
      <c r="C453" s="2" t="s">
        <v>33</v>
      </c>
      <c r="D453" s="1">
        <v>2209</v>
      </c>
      <c r="E453">
        <v>0</v>
      </c>
      <c r="F453">
        <v>69</v>
      </c>
      <c r="G453">
        <v>0</v>
      </c>
      <c r="H453">
        <v>31</v>
      </c>
      <c r="I453">
        <v>0</v>
      </c>
      <c r="J453">
        <v>2</v>
      </c>
      <c r="K453">
        <v>0</v>
      </c>
      <c r="L453">
        <v>115</v>
      </c>
      <c r="M453">
        <v>21</v>
      </c>
      <c r="N453">
        <v>4</v>
      </c>
      <c r="O453">
        <v>9</v>
      </c>
      <c r="P453">
        <v>1</v>
      </c>
      <c r="Q453">
        <v>20</v>
      </c>
      <c r="R453">
        <v>0</v>
      </c>
      <c r="S453">
        <v>0</v>
      </c>
      <c r="T453">
        <v>5</v>
      </c>
      <c r="U453">
        <v>16</v>
      </c>
      <c r="V453">
        <v>0</v>
      </c>
      <c r="W453">
        <v>1</v>
      </c>
      <c r="X453">
        <v>0</v>
      </c>
      <c r="Y453">
        <v>19</v>
      </c>
      <c r="Z453">
        <v>138</v>
      </c>
      <c r="AA453">
        <v>141</v>
      </c>
      <c r="AB453">
        <v>31</v>
      </c>
      <c r="AC453">
        <v>124</v>
      </c>
      <c r="AD453" s="1">
        <v>1095</v>
      </c>
      <c r="AE453" s="1">
        <v>0</v>
      </c>
      <c r="AF453" s="1">
        <v>0</v>
      </c>
      <c r="AG453">
        <v>367</v>
      </c>
    </row>
    <row r="454" spans="1:33" x14ac:dyDescent="0.3">
      <c r="A454" t="s">
        <v>183</v>
      </c>
      <c r="B454" t="s">
        <v>185</v>
      </c>
      <c r="C454" s="2" t="s">
        <v>34</v>
      </c>
      <c r="D454">
        <v>794</v>
      </c>
      <c r="E454">
        <v>0</v>
      </c>
      <c r="F454">
        <v>106</v>
      </c>
      <c r="G454">
        <v>0</v>
      </c>
      <c r="H454">
        <v>52</v>
      </c>
      <c r="I454">
        <v>0</v>
      </c>
      <c r="J454">
        <v>0</v>
      </c>
      <c r="K454">
        <v>0</v>
      </c>
      <c r="L454">
        <v>20</v>
      </c>
      <c r="M454">
        <v>1</v>
      </c>
      <c r="N454">
        <v>4</v>
      </c>
      <c r="O454">
        <v>4</v>
      </c>
      <c r="P454">
        <v>1</v>
      </c>
      <c r="Q454">
        <v>7</v>
      </c>
      <c r="R454">
        <v>0</v>
      </c>
      <c r="S454">
        <v>0</v>
      </c>
      <c r="T454">
        <v>2</v>
      </c>
      <c r="U454">
        <v>8</v>
      </c>
      <c r="V454">
        <v>0</v>
      </c>
      <c r="W454">
        <v>0</v>
      </c>
      <c r="X454">
        <v>0</v>
      </c>
      <c r="Y454">
        <v>19</v>
      </c>
      <c r="Z454">
        <v>99</v>
      </c>
      <c r="AA454">
        <v>182</v>
      </c>
      <c r="AB454">
        <v>7</v>
      </c>
      <c r="AC454">
        <v>66</v>
      </c>
      <c r="AD454">
        <v>173</v>
      </c>
      <c r="AE454" s="1">
        <v>0</v>
      </c>
      <c r="AF454" s="1">
        <v>0</v>
      </c>
      <c r="AG454">
        <v>43</v>
      </c>
    </row>
    <row r="455" spans="1:33" x14ac:dyDescent="0.3">
      <c r="A455" t="s">
        <v>183</v>
      </c>
      <c r="B455" t="s">
        <v>186</v>
      </c>
      <c r="C455" s="2" t="s">
        <v>30</v>
      </c>
      <c r="D455" s="1">
        <v>2649</v>
      </c>
      <c r="E455">
        <v>0</v>
      </c>
      <c r="F455">
        <v>313</v>
      </c>
      <c r="G455">
        <v>0</v>
      </c>
      <c r="H455">
        <v>112</v>
      </c>
      <c r="I455">
        <v>0</v>
      </c>
      <c r="J455">
        <v>7</v>
      </c>
      <c r="K455">
        <v>1</v>
      </c>
      <c r="L455">
        <v>105</v>
      </c>
      <c r="M455">
        <v>103</v>
      </c>
      <c r="N455">
        <v>65</v>
      </c>
      <c r="O455">
        <v>6</v>
      </c>
      <c r="P455">
        <v>0</v>
      </c>
      <c r="Q455">
        <v>29</v>
      </c>
      <c r="R455">
        <v>0</v>
      </c>
      <c r="S455">
        <v>0</v>
      </c>
      <c r="T455">
        <v>9</v>
      </c>
      <c r="U455">
        <v>23</v>
      </c>
      <c r="V455">
        <v>0</v>
      </c>
      <c r="W455">
        <v>20</v>
      </c>
      <c r="X455">
        <v>0</v>
      </c>
      <c r="Y455">
        <v>23</v>
      </c>
      <c r="Z455">
        <v>66</v>
      </c>
      <c r="AA455">
        <v>424</v>
      </c>
      <c r="AB455">
        <v>51</v>
      </c>
      <c r="AC455">
        <v>155</v>
      </c>
      <c r="AD455">
        <v>649</v>
      </c>
      <c r="AE455" s="1">
        <v>0</v>
      </c>
      <c r="AF455" s="1">
        <v>0</v>
      </c>
      <c r="AG455">
        <v>488</v>
      </c>
    </row>
    <row r="456" spans="1:33" x14ac:dyDescent="0.3">
      <c r="A456" t="s">
        <v>183</v>
      </c>
      <c r="B456" t="s">
        <v>186</v>
      </c>
      <c r="C456" s="2" t="s">
        <v>33</v>
      </c>
      <c r="D456" s="1">
        <v>1947</v>
      </c>
      <c r="E456">
        <v>0</v>
      </c>
      <c r="F456">
        <v>195</v>
      </c>
      <c r="G456">
        <v>0</v>
      </c>
      <c r="H456">
        <v>59</v>
      </c>
      <c r="I456">
        <v>0</v>
      </c>
      <c r="J456">
        <v>6</v>
      </c>
      <c r="K456">
        <v>1</v>
      </c>
      <c r="L456">
        <v>92</v>
      </c>
      <c r="M456">
        <v>98</v>
      </c>
      <c r="N456">
        <v>41</v>
      </c>
      <c r="O456">
        <v>6</v>
      </c>
      <c r="P456">
        <v>0</v>
      </c>
      <c r="Q456">
        <v>24</v>
      </c>
      <c r="R456">
        <v>0</v>
      </c>
      <c r="S456">
        <v>0</v>
      </c>
      <c r="T456">
        <v>7</v>
      </c>
      <c r="U456">
        <v>17</v>
      </c>
      <c r="V456">
        <v>0</v>
      </c>
      <c r="W456">
        <v>19</v>
      </c>
      <c r="X456">
        <v>0</v>
      </c>
      <c r="Y456">
        <v>13</v>
      </c>
      <c r="Z456">
        <v>40</v>
      </c>
      <c r="AA456">
        <v>169</v>
      </c>
      <c r="AB456">
        <v>48</v>
      </c>
      <c r="AC456">
        <v>154</v>
      </c>
      <c r="AD456">
        <v>554</v>
      </c>
      <c r="AE456" s="1">
        <v>0</v>
      </c>
      <c r="AF456" s="1">
        <v>0</v>
      </c>
      <c r="AG456">
        <v>404</v>
      </c>
    </row>
    <row r="457" spans="1:33" x14ac:dyDescent="0.3">
      <c r="A457" t="s">
        <v>183</v>
      </c>
      <c r="B457" t="s">
        <v>186</v>
      </c>
      <c r="C457" s="2" t="s">
        <v>34</v>
      </c>
      <c r="D457">
        <v>702</v>
      </c>
      <c r="E457">
        <v>0</v>
      </c>
      <c r="F457">
        <v>118</v>
      </c>
      <c r="G457">
        <v>0</v>
      </c>
      <c r="H457">
        <v>53</v>
      </c>
      <c r="I457">
        <v>0</v>
      </c>
      <c r="J457">
        <v>1</v>
      </c>
      <c r="K457">
        <v>0</v>
      </c>
      <c r="L457">
        <v>13</v>
      </c>
      <c r="M457">
        <v>5</v>
      </c>
      <c r="N457">
        <v>24</v>
      </c>
      <c r="O457">
        <v>0</v>
      </c>
      <c r="P457">
        <v>0</v>
      </c>
      <c r="Q457">
        <v>5</v>
      </c>
      <c r="R457">
        <v>0</v>
      </c>
      <c r="S457">
        <v>0</v>
      </c>
      <c r="T457">
        <v>2</v>
      </c>
      <c r="U457">
        <v>6</v>
      </c>
      <c r="V457">
        <v>0</v>
      </c>
      <c r="W457">
        <v>1</v>
      </c>
      <c r="X457">
        <v>0</v>
      </c>
      <c r="Y457">
        <v>10</v>
      </c>
      <c r="Z457">
        <v>26</v>
      </c>
      <c r="AA457">
        <v>255</v>
      </c>
      <c r="AB457">
        <v>3</v>
      </c>
      <c r="AC457">
        <v>1</v>
      </c>
      <c r="AD457">
        <v>95</v>
      </c>
      <c r="AE457" s="1">
        <v>0</v>
      </c>
      <c r="AF457" s="1">
        <v>0</v>
      </c>
      <c r="AG457">
        <v>84</v>
      </c>
    </row>
    <row r="458" spans="1:33" x14ac:dyDescent="0.3">
      <c r="A458" t="s">
        <v>183</v>
      </c>
      <c r="B458" t="s">
        <v>187</v>
      </c>
      <c r="C458" s="2" t="s">
        <v>30</v>
      </c>
      <c r="D458" s="1">
        <v>1711</v>
      </c>
      <c r="E458">
        <v>0</v>
      </c>
      <c r="F458">
        <v>156</v>
      </c>
      <c r="G458">
        <v>0</v>
      </c>
      <c r="H458">
        <v>55</v>
      </c>
      <c r="I458">
        <v>0</v>
      </c>
      <c r="J458">
        <v>0</v>
      </c>
      <c r="K458">
        <v>0</v>
      </c>
      <c r="L458">
        <v>4</v>
      </c>
      <c r="M458">
        <v>3</v>
      </c>
      <c r="N458">
        <v>14</v>
      </c>
      <c r="O458">
        <v>4</v>
      </c>
      <c r="P458">
        <v>1</v>
      </c>
      <c r="Q458">
        <v>4</v>
      </c>
      <c r="R458">
        <v>0</v>
      </c>
      <c r="S458">
        <v>0</v>
      </c>
      <c r="T458">
        <v>7</v>
      </c>
      <c r="U458">
        <v>21</v>
      </c>
      <c r="V458">
        <v>0</v>
      </c>
      <c r="W458">
        <v>1</v>
      </c>
      <c r="X458">
        <v>0</v>
      </c>
      <c r="Y458">
        <v>49</v>
      </c>
      <c r="Z458">
        <v>19</v>
      </c>
      <c r="AA458">
        <v>17</v>
      </c>
      <c r="AB458">
        <v>25</v>
      </c>
      <c r="AC458">
        <v>667</v>
      </c>
      <c r="AD458">
        <v>492</v>
      </c>
      <c r="AE458" s="1">
        <v>0</v>
      </c>
      <c r="AF458" s="1">
        <v>0</v>
      </c>
      <c r="AG458">
        <v>172</v>
      </c>
    </row>
    <row r="459" spans="1:33" x14ac:dyDescent="0.3">
      <c r="A459" t="s">
        <v>183</v>
      </c>
      <c r="B459" t="s">
        <v>187</v>
      </c>
      <c r="C459" s="2" t="s">
        <v>33</v>
      </c>
      <c r="D459">
        <v>662</v>
      </c>
      <c r="E459">
        <v>0</v>
      </c>
      <c r="F459">
        <v>39</v>
      </c>
      <c r="G459">
        <v>0</v>
      </c>
      <c r="H459">
        <v>12</v>
      </c>
      <c r="I459">
        <v>0</v>
      </c>
      <c r="J459">
        <v>0</v>
      </c>
      <c r="K459">
        <v>0</v>
      </c>
      <c r="L459">
        <v>3</v>
      </c>
      <c r="M459">
        <v>3</v>
      </c>
      <c r="N459">
        <v>1</v>
      </c>
      <c r="O459">
        <v>3</v>
      </c>
      <c r="P459">
        <v>0</v>
      </c>
      <c r="Q459">
        <v>2</v>
      </c>
      <c r="R459">
        <v>0</v>
      </c>
      <c r="S459">
        <v>0</v>
      </c>
      <c r="T459">
        <v>4</v>
      </c>
      <c r="U459">
        <v>6</v>
      </c>
      <c r="V459">
        <v>0</v>
      </c>
      <c r="W459">
        <v>1</v>
      </c>
      <c r="X459">
        <v>0</v>
      </c>
      <c r="Y459">
        <v>14</v>
      </c>
      <c r="Z459">
        <v>8</v>
      </c>
      <c r="AA459">
        <v>6</v>
      </c>
      <c r="AB459">
        <v>15</v>
      </c>
      <c r="AC459">
        <v>137</v>
      </c>
      <c r="AD459">
        <v>295</v>
      </c>
      <c r="AE459" s="1">
        <v>0</v>
      </c>
      <c r="AF459" s="1">
        <v>0</v>
      </c>
      <c r="AG459">
        <v>113</v>
      </c>
    </row>
    <row r="460" spans="1:33" x14ac:dyDescent="0.3">
      <c r="A460" t="s">
        <v>183</v>
      </c>
      <c r="B460" t="s">
        <v>187</v>
      </c>
      <c r="C460" s="2" t="s">
        <v>34</v>
      </c>
      <c r="D460" s="1">
        <v>1049</v>
      </c>
      <c r="E460">
        <v>0</v>
      </c>
      <c r="F460">
        <v>117</v>
      </c>
      <c r="G460">
        <v>0</v>
      </c>
      <c r="H460">
        <v>43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13</v>
      </c>
      <c r="O460">
        <v>1</v>
      </c>
      <c r="P460">
        <v>1</v>
      </c>
      <c r="Q460">
        <v>2</v>
      </c>
      <c r="R460">
        <v>0</v>
      </c>
      <c r="S460">
        <v>0</v>
      </c>
      <c r="T460">
        <v>3</v>
      </c>
      <c r="U460">
        <v>15</v>
      </c>
      <c r="V460">
        <v>0</v>
      </c>
      <c r="W460">
        <v>0</v>
      </c>
      <c r="X460">
        <v>0</v>
      </c>
      <c r="Y460">
        <v>35</v>
      </c>
      <c r="Z460">
        <v>11</v>
      </c>
      <c r="AA460">
        <v>11</v>
      </c>
      <c r="AB460">
        <v>10</v>
      </c>
      <c r="AC460">
        <v>530</v>
      </c>
      <c r="AD460">
        <v>197</v>
      </c>
      <c r="AE460" s="1">
        <v>0</v>
      </c>
      <c r="AF460" s="1">
        <v>0</v>
      </c>
      <c r="AG460">
        <v>59</v>
      </c>
    </row>
    <row r="461" spans="1:33" x14ac:dyDescent="0.3">
      <c r="A461" t="s">
        <v>183</v>
      </c>
      <c r="B461" t="s">
        <v>188</v>
      </c>
      <c r="C461" s="2" t="s">
        <v>30</v>
      </c>
      <c r="D461" s="1">
        <v>1591</v>
      </c>
      <c r="E461">
        <v>0</v>
      </c>
      <c r="F461">
        <v>265</v>
      </c>
      <c r="G461">
        <v>1</v>
      </c>
      <c r="H461">
        <v>33</v>
      </c>
      <c r="I461">
        <v>0</v>
      </c>
      <c r="J461">
        <v>2</v>
      </c>
      <c r="K461">
        <v>3</v>
      </c>
      <c r="L461">
        <v>2</v>
      </c>
      <c r="M461">
        <v>1</v>
      </c>
      <c r="N461">
        <v>32</v>
      </c>
      <c r="O461">
        <v>8</v>
      </c>
      <c r="P461">
        <v>0</v>
      </c>
      <c r="Q461">
        <v>35</v>
      </c>
      <c r="R461">
        <v>0</v>
      </c>
      <c r="S461">
        <v>0</v>
      </c>
      <c r="T461">
        <v>0</v>
      </c>
      <c r="U461">
        <v>12</v>
      </c>
      <c r="V461">
        <v>0</v>
      </c>
      <c r="W461">
        <v>0</v>
      </c>
      <c r="X461">
        <v>0</v>
      </c>
      <c r="Y461">
        <v>30</v>
      </c>
      <c r="Z461">
        <v>290</v>
      </c>
      <c r="AA461">
        <v>106</v>
      </c>
      <c r="AB461">
        <v>54</v>
      </c>
      <c r="AC461">
        <v>31</v>
      </c>
      <c r="AD461">
        <v>484</v>
      </c>
      <c r="AE461" s="1">
        <v>0</v>
      </c>
      <c r="AF461" s="1">
        <v>0</v>
      </c>
      <c r="AG461">
        <v>202</v>
      </c>
    </row>
    <row r="462" spans="1:33" x14ac:dyDescent="0.3">
      <c r="A462" t="s">
        <v>183</v>
      </c>
      <c r="B462" t="s">
        <v>188</v>
      </c>
      <c r="C462" s="2" t="s">
        <v>33</v>
      </c>
      <c r="D462">
        <v>986</v>
      </c>
      <c r="E462">
        <v>0</v>
      </c>
      <c r="F462">
        <v>185</v>
      </c>
      <c r="G462">
        <v>0</v>
      </c>
      <c r="H462">
        <v>23</v>
      </c>
      <c r="I462">
        <v>0</v>
      </c>
      <c r="J462">
        <v>2</v>
      </c>
      <c r="K462">
        <v>3</v>
      </c>
      <c r="L462">
        <v>2</v>
      </c>
      <c r="M462">
        <v>0</v>
      </c>
      <c r="N462">
        <v>19</v>
      </c>
      <c r="O462">
        <v>8</v>
      </c>
      <c r="P462">
        <v>0</v>
      </c>
      <c r="Q462">
        <v>32</v>
      </c>
      <c r="R462">
        <v>0</v>
      </c>
      <c r="S462">
        <v>0</v>
      </c>
      <c r="T462">
        <v>0</v>
      </c>
      <c r="U462">
        <v>11</v>
      </c>
      <c r="V462">
        <v>0</v>
      </c>
      <c r="W462">
        <v>0</v>
      </c>
      <c r="X462">
        <v>0</v>
      </c>
      <c r="Y462">
        <v>5</v>
      </c>
      <c r="Z462">
        <v>165</v>
      </c>
      <c r="AA462">
        <v>38</v>
      </c>
      <c r="AB462">
        <v>43</v>
      </c>
      <c r="AC462">
        <v>12</v>
      </c>
      <c r="AD462">
        <v>328</v>
      </c>
      <c r="AE462" s="1">
        <v>0</v>
      </c>
      <c r="AF462" s="1">
        <v>0</v>
      </c>
      <c r="AG462">
        <v>110</v>
      </c>
    </row>
    <row r="463" spans="1:33" x14ac:dyDescent="0.3">
      <c r="A463" t="s">
        <v>183</v>
      </c>
      <c r="B463" t="s">
        <v>188</v>
      </c>
      <c r="C463" s="2" t="s">
        <v>34</v>
      </c>
      <c r="D463">
        <v>605</v>
      </c>
      <c r="E463">
        <v>0</v>
      </c>
      <c r="F463">
        <v>80</v>
      </c>
      <c r="G463">
        <v>1</v>
      </c>
      <c r="H463">
        <v>10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13</v>
      </c>
      <c r="O463">
        <v>0</v>
      </c>
      <c r="P463">
        <v>0</v>
      </c>
      <c r="Q463">
        <v>3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25</v>
      </c>
      <c r="Z463">
        <v>125</v>
      </c>
      <c r="AA463">
        <v>68</v>
      </c>
      <c r="AB463">
        <v>11</v>
      </c>
      <c r="AC463">
        <v>19</v>
      </c>
      <c r="AD463">
        <v>156</v>
      </c>
      <c r="AE463" s="1">
        <v>0</v>
      </c>
      <c r="AF463" s="1">
        <v>0</v>
      </c>
      <c r="AG463">
        <v>92</v>
      </c>
    </row>
    <row r="464" spans="1:33" x14ac:dyDescent="0.3">
      <c r="A464" t="s">
        <v>183</v>
      </c>
      <c r="B464" t="s">
        <v>189</v>
      </c>
      <c r="C464" s="2" t="s">
        <v>30</v>
      </c>
      <c r="D464" s="1">
        <v>1371</v>
      </c>
      <c r="E464">
        <v>0</v>
      </c>
      <c r="F464">
        <v>253</v>
      </c>
      <c r="G464">
        <v>0</v>
      </c>
      <c r="H464">
        <v>28</v>
      </c>
      <c r="I464">
        <v>0</v>
      </c>
      <c r="J464">
        <v>0</v>
      </c>
      <c r="K464">
        <v>0</v>
      </c>
      <c r="L464">
        <v>30</v>
      </c>
      <c r="M464">
        <v>9</v>
      </c>
      <c r="N464">
        <v>55</v>
      </c>
      <c r="O464">
        <v>4</v>
      </c>
      <c r="P464">
        <v>0</v>
      </c>
      <c r="Q464">
        <v>9</v>
      </c>
      <c r="R464">
        <v>0</v>
      </c>
      <c r="S464">
        <v>0</v>
      </c>
      <c r="T464">
        <v>4</v>
      </c>
      <c r="U464">
        <v>26</v>
      </c>
      <c r="V464">
        <v>0</v>
      </c>
      <c r="W464">
        <v>31</v>
      </c>
      <c r="X464">
        <v>0</v>
      </c>
      <c r="Y464">
        <v>40</v>
      </c>
      <c r="Z464">
        <v>40</v>
      </c>
      <c r="AA464">
        <v>76</v>
      </c>
      <c r="AB464">
        <v>16</v>
      </c>
      <c r="AC464">
        <v>37</v>
      </c>
      <c r="AD464">
        <v>496</v>
      </c>
      <c r="AE464" s="1">
        <v>0</v>
      </c>
      <c r="AF464" s="1">
        <v>0</v>
      </c>
      <c r="AG464">
        <v>217</v>
      </c>
    </row>
    <row r="465" spans="1:33" x14ac:dyDescent="0.3">
      <c r="A465" t="s">
        <v>183</v>
      </c>
      <c r="B465" t="s">
        <v>189</v>
      </c>
      <c r="C465" s="2" t="s">
        <v>33</v>
      </c>
      <c r="D465" s="1">
        <v>1094</v>
      </c>
      <c r="E465">
        <v>0</v>
      </c>
      <c r="F465">
        <v>198</v>
      </c>
      <c r="G465">
        <v>0</v>
      </c>
      <c r="H465">
        <v>15</v>
      </c>
      <c r="I465">
        <v>0</v>
      </c>
      <c r="J465">
        <v>0</v>
      </c>
      <c r="K465">
        <v>0</v>
      </c>
      <c r="L465">
        <v>27</v>
      </c>
      <c r="M465">
        <v>8</v>
      </c>
      <c r="N465">
        <v>38</v>
      </c>
      <c r="O465">
        <v>4</v>
      </c>
      <c r="P465">
        <v>0</v>
      </c>
      <c r="Q465">
        <v>9</v>
      </c>
      <c r="R465">
        <v>0</v>
      </c>
      <c r="S465">
        <v>0</v>
      </c>
      <c r="T465">
        <v>4</v>
      </c>
      <c r="U465">
        <v>19</v>
      </c>
      <c r="V465">
        <v>0</v>
      </c>
      <c r="W465">
        <v>30</v>
      </c>
      <c r="X465">
        <v>0</v>
      </c>
      <c r="Y465">
        <v>25</v>
      </c>
      <c r="Z465">
        <v>26</v>
      </c>
      <c r="AA465">
        <v>30</v>
      </c>
      <c r="AB465">
        <v>14</v>
      </c>
      <c r="AC465">
        <v>33</v>
      </c>
      <c r="AD465">
        <v>453</v>
      </c>
      <c r="AE465" s="1">
        <v>0</v>
      </c>
      <c r="AF465" s="1">
        <v>0</v>
      </c>
      <c r="AG465">
        <v>161</v>
      </c>
    </row>
    <row r="466" spans="1:33" x14ac:dyDescent="0.3">
      <c r="A466" t="s">
        <v>183</v>
      </c>
      <c r="B466" t="s">
        <v>189</v>
      </c>
      <c r="C466" s="2" t="s">
        <v>34</v>
      </c>
      <c r="D466">
        <v>277</v>
      </c>
      <c r="E466">
        <v>0</v>
      </c>
      <c r="F466">
        <v>55</v>
      </c>
      <c r="G466">
        <v>0</v>
      </c>
      <c r="H466">
        <v>13</v>
      </c>
      <c r="I466">
        <v>0</v>
      </c>
      <c r="J466">
        <v>0</v>
      </c>
      <c r="K466">
        <v>0</v>
      </c>
      <c r="L466">
        <v>3</v>
      </c>
      <c r="M466">
        <v>1</v>
      </c>
      <c r="N466">
        <v>17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</v>
      </c>
      <c r="V466">
        <v>0</v>
      </c>
      <c r="W466">
        <v>1</v>
      </c>
      <c r="X466">
        <v>0</v>
      </c>
      <c r="Y466">
        <v>15</v>
      </c>
      <c r="Z466">
        <v>14</v>
      </c>
      <c r="AA466">
        <v>46</v>
      </c>
      <c r="AB466">
        <v>2</v>
      </c>
      <c r="AC466">
        <v>4</v>
      </c>
      <c r="AD466">
        <v>43</v>
      </c>
      <c r="AE466" s="1">
        <v>0</v>
      </c>
      <c r="AF466" s="1">
        <v>0</v>
      </c>
      <c r="AG466">
        <v>56</v>
      </c>
    </row>
    <row r="467" spans="1:33" x14ac:dyDescent="0.3">
      <c r="A467" t="s">
        <v>183</v>
      </c>
      <c r="B467" t="s">
        <v>190</v>
      </c>
      <c r="C467" s="2" t="s">
        <v>30</v>
      </c>
      <c r="D467">
        <v>832</v>
      </c>
      <c r="E467">
        <v>0</v>
      </c>
      <c r="F467">
        <v>13</v>
      </c>
      <c r="G467">
        <v>0</v>
      </c>
      <c r="H467">
        <v>3</v>
      </c>
      <c r="I467">
        <v>0</v>
      </c>
      <c r="J467">
        <v>1</v>
      </c>
      <c r="K467">
        <v>0</v>
      </c>
      <c r="L467">
        <v>176</v>
      </c>
      <c r="M467">
        <v>8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2</v>
      </c>
      <c r="V467">
        <v>0</v>
      </c>
      <c r="W467">
        <v>0</v>
      </c>
      <c r="X467">
        <v>0</v>
      </c>
      <c r="Y467">
        <v>16</v>
      </c>
      <c r="Z467">
        <v>18</v>
      </c>
      <c r="AA467">
        <v>285</v>
      </c>
      <c r="AB467">
        <v>11</v>
      </c>
      <c r="AC467">
        <v>5</v>
      </c>
      <c r="AD467">
        <v>226</v>
      </c>
      <c r="AE467" s="1">
        <v>0</v>
      </c>
      <c r="AF467" s="1">
        <v>0</v>
      </c>
      <c r="AG467">
        <v>65</v>
      </c>
    </row>
    <row r="468" spans="1:33" x14ac:dyDescent="0.3">
      <c r="A468" t="s">
        <v>183</v>
      </c>
      <c r="B468" t="s">
        <v>190</v>
      </c>
      <c r="C468" s="2" t="s">
        <v>33</v>
      </c>
      <c r="D468">
        <v>592</v>
      </c>
      <c r="E468">
        <v>0</v>
      </c>
      <c r="F468">
        <v>7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175</v>
      </c>
      <c r="M468">
        <v>8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0</v>
      </c>
      <c r="W468">
        <v>0</v>
      </c>
      <c r="X468">
        <v>0</v>
      </c>
      <c r="Y468">
        <v>9</v>
      </c>
      <c r="Z468">
        <v>8</v>
      </c>
      <c r="AA468">
        <v>112</v>
      </c>
      <c r="AB468">
        <v>7</v>
      </c>
      <c r="AC468">
        <v>4</v>
      </c>
      <c r="AD468">
        <v>220</v>
      </c>
      <c r="AE468" s="1">
        <v>0</v>
      </c>
      <c r="AF468" s="1">
        <v>0</v>
      </c>
      <c r="AG468">
        <v>36</v>
      </c>
    </row>
    <row r="469" spans="1:33" x14ac:dyDescent="0.3">
      <c r="A469" t="s">
        <v>183</v>
      </c>
      <c r="B469" t="s">
        <v>190</v>
      </c>
      <c r="C469" s="2" t="s">
        <v>34</v>
      </c>
      <c r="D469">
        <v>240</v>
      </c>
      <c r="E469">
        <v>0</v>
      </c>
      <c r="F469">
        <v>6</v>
      </c>
      <c r="G469">
        <v>0</v>
      </c>
      <c r="H469">
        <v>2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7</v>
      </c>
      <c r="Z469">
        <v>10</v>
      </c>
      <c r="AA469">
        <v>173</v>
      </c>
      <c r="AB469">
        <v>4</v>
      </c>
      <c r="AC469">
        <v>1</v>
      </c>
      <c r="AD469">
        <v>6</v>
      </c>
      <c r="AE469" s="1">
        <v>0</v>
      </c>
      <c r="AF469" s="1">
        <v>0</v>
      </c>
      <c r="AG469">
        <v>29</v>
      </c>
    </row>
    <row r="470" spans="1:33" x14ac:dyDescent="0.3">
      <c r="A470" t="s">
        <v>183</v>
      </c>
      <c r="B470" t="s">
        <v>191</v>
      </c>
      <c r="C470" s="2" t="s">
        <v>30</v>
      </c>
      <c r="D470">
        <v>765</v>
      </c>
      <c r="E470">
        <v>0</v>
      </c>
      <c r="F470">
        <v>141</v>
      </c>
      <c r="G470">
        <v>0</v>
      </c>
      <c r="H470">
        <v>50</v>
      </c>
      <c r="I470">
        <v>0</v>
      </c>
      <c r="J470">
        <v>0</v>
      </c>
      <c r="K470">
        <v>0</v>
      </c>
      <c r="L470">
        <v>4</v>
      </c>
      <c r="M470">
        <v>1</v>
      </c>
      <c r="N470">
        <v>49</v>
      </c>
      <c r="O470">
        <v>2</v>
      </c>
      <c r="P470">
        <v>0</v>
      </c>
      <c r="Q470">
        <v>6</v>
      </c>
      <c r="R470">
        <v>0</v>
      </c>
      <c r="S470">
        <v>0</v>
      </c>
      <c r="T470">
        <v>2</v>
      </c>
      <c r="U470">
        <v>11</v>
      </c>
      <c r="V470">
        <v>0</v>
      </c>
      <c r="W470">
        <v>0</v>
      </c>
      <c r="X470">
        <v>0</v>
      </c>
      <c r="Y470">
        <v>19</v>
      </c>
      <c r="Z470">
        <v>36</v>
      </c>
      <c r="AA470">
        <v>91</v>
      </c>
      <c r="AB470">
        <v>15</v>
      </c>
      <c r="AC470">
        <v>24</v>
      </c>
      <c r="AD470">
        <v>151</v>
      </c>
      <c r="AE470" s="1">
        <v>0</v>
      </c>
      <c r="AF470" s="1">
        <v>0</v>
      </c>
      <c r="AG470">
        <v>163</v>
      </c>
    </row>
    <row r="471" spans="1:33" x14ac:dyDescent="0.3">
      <c r="A471" t="s">
        <v>183</v>
      </c>
      <c r="B471" t="s">
        <v>191</v>
      </c>
      <c r="C471" s="2" t="s">
        <v>33</v>
      </c>
      <c r="D471">
        <v>470</v>
      </c>
      <c r="E471">
        <v>0</v>
      </c>
      <c r="F471">
        <v>99</v>
      </c>
      <c r="G471">
        <v>0</v>
      </c>
      <c r="H471">
        <v>25</v>
      </c>
      <c r="I471">
        <v>0</v>
      </c>
      <c r="J471">
        <v>0</v>
      </c>
      <c r="K471">
        <v>0</v>
      </c>
      <c r="L471">
        <v>4</v>
      </c>
      <c r="M471">
        <v>1</v>
      </c>
      <c r="N471">
        <v>35</v>
      </c>
      <c r="O471">
        <v>1</v>
      </c>
      <c r="P471">
        <v>0</v>
      </c>
      <c r="Q471">
        <v>4</v>
      </c>
      <c r="R471">
        <v>0</v>
      </c>
      <c r="S471">
        <v>0</v>
      </c>
      <c r="T471">
        <v>0</v>
      </c>
      <c r="U471">
        <v>10</v>
      </c>
      <c r="V471">
        <v>0</v>
      </c>
      <c r="W471">
        <v>0</v>
      </c>
      <c r="X471">
        <v>0</v>
      </c>
      <c r="Y471">
        <v>8</v>
      </c>
      <c r="Z471">
        <v>16</v>
      </c>
      <c r="AA471">
        <v>34</v>
      </c>
      <c r="AB471">
        <v>12</v>
      </c>
      <c r="AC471">
        <v>19</v>
      </c>
      <c r="AD471">
        <v>98</v>
      </c>
      <c r="AE471" s="1">
        <v>0</v>
      </c>
      <c r="AF471" s="1">
        <v>0</v>
      </c>
      <c r="AG471">
        <v>104</v>
      </c>
    </row>
    <row r="472" spans="1:33" x14ac:dyDescent="0.3">
      <c r="A472" t="s">
        <v>183</v>
      </c>
      <c r="B472" t="s">
        <v>191</v>
      </c>
      <c r="C472" s="2" t="s">
        <v>34</v>
      </c>
      <c r="D472">
        <v>295</v>
      </c>
      <c r="E472">
        <v>0</v>
      </c>
      <c r="F472">
        <v>42</v>
      </c>
      <c r="G472">
        <v>0</v>
      </c>
      <c r="H472">
        <v>25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14</v>
      </c>
      <c r="O472">
        <v>1</v>
      </c>
      <c r="P472">
        <v>0</v>
      </c>
      <c r="Q472">
        <v>2</v>
      </c>
      <c r="R472">
        <v>0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0</v>
      </c>
      <c r="Y472">
        <v>11</v>
      </c>
      <c r="Z472">
        <v>20</v>
      </c>
      <c r="AA472">
        <v>57</v>
      </c>
      <c r="AB472">
        <v>3</v>
      </c>
      <c r="AC472">
        <v>5</v>
      </c>
      <c r="AD472">
        <v>53</v>
      </c>
      <c r="AE472" s="1">
        <v>0</v>
      </c>
      <c r="AF472" s="1">
        <v>0</v>
      </c>
      <c r="AG472">
        <v>59</v>
      </c>
    </row>
    <row r="473" spans="1:33" x14ac:dyDescent="0.3">
      <c r="A473" t="s">
        <v>183</v>
      </c>
      <c r="B473" t="s">
        <v>192</v>
      </c>
      <c r="C473" s="2" t="s">
        <v>30</v>
      </c>
      <c r="D473">
        <v>762</v>
      </c>
      <c r="E473">
        <v>0</v>
      </c>
      <c r="F473">
        <v>226</v>
      </c>
      <c r="G473">
        <v>0</v>
      </c>
      <c r="H473">
        <v>38</v>
      </c>
      <c r="I473">
        <v>0</v>
      </c>
      <c r="J473">
        <v>0</v>
      </c>
      <c r="K473">
        <v>0</v>
      </c>
      <c r="L473">
        <v>3</v>
      </c>
      <c r="M473">
        <v>0</v>
      </c>
      <c r="N473">
        <v>32</v>
      </c>
      <c r="O473">
        <v>0</v>
      </c>
      <c r="P473">
        <v>0</v>
      </c>
      <c r="Q473">
        <v>5</v>
      </c>
      <c r="R473">
        <v>0</v>
      </c>
      <c r="S473">
        <v>0</v>
      </c>
      <c r="T473">
        <v>3</v>
      </c>
      <c r="U473">
        <v>14</v>
      </c>
      <c r="V473">
        <v>0</v>
      </c>
      <c r="W473">
        <v>0</v>
      </c>
      <c r="X473">
        <v>0</v>
      </c>
      <c r="Y473">
        <v>3</v>
      </c>
      <c r="Z473">
        <v>28</v>
      </c>
      <c r="AA473">
        <v>66</v>
      </c>
      <c r="AB473">
        <v>6</v>
      </c>
      <c r="AC473">
        <v>0</v>
      </c>
      <c r="AD473">
        <v>312</v>
      </c>
      <c r="AE473" s="1">
        <v>0</v>
      </c>
      <c r="AF473" s="1">
        <v>0</v>
      </c>
      <c r="AG473">
        <v>26</v>
      </c>
    </row>
    <row r="474" spans="1:33" x14ac:dyDescent="0.3">
      <c r="A474" t="s">
        <v>183</v>
      </c>
      <c r="B474" t="s">
        <v>192</v>
      </c>
      <c r="C474" s="2" t="s">
        <v>33</v>
      </c>
      <c r="D474">
        <v>517</v>
      </c>
      <c r="E474">
        <v>0</v>
      </c>
      <c r="F474">
        <v>161</v>
      </c>
      <c r="G474">
        <v>0</v>
      </c>
      <c r="H474">
        <v>23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24</v>
      </c>
      <c r="O474">
        <v>0</v>
      </c>
      <c r="P474">
        <v>0</v>
      </c>
      <c r="Q474">
        <v>5</v>
      </c>
      <c r="R474">
        <v>0</v>
      </c>
      <c r="S474">
        <v>0</v>
      </c>
      <c r="T474">
        <v>3</v>
      </c>
      <c r="U474">
        <v>14</v>
      </c>
      <c r="V474">
        <v>0</v>
      </c>
      <c r="W474">
        <v>0</v>
      </c>
      <c r="X474">
        <v>0</v>
      </c>
      <c r="Y474">
        <v>2</v>
      </c>
      <c r="Z474">
        <v>11</v>
      </c>
      <c r="AA474">
        <v>18</v>
      </c>
      <c r="AB474">
        <v>5</v>
      </c>
      <c r="AC474">
        <v>0</v>
      </c>
      <c r="AD474">
        <v>236</v>
      </c>
      <c r="AE474" s="1">
        <v>0</v>
      </c>
      <c r="AF474" s="1">
        <v>0</v>
      </c>
      <c r="AG474">
        <v>13</v>
      </c>
    </row>
    <row r="475" spans="1:33" x14ac:dyDescent="0.3">
      <c r="A475" t="s">
        <v>183</v>
      </c>
      <c r="B475" t="s">
        <v>192</v>
      </c>
      <c r="C475" s="2" t="s">
        <v>34</v>
      </c>
      <c r="D475">
        <v>245</v>
      </c>
      <c r="E475">
        <v>0</v>
      </c>
      <c r="F475">
        <v>65</v>
      </c>
      <c r="G475">
        <v>0</v>
      </c>
      <c r="H475">
        <v>15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17</v>
      </c>
      <c r="AA475">
        <v>48</v>
      </c>
      <c r="AB475">
        <v>1</v>
      </c>
      <c r="AC475">
        <v>0</v>
      </c>
      <c r="AD475">
        <v>76</v>
      </c>
      <c r="AE475" s="1">
        <v>0</v>
      </c>
      <c r="AF475" s="1">
        <v>0</v>
      </c>
      <c r="AG475">
        <v>13</v>
      </c>
    </row>
    <row r="476" spans="1:33" x14ac:dyDescent="0.3">
      <c r="A476" t="s">
        <v>183</v>
      </c>
      <c r="B476" t="s">
        <v>193</v>
      </c>
      <c r="C476" s="2" t="s">
        <v>30</v>
      </c>
      <c r="D476">
        <v>734</v>
      </c>
      <c r="E476">
        <v>0</v>
      </c>
      <c r="F476">
        <v>46</v>
      </c>
      <c r="G476">
        <v>0</v>
      </c>
      <c r="H476">
        <v>14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4</v>
      </c>
      <c r="O476">
        <v>1</v>
      </c>
      <c r="P476">
        <v>0</v>
      </c>
      <c r="Q476">
        <v>6</v>
      </c>
      <c r="R476">
        <v>0</v>
      </c>
      <c r="S476">
        <v>0</v>
      </c>
      <c r="T476">
        <v>2</v>
      </c>
      <c r="U476">
        <v>13</v>
      </c>
      <c r="V476">
        <v>0</v>
      </c>
      <c r="W476">
        <v>0</v>
      </c>
      <c r="X476">
        <v>0</v>
      </c>
      <c r="Y476">
        <v>6</v>
      </c>
      <c r="Z476">
        <v>8</v>
      </c>
      <c r="AA476">
        <v>15</v>
      </c>
      <c r="AB476">
        <v>7</v>
      </c>
      <c r="AC476">
        <v>97</v>
      </c>
      <c r="AD476">
        <v>458</v>
      </c>
      <c r="AE476" s="1">
        <v>0</v>
      </c>
      <c r="AF476" s="1">
        <v>0</v>
      </c>
      <c r="AG476">
        <v>56</v>
      </c>
    </row>
    <row r="477" spans="1:33" x14ac:dyDescent="0.3">
      <c r="A477" t="s">
        <v>183</v>
      </c>
      <c r="B477" t="s">
        <v>193</v>
      </c>
      <c r="C477" s="2" t="s">
        <v>33</v>
      </c>
      <c r="D477">
        <v>464</v>
      </c>
      <c r="E477">
        <v>0</v>
      </c>
      <c r="F477">
        <v>15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5</v>
      </c>
      <c r="V477">
        <v>0</v>
      </c>
      <c r="W477">
        <v>0</v>
      </c>
      <c r="X477">
        <v>0</v>
      </c>
      <c r="Y477">
        <v>1</v>
      </c>
      <c r="Z477">
        <v>3</v>
      </c>
      <c r="AA477">
        <v>4</v>
      </c>
      <c r="AB477">
        <v>3</v>
      </c>
      <c r="AC477">
        <v>31</v>
      </c>
      <c r="AD477">
        <v>357</v>
      </c>
      <c r="AE477" s="1">
        <v>0</v>
      </c>
      <c r="AF477" s="1">
        <v>0</v>
      </c>
      <c r="AG477">
        <v>43</v>
      </c>
    </row>
    <row r="478" spans="1:33" x14ac:dyDescent="0.3">
      <c r="A478" t="s">
        <v>183</v>
      </c>
      <c r="B478" t="s">
        <v>193</v>
      </c>
      <c r="C478" s="2" t="s">
        <v>34</v>
      </c>
      <c r="D478">
        <v>270</v>
      </c>
      <c r="E478">
        <v>0</v>
      </c>
      <c r="F478">
        <v>31</v>
      </c>
      <c r="G478">
        <v>0</v>
      </c>
      <c r="H478">
        <v>14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3</v>
      </c>
      <c r="O478">
        <v>1</v>
      </c>
      <c r="P478">
        <v>0</v>
      </c>
      <c r="Q478">
        <v>5</v>
      </c>
      <c r="R478">
        <v>0</v>
      </c>
      <c r="S478">
        <v>0</v>
      </c>
      <c r="T478">
        <v>2</v>
      </c>
      <c r="U478">
        <v>8</v>
      </c>
      <c r="V478">
        <v>0</v>
      </c>
      <c r="W478">
        <v>0</v>
      </c>
      <c r="X478">
        <v>0</v>
      </c>
      <c r="Y478">
        <v>5</v>
      </c>
      <c r="Z478">
        <v>5</v>
      </c>
      <c r="AA478">
        <v>11</v>
      </c>
      <c r="AB478">
        <v>4</v>
      </c>
      <c r="AC478">
        <v>66</v>
      </c>
      <c r="AD478">
        <v>101</v>
      </c>
      <c r="AE478" s="1">
        <v>0</v>
      </c>
      <c r="AF478" s="1">
        <v>0</v>
      </c>
      <c r="AG478">
        <v>13</v>
      </c>
    </row>
    <row r="479" spans="1:33" x14ac:dyDescent="0.3">
      <c r="A479" t="s">
        <v>183</v>
      </c>
      <c r="B479" t="s">
        <v>194</v>
      </c>
      <c r="C479" s="2" t="s">
        <v>30</v>
      </c>
      <c r="D479">
        <v>695</v>
      </c>
      <c r="E479">
        <v>0</v>
      </c>
      <c r="F479">
        <v>202</v>
      </c>
      <c r="G479">
        <v>0</v>
      </c>
      <c r="H479">
        <v>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74</v>
      </c>
      <c r="O479">
        <v>2</v>
      </c>
      <c r="P479">
        <v>0</v>
      </c>
      <c r="Q479">
        <v>1</v>
      </c>
      <c r="R479">
        <v>0</v>
      </c>
      <c r="S479">
        <v>0</v>
      </c>
      <c r="T479">
        <v>3</v>
      </c>
      <c r="U479">
        <v>2</v>
      </c>
      <c r="V479">
        <v>0</v>
      </c>
      <c r="W479">
        <v>0</v>
      </c>
      <c r="X479">
        <v>0</v>
      </c>
      <c r="Y479">
        <v>1</v>
      </c>
      <c r="Z479">
        <v>42</v>
      </c>
      <c r="AA479">
        <v>37</v>
      </c>
      <c r="AB479">
        <v>1</v>
      </c>
      <c r="AC479">
        <v>1</v>
      </c>
      <c r="AD479">
        <v>302</v>
      </c>
      <c r="AE479" s="1">
        <v>0</v>
      </c>
      <c r="AF479" s="1">
        <v>0</v>
      </c>
      <c r="AG479">
        <v>18</v>
      </c>
    </row>
    <row r="480" spans="1:33" x14ac:dyDescent="0.3">
      <c r="A480" t="s">
        <v>183</v>
      </c>
      <c r="B480" t="s">
        <v>194</v>
      </c>
      <c r="C480" s="2" t="s">
        <v>33</v>
      </c>
      <c r="D480">
        <v>543</v>
      </c>
      <c r="E480">
        <v>0</v>
      </c>
      <c r="F480">
        <v>162</v>
      </c>
      <c r="G480">
        <v>0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65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3</v>
      </c>
      <c r="U480">
        <v>2</v>
      </c>
      <c r="V480">
        <v>0</v>
      </c>
      <c r="W480">
        <v>0</v>
      </c>
      <c r="X480">
        <v>0</v>
      </c>
      <c r="Y480">
        <v>0</v>
      </c>
      <c r="Z480">
        <v>20</v>
      </c>
      <c r="AA480">
        <v>14</v>
      </c>
      <c r="AB480">
        <v>1</v>
      </c>
      <c r="AC480">
        <v>0</v>
      </c>
      <c r="AD480">
        <v>255</v>
      </c>
      <c r="AE480" s="1">
        <v>0</v>
      </c>
      <c r="AF480" s="1">
        <v>0</v>
      </c>
      <c r="AG480">
        <v>16</v>
      </c>
    </row>
    <row r="481" spans="1:33" x14ac:dyDescent="0.3">
      <c r="A481" t="s">
        <v>183</v>
      </c>
      <c r="B481" t="s">
        <v>194</v>
      </c>
      <c r="C481" s="2" t="s">
        <v>34</v>
      </c>
      <c r="D481">
        <v>152</v>
      </c>
      <c r="E481">
        <v>0</v>
      </c>
      <c r="F481">
        <v>40</v>
      </c>
      <c r="G481">
        <v>0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9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22</v>
      </c>
      <c r="AA481">
        <v>23</v>
      </c>
      <c r="AB481">
        <v>0</v>
      </c>
      <c r="AC481">
        <v>1</v>
      </c>
      <c r="AD481">
        <v>47</v>
      </c>
      <c r="AE481" s="1">
        <v>0</v>
      </c>
      <c r="AF481" s="1">
        <v>0</v>
      </c>
      <c r="AG481">
        <v>2</v>
      </c>
    </row>
    <row r="482" spans="1:33" x14ac:dyDescent="0.3">
      <c r="A482" t="s">
        <v>183</v>
      </c>
      <c r="B482" t="s">
        <v>195</v>
      </c>
      <c r="C482" s="2" t="s">
        <v>30</v>
      </c>
      <c r="D482">
        <v>693</v>
      </c>
      <c r="E482">
        <v>0</v>
      </c>
      <c r="F482">
        <v>232</v>
      </c>
      <c r="G482">
        <v>0</v>
      </c>
      <c r="H482">
        <v>38</v>
      </c>
      <c r="I482">
        <v>0</v>
      </c>
      <c r="J482">
        <v>5</v>
      </c>
      <c r="K482">
        <v>0</v>
      </c>
      <c r="L482">
        <v>1</v>
      </c>
      <c r="M482">
        <v>0</v>
      </c>
      <c r="N482">
        <v>41</v>
      </c>
      <c r="O482">
        <v>2</v>
      </c>
      <c r="P482">
        <v>0</v>
      </c>
      <c r="Q482">
        <v>5</v>
      </c>
      <c r="R482">
        <v>0</v>
      </c>
      <c r="S482">
        <v>0</v>
      </c>
      <c r="T482">
        <v>2</v>
      </c>
      <c r="U482">
        <v>26</v>
      </c>
      <c r="V482">
        <v>0</v>
      </c>
      <c r="W482">
        <v>0</v>
      </c>
      <c r="X482">
        <v>0</v>
      </c>
      <c r="Y482">
        <v>12</v>
      </c>
      <c r="Z482">
        <v>16</v>
      </c>
      <c r="AA482">
        <v>44</v>
      </c>
      <c r="AB482">
        <v>3</v>
      </c>
      <c r="AC482">
        <v>15</v>
      </c>
      <c r="AD482">
        <v>156</v>
      </c>
      <c r="AE482" s="1">
        <v>0</v>
      </c>
      <c r="AF482" s="1">
        <v>0</v>
      </c>
      <c r="AG482">
        <v>95</v>
      </c>
    </row>
    <row r="483" spans="1:33" x14ac:dyDescent="0.3">
      <c r="A483" t="s">
        <v>183</v>
      </c>
      <c r="B483" t="s">
        <v>195</v>
      </c>
      <c r="C483" s="2" t="s">
        <v>33</v>
      </c>
      <c r="D483">
        <v>390</v>
      </c>
      <c r="E483">
        <v>0</v>
      </c>
      <c r="F483">
        <v>129</v>
      </c>
      <c r="G483">
        <v>0</v>
      </c>
      <c r="H483">
        <v>19</v>
      </c>
      <c r="I483">
        <v>0</v>
      </c>
      <c r="J483">
        <v>5</v>
      </c>
      <c r="K483">
        <v>0</v>
      </c>
      <c r="L483">
        <v>1</v>
      </c>
      <c r="M483">
        <v>0</v>
      </c>
      <c r="N483">
        <v>28</v>
      </c>
      <c r="O483">
        <v>2</v>
      </c>
      <c r="P483">
        <v>0</v>
      </c>
      <c r="Q483">
        <v>5</v>
      </c>
      <c r="R483">
        <v>0</v>
      </c>
      <c r="S483">
        <v>0</v>
      </c>
      <c r="T483">
        <v>2</v>
      </c>
      <c r="U483">
        <v>15</v>
      </c>
      <c r="V483">
        <v>0</v>
      </c>
      <c r="W483">
        <v>0</v>
      </c>
      <c r="X483">
        <v>0</v>
      </c>
      <c r="Y483">
        <v>0</v>
      </c>
      <c r="Z483">
        <v>10</v>
      </c>
      <c r="AA483">
        <v>23</v>
      </c>
      <c r="AB483">
        <v>3</v>
      </c>
      <c r="AC483">
        <v>11</v>
      </c>
      <c r="AD483">
        <v>92</v>
      </c>
      <c r="AE483" s="1">
        <v>0</v>
      </c>
      <c r="AF483" s="1">
        <v>0</v>
      </c>
      <c r="AG483">
        <v>45</v>
      </c>
    </row>
    <row r="484" spans="1:33" x14ac:dyDescent="0.3">
      <c r="A484" t="s">
        <v>183</v>
      </c>
      <c r="B484" t="s">
        <v>195</v>
      </c>
      <c r="C484" s="2" t="s">
        <v>34</v>
      </c>
      <c r="D484">
        <v>303</v>
      </c>
      <c r="E484">
        <v>0</v>
      </c>
      <c r="F484">
        <v>103</v>
      </c>
      <c r="G484">
        <v>0</v>
      </c>
      <c r="H484">
        <v>19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11</v>
      </c>
      <c r="V484">
        <v>0</v>
      </c>
      <c r="W484">
        <v>0</v>
      </c>
      <c r="X484">
        <v>0</v>
      </c>
      <c r="Y484">
        <v>12</v>
      </c>
      <c r="Z484">
        <v>6</v>
      </c>
      <c r="AA484">
        <v>21</v>
      </c>
      <c r="AB484">
        <v>0</v>
      </c>
      <c r="AC484">
        <v>4</v>
      </c>
      <c r="AD484">
        <v>64</v>
      </c>
      <c r="AE484" s="1">
        <v>0</v>
      </c>
      <c r="AF484" s="1">
        <v>0</v>
      </c>
      <c r="AG484">
        <v>50</v>
      </c>
    </row>
    <row r="485" spans="1:33" x14ac:dyDescent="0.3">
      <c r="A485" t="s">
        <v>183</v>
      </c>
      <c r="B485" t="s">
        <v>196</v>
      </c>
      <c r="C485" s="2" t="s">
        <v>30</v>
      </c>
      <c r="D485">
        <v>676</v>
      </c>
      <c r="E485">
        <v>0</v>
      </c>
      <c r="F485">
        <v>186</v>
      </c>
      <c r="G485">
        <v>0</v>
      </c>
      <c r="H485">
        <v>23</v>
      </c>
      <c r="I485">
        <v>0</v>
      </c>
      <c r="J485">
        <v>3</v>
      </c>
      <c r="K485">
        <v>0</v>
      </c>
      <c r="L485">
        <v>2</v>
      </c>
      <c r="M485">
        <v>0</v>
      </c>
      <c r="N485">
        <v>24</v>
      </c>
      <c r="O485">
        <v>1</v>
      </c>
      <c r="P485">
        <v>0</v>
      </c>
      <c r="Q485">
        <v>3</v>
      </c>
      <c r="R485">
        <v>0</v>
      </c>
      <c r="S485">
        <v>0</v>
      </c>
      <c r="T485">
        <v>0</v>
      </c>
      <c r="U485">
        <v>10</v>
      </c>
      <c r="V485">
        <v>0</v>
      </c>
      <c r="W485">
        <v>0</v>
      </c>
      <c r="X485">
        <v>0</v>
      </c>
      <c r="Y485">
        <v>6</v>
      </c>
      <c r="Z485">
        <v>10</v>
      </c>
      <c r="AA485">
        <v>25</v>
      </c>
      <c r="AB485">
        <v>5</v>
      </c>
      <c r="AC485">
        <v>11</v>
      </c>
      <c r="AD485">
        <v>301</v>
      </c>
      <c r="AE485" s="1">
        <v>0</v>
      </c>
      <c r="AF485" s="1">
        <v>0</v>
      </c>
      <c r="AG485">
        <v>66</v>
      </c>
    </row>
    <row r="486" spans="1:33" x14ac:dyDescent="0.3">
      <c r="A486" t="s">
        <v>183</v>
      </c>
      <c r="B486" t="s">
        <v>196</v>
      </c>
      <c r="C486" s="2" t="s">
        <v>33</v>
      </c>
      <c r="D486">
        <v>483</v>
      </c>
      <c r="E486">
        <v>0</v>
      </c>
      <c r="F486">
        <v>123</v>
      </c>
      <c r="G486">
        <v>0</v>
      </c>
      <c r="H486">
        <v>11</v>
      </c>
      <c r="I486">
        <v>0</v>
      </c>
      <c r="J486">
        <v>2</v>
      </c>
      <c r="K486">
        <v>0</v>
      </c>
      <c r="L486">
        <v>2</v>
      </c>
      <c r="M486">
        <v>0</v>
      </c>
      <c r="N486">
        <v>14</v>
      </c>
      <c r="O486">
        <v>0</v>
      </c>
      <c r="P486">
        <v>0</v>
      </c>
      <c r="Q486">
        <v>3</v>
      </c>
      <c r="R486">
        <v>0</v>
      </c>
      <c r="S486">
        <v>0</v>
      </c>
      <c r="T486">
        <v>0</v>
      </c>
      <c r="U486">
        <v>7</v>
      </c>
      <c r="V486">
        <v>0</v>
      </c>
      <c r="W486">
        <v>0</v>
      </c>
      <c r="X486">
        <v>0</v>
      </c>
      <c r="Y486">
        <v>1</v>
      </c>
      <c r="Z486">
        <v>6</v>
      </c>
      <c r="AA486">
        <v>11</v>
      </c>
      <c r="AB486">
        <v>4</v>
      </c>
      <c r="AC486">
        <v>9</v>
      </c>
      <c r="AD486">
        <v>251</v>
      </c>
      <c r="AE486" s="1">
        <v>0</v>
      </c>
      <c r="AF486" s="1">
        <v>0</v>
      </c>
      <c r="AG486">
        <v>39</v>
      </c>
    </row>
    <row r="487" spans="1:33" x14ac:dyDescent="0.3">
      <c r="A487" t="s">
        <v>183</v>
      </c>
      <c r="B487" t="s">
        <v>196</v>
      </c>
      <c r="C487" s="2" t="s">
        <v>34</v>
      </c>
      <c r="D487">
        <v>193</v>
      </c>
      <c r="E487">
        <v>0</v>
      </c>
      <c r="F487">
        <v>63</v>
      </c>
      <c r="G487">
        <v>0</v>
      </c>
      <c r="H487">
        <v>12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5</v>
      </c>
      <c r="Z487">
        <v>4</v>
      </c>
      <c r="AA487">
        <v>14</v>
      </c>
      <c r="AB487">
        <v>1</v>
      </c>
      <c r="AC487">
        <v>2</v>
      </c>
      <c r="AD487">
        <v>50</v>
      </c>
      <c r="AE487" s="1">
        <v>0</v>
      </c>
      <c r="AF487" s="1">
        <v>0</v>
      </c>
      <c r="AG487">
        <v>27</v>
      </c>
    </row>
    <row r="488" spans="1:33" x14ac:dyDescent="0.3">
      <c r="A488" t="s">
        <v>183</v>
      </c>
      <c r="B488" t="s">
        <v>197</v>
      </c>
      <c r="C488" s="2" t="s">
        <v>30</v>
      </c>
      <c r="D488">
        <v>600</v>
      </c>
      <c r="E488">
        <v>0</v>
      </c>
      <c r="F488">
        <v>152</v>
      </c>
      <c r="G488">
        <v>0</v>
      </c>
      <c r="H488">
        <v>30</v>
      </c>
      <c r="I488">
        <v>0</v>
      </c>
      <c r="J488">
        <v>2</v>
      </c>
      <c r="K488">
        <v>0</v>
      </c>
      <c r="L488">
        <v>1</v>
      </c>
      <c r="M488">
        <v>0</v>
      </c>
      <c r="N488">
        <v>41</v>
      </c>
      <c r="O488">
        <v>1</v>
      </c>
      <c r="P488">
        <v>0</v>
      </c>
      <c r="Q488">
        <v>2</v>
      </c>
      <c r="R488">
        <v>0</v>
      </c>
      <c r="S488">
        <v>0</v>
      </c>
      <c r="T488">
        <v>0</v>
      </c>
      <c r="U488">
        <v>12</v>
      </c>
      <c r="V488">
        <v>0</v>
      </c>
      <c r="W488">
        <v>0</v>
      </c>
      <c r="X488">
        <v>0</v>
      </c>
      <c r="Y488">
        <v>6</v>
      </c>
      <c r="Z488">
        <v>39</v>
      </c>
      <c r="AA488">
        <v>9</v>
      </c>
      <c r="AB488">
        <v>5</v>
      </c>
      <c r="AC488">
        <v>24</v>
      </c>
      <c r="AD488">
        <v>202</v>
      </c>
      <c r="AE488" s="1">
        <v>0</v>
      </c>
      <c r="AF488" s="1">
        <v>0</v>
      </c>
      <c r="AG488">
        <v>74</v>
      </c>
    </row>
    <row r="489" spans="1:33" x14ac:dyDescent="0.3">
      <c r="A489" t="s">
        <v>183</v>
      </c>
      <c r="B489" t="s">
        <v>197</v>
      </c>
      <c r="C489" s="2" t="s">
        <v>33</v>
      </c>
      <c r="D489">
        <v>378</v>
      </c>
      <c r="E489">
        <v>0</v>
      </c>
      <c r="F489">
        <v>92</v>
      </c>
      <c r="G489">
        <v>0</v>
      </c>
      <c r="H489">
        <v>24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21</v>
      </c>
      <c r="O489">
        <v>1</v>
      </c>
      <c r="P489">
        <v>0</v>
      </c>
      <c r="Q489">
        <v>2</v>
      </c>
      <c r="R489">
        <v>0</v>
      </c>
      <c r="S489">
        <v>0</v>
      </c>
      <c r="T489">
        <v>0</v>
      </c>
      <c r="U489">
        <v>10</v>
      </c>
      <c r="V489">
        <v>0</v>
      </c>
      <c r="W489">
        <v>0</v>
      </c>
      <c r="X489">
        <v>0</v>
      </c>
      <c r="Y489">
        <v>0</v>
      </c>
      <c r="Z489">
        <v>22</v>
      </c>
      <c r="AA489">
        <v>5</v>
      </c>
      <c r="AB489">
        <v>2</v>
      </c>
      <c r="AC489">
        <v>23</v>
      </c>
      <c r="AD489">
        <v>138</v>
      </c>
      <c r="AE489" s="1">
        <v>0</v>
      </c>
      <c r="AF489" s="1">
        <v>0</v>
      </c>
      <c r="AG489">
        <v>37</v>
      </c>
    </row>
    <row r="490" spans="1:33" x14ac:dyDescent="0.3">
      <c r="A490" t="s">
        <v>183</v>
      </c>
      <c r="B490" t="s">
        <v>197</v>
      </c>
      <c r="C490" s="2" t="s">
        <v>34</v>
      </c>
      <c r="D490">
        <v>222</v>
      </c>
      <c r="E490">
        <v>0</v>
      </c>
      <c r="F490">
        <v>60</v>
      </c>
      <c r="G490">
        <v>0</v>
      </c>
      <c r="H490">
        <v>6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20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6</v>
      </c>
      <c r="Z490">
        <v>17</v>
      </c>
      <c r="AA490">
        <v>4</v>
      </c>
      <c r="AB490">
        <v>3</v>
      </c>
      <c r="AC490">
        <v>1</v>
      </c>
      <c r="AD490">
        <v>64</v>
      </c>
      <c r="AE490" s="1">
        <v>0</v>
      </c>
      <c r="AF490" s="1">
        <v>0</v>
      </c>
      <c r="AG490">
        <v>37</v>
      </c>
    </row>
    <row r="491" spans="1:33" x14ac:dyDescent="0.3">
      <c r="A491" t="s">
        <v>183</v>
      </c>
      <c r="B491" t="s">
        <v>198</v>
      </c>
      <c r="C491" s="2" t="s">
        <v>30</v>
      </c>
      <c r="D491">
        <v>574</v>
      </c>
      <c r="E491">
        <v>0</v>
      </c>
      <c r="F491">
        <v>46</v>
      </c>
      <c r="G491">
        <v>0</v>
      </c>
      <c r="H491">
        <v>34</v>
      </c>
      <c r="I491">
        <v>0</v>
      </c>
      <c r="J491">
        <v>0</v>
      </c>
      <c r="K491">
        <v>0</v>
      </c>
      <c r="L491">
        <v>4</v>
      </c>
      <c r="M491">
        <v>6</v>
      </c>
      <c r="N491">
        <v>2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8</v>
      </c>
      <c r="V491">
        <v>0</v>
      </c>
      <c r="W491">
        <v>1</v>
      </c>
      <c r="X491">
        <v>0</v>
      </c>
      <c r="Y491">
        <v>7</v>
      </c>
      <c r="Z491">
        <v>11</v>
      </c>
      <c r="AA491">
        <v>3</v>
      </c>
      <c r="AB491">
        <v>14</v>
      </c>
      <c r="AC491">
        <v>110</v>
      </c>
      <c r="AD491">
        <v>216</v>
      </c>
      <c r="AE491" s="1">
        <v>0</v>
      </c>
      <c r="AF491" s="1">
        <v>0</v>
      </c>
      <c r="AG491">
        <v>109</v>
      </c>
    </row>
    <row r="492" spans="1:33" x14ac:dyDescent="0.3">
      <c r="A492" t="s">
        <v>183</v>
      </c>
      <c r="B492" t="s">
        <v>198</v>
      </c>
      <c r="C492" s="2" t="s">
        <v>33</v>
      </c>
      <c r="D492">
        <v>344</v>
      </c>
      <c r="E492">
        <v>0</v>
      </c>
      <c r="F492">
        <v>9</v>
      </c>
      <c r="G492">
        <v>0</v>
      </c>
      <c r="H492">
        <v>6</v>
      </c>
      <c r="I492">
        <v>0</v>
      </c>
      <c r="J492">
        <v>0</v>
      </c>
      <c r="K492">
        <v>0</v>
      </c>
      <c r="L492">
        <v>3</v>
      </c>
      <c r="M492">
        <v>6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2</v>
      </c>
      <c r="V492">
        <v>0</v>
      </c>
      <c r="W492">
        <v>1</v>
      </c>
      <c r="X492">
        <v>0</v>
      </c>
      <c r="Y492">
        <v>2</v>
      </c>
      <c r="Z492">
        <v>4</v>
      </c>
      <c r="AA492">
        <v>1</v>
      </c>
      <c r="AB492">
        <v>7</v>
      </c>
      <c r="AC492">
        <v>30</v>
      </c>
      <c r="AD492">
        <v>175</v>
      </c>
      <c r="AE492" s="1">
        <v>0</v>
      </c>
      <c r="AF492" s="1">
        <v>0</v>
      </c>
      <c r="AG492">
        <v>95</v>
      </c>
    </row>
    <row r="493" spans="1:33" x14ac:dyDescent="0.3">
      <c r="A493" t="s">
        <v>183</v>
      </c>
      <c r="B493" t="s">
        <v>198</v>
      </c>
      <c r="C493" s="2" t="s">
        <v>34</v>
      </c>
      <c r="D493">
        <v>230</v>
      </c>
      <c r="E493">
        <v>0</v>
      </c>
      <c r="F493">
        <v>37</v>
      </c>
      <c r="G493">
        <v>0</v>
      </c>
      <c r="H493">
        <v>28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</v>
      </c>
      <c r="V493">
        <v>0</v>
      </c>
      <c r="W493">
        <v>0</v>
      </c>
      <c r="X493">
        <v>0</v>
      </c>
      <c r="Y493">
        <v>5</v>
      </c>
      <c r="Z493">
        <v>7</v>
      </c>
      <c r="AA493">
        <v>2</v>
      </c>
      <c r="AB493">
        <v>7</v>
      </c>
      <c r="AC493">
        <v>80</v>
      </c>
      <c r="AD493">
        <v>41</v>
      </c>
      <c r="AE493" s="1">
        <v>0</v>
      </c>
      <c r="AF493" s="1">
        <v>0</v>
      </c>
      <c r="AG493">
        <v>14</v>
      </c>
    </row>
    <row r="494" spans="1:33" x14ac:dyDescent="0.3">
      <c r="A494" t="s">
        <v>183</v>
      </c>
      <c r="B494" t="s">
        <v>199</v>
      </c>
      <c r="C494" s="2" t="s">
        <v>30</v>
      </c>
      <c r="D494">
        <v>487</v>
      </c>
      <c r="E494">
        <v>0</v>
      </c>
      <c r="F494">
        <v>34</v>
      </c>
      <c r="G494">
        <v>0</v>
      </c>
      <c r="H494">
        <v>22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8</v>
      </c>
      <c r="AA494">
        <v>2</v>
      </c>
      <c r="AB494">
        <v>2</v>
      </c>
      <c r="AC494">
        <v>7</v>
      </c>
      <c r="AD494">
        <v>193</v>
      </c>
      <c r="AE494" s="1">
        <v>0</v>
      </c>
      <c r="AF494" s="1">
        <v>0</v>
      </c>
      <c r="AG494">
        <v>212</v>
      </c>
    </row>
    <row r="495" spans="1:33" x14ac:dyDescent="0.3">
      <c r="A495" t="s">
        <v>183</v>
      </c>
      <c r="B495" t="s">
        <v>199</v>
      </c>
      <c r="C495" s="2" t="s">
        <v>33</v>
      </c>
      <c r="D495">
        <v>325</v>
      </c>
      <c r="E495">
        <v>0</v>
      </c>
      <c r="F495">
        <v>19</v>
      </c>
      <c r="G495">
        <v>0</v>
      </c>
      <c r="H495">
        <v>13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5</v>
      </c>
      <c r="AA495">
        <v>1</v>
      </c>
      <c r="AB495">
        <v>2</v>
      </c>
      <c r="AC495">
        <v>7</v>
      </c>
      <c r="AD495">
        <v>120</v>
      </c>
      <c r="AE495" s="1">
        <v>0</v>
      </c>
      <c r="AF495" s="1">
        <v>0</v>
      </c>
      <c r="AG495">
        <v>152</v>
      </c>
    </row>
    <row r="496" spans="1:33" x14ac:dyDescent="0.3">
      <c r="A496" t="s">
        <v>183</v>
      </c>
      <c r="B496" t="s">
        <v>199</v>
      </c>
      <c r="C496" s="2" t="s">
        <v>34</v>
      </c>
      <c r="D496">
        <v>162</v>
      </c>
      <c r="E496">
        <v>0</v>
      </c>
      <c r="F496">
        <v>15</v>
      </c>
      <c r="G496">
        <v>0</v>
      </c>
      <c r="H496">
        <v>9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</v>
      </c>
      <c r="AA496">
        <v>1</v>
      </c>
      <c r="AB496">
        <v>0</v>
      </c>
      <c r="AC496">
        <v>0</v>
      </c>
      <c r="AD496">
        <v>73</v>
      </c>
      <c r="AE496" s="1">
        <v>0</v>
      </c>
      <c r="AF496" s="1">
        <v>0</v>
      </c>
      <c r="AG496">
        <v>60</v>
      </c>
    </row>
    <row r="497" spans="1:33" x14ac:dyDescent="0.3">
      <c r="A497" t="s">
        <v>183</v>
      </c>
      <c r="B497" t="s">
        <v>200</v>
      </c>
      <c r="C497" s="2" t="s">
        <v>30</v>
      </c>
      <c r="D497">
        <v>421</v>
      </c>
      <c r="E497">
        <v>0</v>
      </c>
      <c r="F497">
        <v>63</v>
      </c>
      <c r="G497">
        <v>0</v>
      </c>
      <c r="H497">
        <v>33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11</v>
      </c>
      <c r="O497">
        <v>1</v>
      </c>
      <c r="P497">
        <v>1</v>
      </c>
      <c r="Q497">
        <v>3</v>
      </c>
      <c r="R497">
        <v>0</v>
      </c>
      <c r="S497">
        <v>0</v>
      </c>
      <c r="T497">
        <v>0</v>
      </c>
      <c r="U497">
        <v>10</v>
      </c>
      <c r="V497">
        <v>0</v>
      </c>
      <c r="W497">
        <v>0</v>
      </c>
      <c r="X497">
        <v>0</v>
      </c>
      <c r="Y497">
        <v>5</v>
      </c>
      <c r="Z497">
        <v>70</v>
      </c>
      <c r="AA497">
        <v>40</v>
      </c>
      <c r="AB497">
        <v>12</v>
      </c>
      <c r="AC497">
        <v>4</v>
      </c>
      <c r="AD497">
        <v>121</v>
      </c>
      <c r="AE497" s="1">
        <v>0</v>
      </c>
      <c r="AF497" s="1">
        <v>0</v>
      </c>
      <c r="AG497">
        <v>45</v>
      </c>
    </row>
    <row r="498" spans="1:33" x14ac:dyDescent="0.3">
      <c r="A498" t="s">
        <v>183</v>
      </c>
      <c r="B498" t="s">
        <v>200</v>
      </c>
      <c r="C498" s="2" t="s">
        <v>33</v>
      </c>
      <c r="D498">
        <v>262</v>
      </c>
      <c r="E498">
        <v>0</v>
      </c>
      <c r="F498">
        <v>39</v>
      </c>
      <c r="G498">
        <v>0</v>
      </c>
      <c r="H498">
        <v>25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9</v>
      </c>
      <c r="O498">
        <v>1</v>
      </c>
      <c r="P498">
        <v>0</v>
      </c>
      <c r="Q498">
        <v>3</v>
      </c>
      <c r="R498">
        <v>0</v>
      </c>
      <c r="S498">
        <v>0</v>
      </c>
      <c r="T498">
        <v>0</v>
      </c>
      <c r="U498">
        <v>9</v>
      </c>
      <c r="V498">
        <v>0</v>
      </c>
      <c r="W498">
        <v>0</v>
      </c>
      <c r="X498">
        <v>0</v>
      </c>
      <c r="Y498">
        <v>3</v>
      </c>
      <c r="Z498">
        <v>40</v>
      </c>
      <c r="AA498">
        <v>13</v>
      </c>
      <c r="AB498">
        <v>8</v>
      </c>
      <c r="AC498">
        <v>4</v>
      </c>
      <c r="AD498">
        <v>82</v>
      </c>
      <c r="AE498" s="1">
        <v>0</v>
      </c>
      <c r="AF498" s="1">
        <v>0</v>
      </c>
      <c r="AG498">
        <v>24</v>
      </c>
    </row>
    <row r="499" spans="1:33" x14ac:dyDescent="0.3">
      <c r="A499" t="s">
        <v>183</v>
      </c>
      <c r="B499" t="s">
        <v>200</v>
      </c>
      <c r="C499" s="2" t="s">
        <v>34</v>
      </c>
      <c r="D499">
        <v>159</v>
      </c>
      <c r="E499">
        <v>0</v>
      </c>
      <c r="F499">
        <v>24</v>
      </c>
      <c r="G499">
        <v>0</v>
      </c>
      <c r="H499">
        <v>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2</v>
      </c>
      <c r="Z499">
        <v>30</v>
      </c>
      <c r="AA499">
        <v>27</v>
      </c>
      <c r="AB499">
        <v>4</v>
      </c>
      <c r="AC499">
        <v>0</v>
      </c>
      <c r="AD499">
        <v>39</v>
      </c>
      <c r="AE499" s="1">
        <v>0</v>
      </c>
      <c r="AF499" s="1">
        <v>0</v>
      </c>
      <c r="AG499">
        <v>21</v>
      </c>
    </row>
    <row r="500" spans="1:33" x14ac:dyDescent="0.3">
      <c r="A500" t="s">
        <v>183</v>
      </c>
      <c r="B500" t="s">
        <v>201</v>
      </c>
      <c r="C500" s="2" t="s">
        <v>30</v>
      </c>
      <c r="D500">
        <v>358</v>
      </c>
      <c r="E500">
        <v>0</v>
      </c>
      <c r="F500">
        <v>28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25</v>
      </c>
      <c r="M500">
        <v>5</v>
      </c>
      <c r="N500">
        <v>8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18</v>
      </c>
      <c r="V500">
        <v>0</v>
      </c>
      <c r="W500">
        <v>0</v>
      </c>
      <c r="X500">
        <v>0</v>
      </c>
      <c r="Y500">
        <v>4</v>
      </c>
      <c r="Z500">
        <v>47</v>
      </c>
      <c r="AA500">
        <v>60</v>
      </c>
      <c r="AB500">
        <v>4</v>
      </c>
      <c r="AC500">
        <v>4</v>
      </c>
      <c r="AD500">
        <v>106</v>
      </c>
      <c r="AE500" s="1">
        <v>0</v>
      </c>
      <c r="AF500" s="1">
        <v>0</v>
      </c>
      <c r="AG500">
        <v>45</v>
      </c>
    </row>
    <row r="501" spans="1:33" x14ac:dyDescent="0.3">
      <c r="A501" t="s">
        <v>183</v>
      </c>
      <c r="B501" t="s">
        <v>201</v>
      </c>
      <c r="C501" s="2" t="s">
        <v>33</v>
      </c>
      <c r="D501">
        <v>246</v>
      </c>
      <c r="E501">
        <v>0</v>
      </c>
      <c r="F501">
        <v>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25</v>
      </c>
      <c r="M501">
        <v>4</v>
      </c>
      <c r="N501">
        <v>7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13</v>
      </c>
      <c r="V501">
        <v>0</v>
      </c>
      <c r="W501">
        <v>0</v>
      </c>
      <c r="X501">
        <v>0</v>
      </c>
      <c r="Y501">
        <v>1</v>
      </c>
      <c r="Z501">
        <v>29</v>
      </c>
      <c r="AA501">
        <v>22</v>
      </c>
      <c r="AB501">
        <v>4</v>
      </c>
      <c r="AC501">
        <v>4</v>
      </c>
      <c r="AD501">
        <v>101</v>
      </c>
      <c r="AE501" s="1">
        <v>0</v>
      </c>
      <c r="AF501" s="1">
        <v>0</v>
      </c>
      <c r="AG501">
        <v>26</v>
      </c>
    </row>
    <row r="502" spans="1:33" x14ac:dyDescent="0.3">
      <c r="A502" t="s">
        <v>183</v>
      </c>
      <c r="B502" t="s">
        <v>201</v>
      </c>
      <c r="C502" s="2" t="s">
        <v>34</v>
      </c>
      <c r="D502">
        <v>112</v>
      </c>
      <c r="E502">
        <v>0</v>
      </c>
      <c r="F502">
        <v>19</v>
      </c>
      <c r="G502">
        <v>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5</v>
      </c>
      <c r="V502">
        <v>0</v>
      </c>
      <c r="W502">
        <v>0</v>
      </c>
      <c r="X502">
        <v>0</v>
      </c>
      <c r="Y502">
        <v>3</v>
      </c>
      <c r="Z502">
        <v>18</v>
      </c>
      <c r="AA502">
        <v>38</v>
      </c>
      <c r="AB502">
        <v>0</v>
      </c>
      <c r="AC502">
        <v>0</v>
      </c>
      <c r="AD502">
        <v>5</v>
      </c>
      <c r="AE502" s="1">
        <v>0</v>
      </c>
      <c r="AF502" s="1">
        <v>0</v>
      </c>
      <c r="AG502">
        <v>19</v>
      </c>
    </row>
    <row r="503" spans="1:33" x14ac:dyDescent="0.3">
      <c r="A503" t="s">
        <v>183</v>
      </c>
      <c r="B503" t="s">
        <v>202</v>
      </c>
      <c r="C503" s="2" t="s">
        <v>30</v>
      </c>
      <c r="D503">
        <v>294</v>
      </c>
      <c r="E503">
        <v>0</v>
      </c>
      <c r="F503">
        <v>20</v>
      </c>
      <c r="G503">
        <v>0</v>
      </c>
      <c r="H503">
        <v>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5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7</v>
      </c>
      <c r="V503">
        <v>0</v>
      </c>
      <c r="W503">
        <v>0</v>
      </c>
      <c r="X503">
        <v>0</v>
      </c>
      <c r="Y503">
        <v>3</v>
      </c>
      <c r="Z503">
        <v>2</v>
      </c>
      <c r="AA503">
        <v>4</v>
      </c>
      <c r="AB503">
        <v>0</v>
      </c>
      <c r="AC503">
        <v>24</v>
      </c>
      <c r="AD503">
        <v>119</v>
      </c>
      <c r="AE503" s="1">
        <v>0</v>
      </c>
      <c r="AF503" s="1">
        <v>0</v>
      </c>
      <c r="AG503">
        <v>102</v>
      </c>
    </row>
    <row r="504" spans="1:33" x14ac:dyDescent="0.3">
      <c r="A504" t="s">
        <v>183</v>
      </c>
      <c r="B504" t="s">
        <v>202</v>
      </c>
      <c r="C504" s="2" t="s">
        <v>33</v>
      </c>
      <c r="D504">
        <v>223</v>
      </c>
      <c r="E504">
        <v>0</v>
      </c>
      <c r="F504">
        <v>7</v>
      </c>
      <c r="G504">
        <v>0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5</v>
      </c>
      <c r="V504">
        <v>0</v>
      </c>
      <c r="W504">
        <v>0</v>
      </c>
      <c r="X504">
        <v>0</v>
      </c>
      <c r="Y504">
        <v>1</v>
      </c>
      <c r="Z504">
        <v>1</v>
      </c>
      <c r="AA504">
        <v>3</v>
      </c>
      <c r="AB504">
        <v>0</v>
      </c>
      <c r="AC504">
        <v>23</v>
      </c>
      <c r="AD504">
        <v>109</v>
      </c>
      <c r="AE504" s="1">
        <v>0</v>
      </c>
      <c r="AF504" s="1">
        <v>0</v>
      </c>
      <c r="AG504">
        <v>70</v>
      </c>
    </row>
    <row r="505" spans="1:33" x14ac:dyDescent="0.3">
      <c r="A505" t="s">
        <v>183</v>
      </c>
      <c r="B505" t="s">
        <v>202</v>
      </c>
      <c r="C505" s="2" t="s">
        <v>34</v>
      </c>
      <c r="D505">
        <v>71</v>
      </c>
      <c r="E505">
        <v>0</v>
      </c>
      <c r="F505">
        <v>13</v>
      </c>
      <c r="G505">
        <v>0</v>
      </c>
      <c r="H505">
        <v>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2</v>
      </c>
      <c r="Z505">
        <v>1</v>
      </c>
      <c r="AA505">
        <v>1</v>
      </c>
      <c r="AB505">
        <v>0</v>
      </c>
      <c r="AC505">
        <v>1</v>
      </c>
      <c r="AD505">
        <v>10</v>
      </c>
      <c r="AE505" s="1">
        <v>0</v>
      </c>
      <c r="AF505" s="1">
        <v>0</v>
      </c>
      <c r="AG505">
        <v>32</v>
      </c>
    </row>
    <row r="506" spans="1:33" x14ac:dyDescent="0.3">
      <c r="A506" t="s">
        <v>183</v>
      </c>
      <c r="B506" t="s">
        <v>203</v>
      </c>
      <c r="C506" s="2" t="s">
        <v>30</v>
      </c>
      <c r="D506">
        <v>246</v>
      </c>
      <c r="E506">
        <v>0</v>
      </c>
      <c r="F506">
        <v>8</v>
      </c>
      <c r="G506">
        <v>0</v>
      </c>
      <c r="H506">
        <v>14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3</v>
      </c>
      <c r="Z506">
        <v>15</v>
      </c>
      <c r="AA506">
        <v>9</v>
      </c>
      <c r="AB506">
        <v>1</v>
      </c>
      <c r="AC506">
        <v>3</v>
      </c>
      <c r="AD506">
        <v>103</v>
      </c>
      <c r="AE506" s="1">
        <v>0</v>
      </c>
      <c r="AF506" s="1">
        <v>0</v>
      </c>
      <c r="AG506">
        <v>80</v>
      </c>
    </row>
    <row r="507" spans="1:33" x14ac:dyDescent="0.3">
      <c r="A507" t="s">
        <v>183</v>
      </c>
      <c r="B507" t="s">
        <v>203</v>
      </c>
      <c r="C507" s="2" t="s">
        <v>33</v>
      </c>
      <c r="D507">
        <v>184</v>
      </c>
      <c r="E507">
        <v>0</v>
      </c>
      <c r="F507">
        <v>7</v>
      </c>
      <c r="G507">
        <v>0</v>
      </c>
      <c r="H507">
        <v>5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5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3</v>
      </c>
      <c r="Z507">
        <v>9</v>
      </c>
      <c r="AA507">
        <v>5</v>
      </c>
      <c r="AB507">
        <v>1</v>
      </c>
      <c r="AC507">
        <v>3</v>
      </c>
      <c r="AD507">
        <v>77</v>
      </c>
      <c r="AE507" s="1">
        <v>0</v>
      </c>
      <c r="AF507" s="1">
        <v>0</v>
      </c>
      <c r="AG507">
        <v>66</v>
      </c>
    </row>
    <row r="508" spans="1:33" x14ac:dyDescent="0.3">
      <c r="A508" t="s">
        <v>183</v>
      </c>
      <c r="B508" t="s">
        <v>203</v>
      </c>
      <c r="C508" s="2" t="s">
        <v>34</v>
      </c>
      <c r="D508">
        <v>62</v>
      </c>
      <c r="E508">
        <v>0</v>
      </c>
      <c r="F508">
        <v>1</v>
      </c>
      <c r="G508">
        <v>0</v>
      </c>
      <c r="H508">
        <v>9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6</v>
      </c>
      <c r="AA508">
        <v>4</v>
      </c>
      <c r="AB508">
        <v>0</v>
      </c>
      <c r="AC508">
        <v>0</v>
      </c>
      <c r="AD508">
        <v>26</v>
      </c>
      <c r="AE508" s="1">
        <v>0</v>
      </c>
      <c r="AF508" s="1">
        <v>0</v>
      </c>
      <c r="AG508">
        <v>14</v>
      </c>
    </row>
    <row r="509" spans="1:33" x14ac:dyDescent="0.3">
      <c r="A509" t="s">
        <v>183</v>
      </c>
      <c r="B509" t="s">
        <v>204</v>
      </c>
      <c r="C509" s="2" t="s">
        <v>30</v>
      </c>
      <c r="D509">
        <v>236</v>
      </c>
      <c r="E509">
        <v>0</v>
      </c>
      <c r="F509">
        <v>10</v>
      </c>
      <c r="G509">
        <v>0</v>
      </c>
      <c r="H509">
        <v>10</v>
      </c>
      <c r="I509">
        <v>0</v>
      </c>
      <c r="J509">
        <v>0</v>
      </c>
      <c r="K509">
        <v>0</v>
      </c>
      <c r="L509">
        <v>3</v>
      </c>
      <c r="M509">
        <v>0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9</v>
      </c>
      <c r="AA509">
        <v>13</v>
      </c>
      <c r="AB509">
        <v>1</v>
      </c>
      <c r="AC509">
        <v>14</v>
      </c>
      <c r="AD509">
        <v>102</v>
      </c>
      <c r="AE509" s="1">
        <v>0</v>
      </c>
      <c r="AF509" s="1">
        <v>0</v>
      </c>
      <c r="AG509">
        <v>67</v>
      </c>
    </row>
    <row r="510" spans="1:33" x14ac:dyDescent="0.3">
      <c r="A510" t="s">
        <v>183</v>
      </c>
      <c r="B510" t="s">
        <v>204</v>
      </c>
      <c r="C510" s="2" t="s">
        <v>33</v>
      </c>
      <c r="D510">
        <v>197</v>
      </c>
      <c r="E510">
        <v>0</v>
      </c>
      <c r="F510">
        <v>8</v>
      </c>
      <c r="G510">
        <v>0</v>
      </c>
      <c r="H510">
        <v>6</v>
      </c>
      <c r="I510">
        <v>0</v>
      </c>
      <c r="J510">
        <v>0</v>
      </c>
      <c r="K510">
        <v>0</v>
      </c>
      <c r="L510">
        <v>3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6</v>
      </c>
      <c r="AA510">
        <v>3</v>
      </c>
      <c r="AB510">
        <v>1</v>
      </c>
      <c r="AC510">
        <v>14</v>
      </c>
      <c r="AD510">
        <v>89</v>
      </c>
      <c r="AE510" s="1">
        <v>0</v>
      </c>
      <c r="AF510" s="1">
        <v>0</v>
      </c>
      <c r="AG510">
        <v>63</v>
      </c>
    </row>
    <row r="511" spans="1:33" x14ac:dyDescent="0.3">
      <c r="A511" t="s">
        <v>183</v>
      </c>
      <c r="B511" t="s">
        <v>204</v>
      </c>
      <c r="C511" s="2" t="s">
        <v>34</v>
      </c>
      <c r="D511">
        <v>39</v>
      </c>
      <c r="E511">
        <v>0</v>
      </c>
      <c r="F511">
        <v>2</v>
      </c>
      <c r="G511">
        <v>0</v>
      </c>
      <c r="H511">
        <v>4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10</v>
      </c>
      <c r="AB511">
        <v>0</v>
      </c>
      <c r="AC511">
        <v>0</v>
      </c>
      <c r="AD511">
        <v>13</v>
      </c>
      <c r="AE511" s="1">
        <v>0</v>
      </c>
      <c r="AF511" s="1">
        <v>0</v>
      </c>
      <c r="AG511">
        <v>4</v>
      </c>
    </row>
    <row r="512" spans="1:33" x14ac:dyDescent="0.3">
      <c r="A512" t="s">
        <v>183</v>
      </c>
      <c r="B512" t="s">
        <v>205</v>
      </c>
      <c r="C512" s="2" t="s">
        <v>30</v>
      </c>
      <c r="D512">
        <v>229</v>
      </c>
      <c r="E512">
        <v>0</v>
      </c>
      <c r="F512">
        <v>25</v>
      </c>
      <c r="G512">
        <v>0</v>
      </c>
      <c r="H512">
        <v>22</v>
      </c>
      <c r="I512">
        <v>0</v>
      </c>
      <c r="J512">
        <v>0</v>
      </c>
      <c r="K512">
        <v>0</v>
      </c>
      <c r="L512">
        <v>1</v>
      </c>
      <c r="M512">
        <v>2</v>
      </c>
      <c r="N512">
        <v>8</v>
      </c>
      <c r="O512">
        <v>0</v>
      </c>
      <c r="P512">
        <v>0</v>
      </c>
      <c r="Q512">
        <v>2</v>
      </c>
      <c r="R512">
        <v>0</v>
      </c>
      <c r="S512">
        <v>0</v>
      </c>
      <c r="T512">
        <v>9</v>
      </c>
      <c r="U512">
        <v>6</v>
      </c>
      <c r="V512">
        <v>0</v>
      </c>
      <c r="W512">
        <v>1</v>
      </c>
      <c r="X512">
        <v>0</v>
      </c>
      <c r="Y512">
        <v>0</v>
      </c>
      <c r="Z512">
        <v>8</v>
      </c>
      <c r="AA512">
        <v>10</v>
      </c>
      <c r="AB512">
        <v>0</v>
      </c>
      <c r="AC512">
        <v>8</v>
      </c>
      <c r="AD512">
        <v>80</v>
      </c>
      <c r="AE512" s="1">
        <v>0</v>
      </c>
      <c r="AF512" s="1">
        <v>0</v>
      </c>
      <c r="AG512">
        <v>47</v>
      </c>
    </row>
    <row r="513" spans="1:33" x14ac:dyDescent="0.3">
      <c r="A513" t="s">
        <v>183</v>
      </c>
      <c r="B513" t="s">
        <v>205</v>
      </c>
      <c r="C513" s="2" t="s">
        <v>33</v>
      </c>
      <c r="D513">
        <v>145</v>
      </c>
      <c r="E513">
        <v>0</v>
      </c>
      <c r="F513">
        <v>19</v>
      </c>
      <c r="G513">
        <v>0</v>
      </c>
      <c r="H513">
        <v>10</v>
      </c>
      <c r="I513">
        <v>0</v>
      </c>
      <c r="J513">
        <v>0</v>
      </c>
      <c r="K513">
        <v>0</v>
      </c>
      <c r="L513">
        <v>1</v>
      </c>
      <c r="M513">
        <v>2</v>
      </c>
      <c r="N513">
        <v>4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6</v>
      </c>
      <c r="U513">
        <v>5</v>
      </c>
      <c r="V513">
        <v>0</v>
      </c>
      <c r="W513">
        <v>0</v>
      </c>
      <c r="X513">
        <v>0</v>
      </c>
      <c r="Y513">
        <v>0</v>
      </c>
      <c r="Z513">
        <v>2</v>
      </c>
      <c r="AA513">
        <v>5</v>
      </c>
      <c r="AB513">
        <v>0</v>
      </c>
      <c r="AC513">
        <v>5</v>
      </c>
      <c r="AD513">
        <v>55</v>
      </c>
      <c r="AE513" s="1">
        <v>0</v>
      </c>
      <c r="AF513" s="1">
        <v>0</v>
      </c>
      <c r="AG513">
        <v>29</v>
      </c>
    </row>
    <row r="514" spans="1:33" x14ac:dyDescent="0.3">
      <c r="A514" t="s">
        <v>183</v>
      </c>
      <c r="B514" t="s">
        <v>205</v>
      </c>
      <c r="C514" s="2" t="s">
        <v>34</v>
      </c>
      <c r="D514">
        <v>84</v>
      </c>
      <c r="E514">
        <v>0</v>
      </c>
      <c r="F514">
        <v>6</v>
      </c>
      <c r="G514">
        <v>0</v>
      </c>
      <c r="H514">
        <v>12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3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6</v>
      </c>
      <c r="AA514">
        <v>5</v>
      </c>
      <c r="AB514">
        <v>0</v>
      </c>
      <c r="AC514">
        <v>3</v>
      </c>
      <c r="AD514">
        <v>25</v>
      </c>
      <c r="AE514" s="1">
        <v>0</v>
      </c>
      <c r="AF514" s="1">
        <v>0</v>
      </c>
      <c r="AG514">
        <v>18</v>
      </c>
    </row>
    <row r="515" spans="1:33" x14ac:dyDescent="0.3">
      <c r="A515" t="s">
        <v>183</v>
      </c>
      <c r="B515" t="s">
        <v>206</v>
      </c>
      <c r="C515" s="2" t="s">
        <v>30</v>
      </c>
      <c r="D515">
        <v>124</v>
      </c>
      <c r="E515">
        <v>0</v>
      </c>
      <c r="F515">
        <v>32</v>
      </c>
      <c r="G515">
        <v>0</v>
      </c>
      <c r="H515">
        <v>3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8</v>
      </c>
      <c r="O515">
        <v>0</v>
      </c>
      <c r="P515">
        <v>0</v>
      </c>
      <c r="Q515">
        <v>3</v>
      </c>
      <c r="R515">
        <v>0</v>
      </c>
      <c r="S515">
        <v>0</v>
      </c>
      <c r="T515">
        <v>2</v>
      </c>
      <c r="U515">
        <v>6</v>
      </c>
      <c r="V515">
        <v>0</v>
      </c>
      <c r="W515">
        <v>1</v>
      </c>
      <c r="X515">
        <v>0</v>
      </c>
      <c r="Y515">
        <v>1</v>
      </c>
      <c r="Z515">
        <v>2</v>
      </c>
      <c r="AA515">
        <v>24</v>
      </c>
      <c r="AB515">
        <v>3</v>
      </c>
      <c r="AC515">
        <v>2</v>
      </c>
      <c r="AD515">
        <v>10</v>
      </c>
      <c r="AE515" s="1">
        <v>0</v>
      </c>
      <c r="AF515" s="1">
        <v>0</v>
      </c>
      <c r="AG515">
        <v>25</v>
      </c>
    </row>
    <row r="516" spans="1:33" x14ac:dyDescent="0.3">
      <c r="A516" t="s">
        <v>183</v>
      </c>
      <c r="B516" t="s">
        <v>206</v>
      </c>
      <c r="C516" s="2" t="s">
        <v>33</v>
      </c>
      <c r="D516">
        <v>66</v>
      </c>
      <c r="E516">
        <v>0</v>
      </c>
      <c r="F516">
        <v>17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6</v>
      </c>
      <c r="O516">
        <v>0</v>
      </c>
      <c r="P516">
        <v>0</v>
      </c>
      <c r="Q516">
        <v>2</v>
      </c>
      <c r="R516">
        <v>0</v>
      </c>
      <c r="S516">
        <v>0</v>
      </c>
      <c r="T516">
        <v>2</v>
      </c>
      <c r="U516">
        <v>5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10</v>
      </c>
      <c r="AB516">
        <v>3</v>
      </c>
      <c r="AC516">
        <v>0</v>
      </c>
      <c r="AD516">
        <v>4</v>
      </c>
      <c r="AE516" s="1">
        <v>0</v>
      </c>
      <c r="AF516" s="1">
        <v>0</v>
      </c>
      <c r="AG516">
        <v>12</v>
      </c>
    </row>
    <row r="517" spans="1:33" x14ac:dyDescent="0.3">
      <c r="A517" t="s">
        <v>183</v>
      </c>
      <c r="B517" t="s">
        <v>206</v>
      </c>
      <c r="C517" s="2" t="s">
        <v>34</v>
      </c>
      <c r="D517">
        <v>58</v>
      </c>
      <c r="E517">
        <v>0</v>
      </c>
      <c r="F517">
        <v>15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2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14</v>
      </c>
      <c r="AB517">
        <v>0</v>
      </c>
      <c r="AC517">
        <v>2</v>
      </c>
      <c r="AD517">
        <v>6</v>
      </c>
      <c r="AE517" s="1">
        <v>0</v>
      </c>
      <c r="AF517" s="1">
        <v>0</v>
      </c>
      <c r="AG517">
        <v>13</v>
      </c>
    </row>
    <row r="518" spans="1:33" x14ac:dyDescent="0.3">
      <c r="A518" t="s">
        <v>183</v>
      </c>
      <c r="B518" t="s">
        <v>207</v>
      </c>
      <c r="C518" s="2" t="s">
        <v>30</v>
      </c>
      <c r="D518">
        <v>115</v>
      </c>
      <c r="E518">
        <v>0</v>
      </c>
      <c r="F518">
        <v>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7</v>
      </c>
      <c r="AB518">
        <v>0</v>
      </c>
      <c r="AC518">
        <v>4</v>
      </c>
      <c r="AD518">
        <v>36</v>
      </c>
      <c r="AE518" s="1">
        <v>0</v>
      </c>
      <c r="AF518" s="1">
        <v>0</v>
      </c>
      <c r="AG518">
        <v>50</v>
      </c>
    </row>
    <row r="519" spans="1:33" x14ac:dyDescent="0.3">
      <c r="A519" t="s">
        <v>183</v>
      </c>
      <c r="B519" t="s">
        <v>207</v>
      </c>
      <c r="C519" s="2" t="s">
        <v>33</v>
      </c>
      <c r="D519">
        <v>104</v>
      </c>
      <c r="E519">
        <v>0</v>
      </c>
      <c r="F519">
        <v>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4</v>
      </c>
      <c r="AB519">
        <v>0</v>
      </c>
      <c r="AC519">
        <v>4</v>
      </c>
      <c r="AD519">
        <v>33</v>
      </c>
      <c r="AE519" s="1">
        <v>0</v>
      </c>
      <c r="AF519" s="1">
        <v>0</v>
      </c>
      <c r="AG519">
        <v>49</v>
      </c>
    </row>
    <row r="520" spans="1:33" x14ac:dyDescent="0.3">
      <c r="A520" t="s">
        <v>183</v>
      </c>
      <c r="B520" t="s">
        <v>207</v>
      </c>
      <c r="C520" s="2" t="s">
        <v>34</v>
      </c>
      <c r="D520">
        <v>11</v>
      </c>
      <c r="E520">
        <v>0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0</v>
      </c>
      <c r="AC520">
        <v>0</v>
      </c>
      <c r="AD520">
        <v>3</v>
      </c>
      <c r="AE520" s="1">
        <v>0</v>
      </c>
      <c r="AF520" s="1">
        <v>0</v>
      </c>
      <c r="AG520">
        <v>1</v>
      </c>
    </row>
    <row r="521" spans="1:33" x14ac:dyDescent="0.3">
      <c r="A521" t="s">
        <v>183</v>
      </c>
      <c r="B521" t="s">
        <v>208</v>
      </c>
      <c r="C521" s="2" t="s">
        <v>30</v>
      </c>
      <c r="D521">
        <v>114</v>
      </c>
      <c r="E521">
        <v>0</v>
      </c>
      <c r="F521">
        <v>30</v>
      </c>
      <c r="G521">
        <v>0</v>
      </c>
      <c r="H521">
        <v>22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6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2</v>
      </c>
      <c r="U521">
        <v>4</v>
      </c>
      <c r="V521">
        <v>0</v>
      </c>
      <c r="W521">
        <v>0</v>
      </c>
      <c r="X521">
        <v>0</v>
      </c>
      <c r="Y521">
        <v>0</v>
      </c>
      <c r="Z521">
        <v>4</v>
      </c>
      <c r="AA521">
        <v>4</v>
      </c>
      <c r="AB521">
        <v>7</v>
      </c>
      <c r="AC521">
        <v>0</v>
      </c>
      <c r="AD521">
        <v>7</v>
      </c>
      <c r="AE521" s="1">
        <v>0</v>
      </c>
      <c r="AF521" s="1">
        <v>0</v>
      </c>
      <c r="AG521">
        <v>26</v>
      </c>
    </row>
    <row r="522" spans="1:33" x14ac:dyDescent="0.3">
      <c r="A522" t="s">
        <v>183</v>
      </c>
      <c r="B522" t="s">
        <v>208</v>
      </c>
      <c r="C522" s="2" t="s">
        <v>33</v>
      </c>
      <c r="D522">
        <v>60</v>
      </c>
      <c r="E522">
        <v>0</v>
      </c>
      <c r="F522">
        <v>13</v>
      </c>
      <c r="G522">
        <v>0</v>
      </c>
      <c r="H522">
        <v>10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2</v>
      </c>
      <c r="R522">
        <v>0</v>
      </c>
      <c r="S522">
        <v>0</v>
      </c>
      <c r="T522">
        <v>1</v>
      </c>
      <c r="U522">
        <v>4</v>
      </c>
      <c r="V522">
        <v>0</v>
      </c>
      <c r="W522">
        <v>0</v>
      </c>
      <c r="X522">
        <v>0</v>
      </c>
      <c r="Y522">
        <v>0</v>
      </c>
      <c r="Z522">
        <v>4</v>
      </c>
      <c r="AA522">
        <v>2</v>
      </c>
      <c r="AB522">
        <v>3</v>
      </c>
      <c r="AC522">
        <v>0</v>
      </c>
      <c r="AD522">
        <v>3</v>
      </c>
      <c r="AE522" s="1">
        <v>0</v>
      </c>
      <c r="AF522" s="1">
        <v>0</v>
      </c>
      <c r="AG522">
        <v>16</v>
      </c>
    </row>
    <row r="523" spans="1:33" x14ac:dyDescent="0.3">
      <c r="A523" t="s">
        <v>183</v>
      </c>
      <c r="B523" t="s">
        <v>208</v>
      </c>
      <c r="C523" s="2" t="s">
        <v>34</v>
      </c>
      <c r="D523">
        <v>54</v>
      </c>
      <c r="E523">
        <v>0</v>
      </c>
      <c r="F523">
        <v>17</v>
      </c>
      <c r="G523">
        <v>0</v>
      </c>
      <c r="H523">
        <v>12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4</v>
      </c>
      <c r="AC523">
        <v>0</v>
      </c>
      <c r="AD523">
        <v>4</v>
      </c>
      <c r="AE523" s="1">
        <v>0</v>
      </c>
      <c r="AF523" s="1">
        <v>0</v>
      </c>
      <c r="AG523">
        <v>10</v>
      </c>
    </row>
    <row r="524" spans="1:33" x14ac:dyDescent="0.3">
      <c r="A524" t="s">
        <v>183</v>
      </c>
      <c r="B524" t="s">
        <v>209</v>
      </c>
      <c r="C524" s="2" t="s">
        <v>30</v>
      </c>
      <c r="D524">
        <v>113</v>
      </c>
      <c r="E524">
        <v>0</v>
      </c>
      <c r="F524">
        <v>15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3</v>
      </c>
      <c r="V524">
        <v>0</v>
      </c>
      <c r="W524">
        <v>0</v>
      </c>
      <c r="X524">
        <v>0</v>
      </c>
      <c r="Y524">
        <v>8</v>
      </c>
      <c r="Z524">
        <v>3</v>
      </c>
      <c r="AA524">
        <v>2</v>
      </c>
      <c r="AB524">
        <v>0</v>
      </c>
      <c r="AC524">
        <v>1</v>
      </c>
      <c r="AD524">
        <v>38</v>
      </c>
      <c r="AE524" s="1">
        <v>0</v>
      </c>
      <c r="AF524" s="1">
        <v>0</v>
      </c>
      <c r="AG524">
        <v>41</v>
      </c>
    </row>
    <row r="525" spans="1:33" x14ac:dyDescent="0.3">
      <c r="A525" t="s">
        <v>183</v>
      </c>
      <c r="B525" t="s">
        <v>209</v>
      </c>
      <c r="C525" s="2" t="s">
        <v>33</v>
      </c>
      <c r="D525">
        <v>74</v>
      </c>
      <c r="E525">
        <v>0</v>
      </c>
      <c r="F525">
        <v>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5</v>
      </c>
      <c r="Z525">
        <v>1</v>
      </c>
      <c r="AA525">
        <v>1</v>
      </c>
      <c r="AB525">
        <v>0</v>
      </c>
      <c r="AC525">
        <v>1</v>
      </c>
      <c r="AD525">
        <v>30</v>
      </c>
      <c r="AE525" s="1">
        <v>0</v>
      </c>
      <c r="AF525" s="1">
        <v>0</v>
      </c>
      <c r="AG525">
        <v>24</v>
      </c>
    </row>
    <row r="526" spans="1:33" x14ac:dyDescent="0.3">
      <c r="A526" t="s">
        <v>183</v>
      </c>
      <c r="B526" t="s">
        <v>209</v>
      </c>
      <c r="C526" s="2" t="s">
        <v>34</v>
      </c>
      <c r="D526">
        <v>39</v>
      </c>
      <c r="E526">
        <v>0</v>
      </c>
      <c r="F526">
        <v>5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0</v>
      </c>
      <c r="X526">
        <v>0</v>
      </c>
      <c r="Y526">
        <v>3</v>
      </c>
      <c r="Z526">
        <v>2</v>
      </c>
      <c r="AA526">
        <v>1</v>
      </c>
      <c r="AB526">
        <v>0</v>
      </c>
      <c r="AC526">
        <v>0</v>
      </c>
      <c r="AD526">
        <v>8</v>
      </c>
      <c r="AE526" s="1">
        <v>0</v>
      </c>
      <c r="AF526" s="1">
        <v>0</v>
      </c>
      <c r="AG526">
        <v>17</v>
      </c>
    </row>
    <row r="527" spans="1:33" x14ac:dyDescent="0.3">
      <c r="A527" t="s">
        <v>183</v>
      </c>
      <c r="B527" t="s">
        <v>210</v>
      </c>
      <c r="C527" s="2" t="s">
        <v>30</v>
      </c>
      <c r="D527">
        <v>101</v>
      </c>
      <c r="E527">
        <v>0</v>
      </c>
      <c r="F527">
        <v>11</v>
      </c>
      <c r="G527">
        <v>0</v>
      </c>
      <c r="H527">
        <v>10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</v>
      </c>
      <c r="V527">
        <v>0</v>
      </c>
      <c r="W527">
        <v>0</v>
      </c>
      <c r="X527">
        <v>0</v>
      </c>
      <c r="Y527">
        <v>1</v>
      </c>
      <c r="Z527">
        <v>8</v>
      </c>
      <c r="AA527">
        <v>2</v>
      </c>
      <c r="AB527">
        <v>1</v>
      </c>
      <c r="AC527">
        <v>2</v>
      </c>
      <c r="AD527">
        <v>17</v>
      </c>
      <c r="AE527" s="1">
        <v>0</v>
      </c>
      <c r="AF527" s="1">
        <v>0</v>
      </c>
      <c r="AG527">
        <v>41</v>
      </c>
    </row>
    <row r="528" spans="1:33" x14ac:dyDescent="0.3">
      <c r="A528" t="s">
        <v>183</v>
      </c>
      <c r="B528" t="s">
        <v>210</v>
      </c>
      <c r="C528" s="2" t="s">
        <v>33</v>
      </c>
      <c r="D528">
        <v>64</v>
      </c>
      <c r="E528">
        <v>0</v>
      </c>
      <c r="F528">
        <v>5</v>
      </c>
      <c r="G528">
        <v>0</v>
      </c>
      <c r="H528">
        <v>5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3</v>
      </c>
      <c r="V528">
        <v>0</v>
      </c>
      <c r="W528">
        <v>0</v>
      </c>
      <c r="X528">
        <v>0</v>
      </c>
      <c r="Y528">
        <v>1</v>
      </c>
      <c r="Z528">
        <v>5</v>
      </c>
      <c r="AA528">
        <v>2</v>
      </c>
      <c r="AB528">
        <v>1</v>
      </c>
      <c r="AC528">
        <v>1</v>
      </c>
      <c r="AD528">
        <v>12</v>
      </c>
      <c r="AE528" s="1">
        <v>0</v>
      </c>
      <c r="AF528" s="1">
        <v>0</v>
      </c>
      <c r="AG528">
        <v>26</v>
      </c>
    </row>
    <row r="529" spans="1:33" x14ac:dyDescent="0.3">
      <c r="A529" t="s">
        <v>183</v>
      </c>
      <c r="B529" t="s">
        <v>210</v>
      </c>
      <c r="C529" s="2" t="s">
        <v>34</v>
      </c>
      <c r="D529">
        <v>37</v>
      </c>
      <c r="E529">
        <v>0</v>
      </c>
      <c r="F529">
        <v>6</v>
      </c>
      <c r="G529">
        <v>0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3</v>
      </c>
      <c r="AA529">
        <v>0</v>
      </c>
      <c r="AB529">
        <v>0</v>
      </c>
      <c r="AC529">
        <v>1</v>
      </c>
      <c r="AD529">
        <v>5</v>
      </c>
      <c r="AE529" s="1">
        <v>0</v>
      </c>
      <c r="AF529" s="1">
        <v>0</v>
      </c>
      <c r="AG529">
        <v>15</v>
      </c>
    </row>
    <row r="530" spans="1:33" x14ac:dyDescent="0.3">
      <c r="A530" t="s">
        <v>183</v>
      </c>
      <c r="B530" t="s">
        <v>211</v>
      </c>
      <c r="C530" s="2" t="s">
        <v>30</v>
      </c>
      <c r="D530">
        <v>93</v>
      </c>
      <c r="E530">
        <v>0</v>
      </c>
      <c r="F530">
        <v>20</v>
      </c>
      <c r="G530">
        <v>0</v>
      </c>
      <c r="H530">
        <v>10</v>
      </c>
      <c r="I530">
        <v>0</v>
      </c>
      <c r="J530">
        <v>3</v>
      </c>
      <c r="K530">
        <v>0</v>
      </c>
      <c r="L530">
        <v>0</v>
      </c>
      <c r="M530">
        <v>0</v>
      </c>
      <c r="N530">
        <v>4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5</v>
      </c>
      <c r="V530">
        <v>0</v>
      </c>
      <c r="W530">
        <v>0</v>
      </c>
      <c r="X530">
        <v>0</v>
      </c>
      <c r="Y530">
        <v>6</v>
      </c>
      <c r="Z530">
        <v>3</v>
      </c>
      <c r="AA530">
        <v>2</v>
      </c>
      <c r="AB530">
        <v>3</v>
      </c>
      <c r="AC530">
        <v>2</v>
      </c>
      <c r="AD530">
        <v>0</v>
      </c>
      <c r="AE530" s="1">
        <v>0</v>
      </c>
      <c r="AF530" s="1">
        <v>0</v>
      </c>
      <c r="AG530">
        <v>33</v>
      </c>
    </row>
    <row r="531" spans="1:33" x14ac:dyDescent="0.3">
      <c r="A531" t="s">
        <v>183</v>
      </c>
      <c r="B531" t="s">
        <v>211</v>
      </c>
      <c r="C531" s="2" t="s">
        <v>33</v>
      </c>
      <c r="D531">
        <v>46</v>
      </c>
      <c r="E531">
        <v>0</v>
      </c>
      <c r="F531">
        <v>10</v>
      </c>
      <c r="G531">
        <v>0</v>
      </c>
      <c r="H531">
        <v>7</v>
      </c>
      <c r="I531">
        <v>0</v>
      </c>
      <c r="J531">
        <v>2</v>
      </c>
      <c r="K531">
        <v>0</v>
      </c>
      <c r="L531">
        <v>0</v>
      </c>
      <c r="M531">
        <v>0</v>
      </c>
      <c r="N531">
        <v>2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</v>
      </c>
      <c r="V531">
        <v>0</v>
      </c>
      <c r="W531">
        <v>0</v>
      </c>
      <c r="X531">
        <v>0</v>
      </c>
      <c r="Y531">
        <v>1</v>
      </c>
      <c r="Z531">
        <v>3</v>
      </c>
      <c r="AA531">
        <v>1</v>
      </c>
      <c r="AB531">
        <v>1</v>
      </c>
      <c r="AC531">
        <v>0</v>
      </c>
      <c r="AD531">
        <v>0</v>
      </c>
      <c r="AE531" s="1">
        <v>0</v>
      </c>
      <c r="AF531" s="1">
        <v>0</v>
      </c>
      <c r="AG531">
        <v>15</v>
      </c>
    </row>
    <row r="532" spans="1:33" x14ac:dyDescent="0.3">
      <c r="A532" t="s">
        <v>183</v>
      </c>
      <c r="B532" t="s">
        <v>211</v>
      </c>
      <c r="C532" s="2" t="s">
        <v>34</v>
      </c>
      <c r="D532">
        <v>47</v>
      </c>
      <c r="E532">
        <v>0</v>
      </c>
      <c r="F532">
        <v>10</v>
      </c>
      <c r="G532">
        <v>0</v>
      </c>
      <c r="H532">
        <v>3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5</v>
      </c>
      <c r="Z532">
        <v>0</v>
      </c>
      <c r="AA532">
        <v>1</v>
      </c>
      <c r="AB532">
        <v>2</v>
      </c>
      <c r="AC532">
        <v>2</v>
      </c>
      <c r="AD532">
        <v>0</v>
      </c>
      <c r="AE532" s="1">
        <v>0</v>
      </c>
      <c r="AF532" s="1">
        <v>0</v>
      </c>
      <c r="AG532">
        <v>18</v>
      </c>
    </row>
    <row r="533" spans="1:33" x14ac:dyDescent="0.3">
      <c r="A533" t="s">
        <v>183</v>
      </c>
      <c r="B533" t="s">
        <v>212</v>
      </c>
      <c r="C533" s="2" t="s">
        <v>30</v>
      </c>
      <c r="D533">
        <v>69</v>
      </c>
      <c r="E533">
        <v>0</v>
      </c>
      <c r="F533">
        <v>44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2</v>
      </c>
      <c r="AE533" s="1">
        <v>0</v>
      </c>
      <c r="AF533" s="1">
        <v>0</v>
      </c>
      <c r="AG533">
        <v>12</v>
      </c>
    </row>
    <row r="534" spans="1:33" x14ac:dyDescent="0.3">
      <c r="A534" t="s">
        <v>183</v>
      </c>
      <c r="B534" t="s">
        <v>212</v>
      </c>
      <c r="C534" s="2" t="s">
        <v>33</v>
      </c>
      <c r="D534">
        <v>40</v>
      </c>
      <c r="E534">
        <v>0</v>
      </c>
      <c r="F534">
        <v>25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2</v>
      </c>
      <c r="AE534" s="1">
        <v>0</v>
      </c>
      <c r="AF534" s="1">
        <v>0</v>
      </c>
      <c r="AG534">
        <v>4</v>
      </c>
    </row>
    <row r="535" spans="1:33" x14ac:dyDescent="0.3">
      <c r="A535" t="s">
        <v>183</v>
      </c>
      <c r="B535" t="s">
        <v>212</v>
      </c>
      <c r="C535" s="2" t="s">
        <v>34</v>
      </c>
      <c r="D535">
        <v>29</v>
      </c>
      <c r="E535">
        <v>0</v>
      </c>
      <c r="F535">
        <v>19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s="1">
        <v>0</v>
      </c>
      <c r="AF535" s="1">
        <v>0</v>
      </c>
      <c r="AG535">
        <v>8</v>
      </c>
    </row>
    <row r="536" spans="1:33" x14ac:dyDescent="0.3">
      <c r="A536" t="s">
        <v>183</v>
      </c>
      <c r="B536" t="s">
        <v>213</v>
      </c>
      <c r="C536" s="2" t="s">
        <v>30</v>
      </c>
      <c r="D536">
        <v>66</v>
      </c>
      <c r="E536">
        <v>0</v>
      </c>
      <c r="F536">
        <v>8</v>
      </c>
      <c r="G536">
        <v>0</v>
      </c>
      <c r="H536">
        <v>10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2</v>
      </c>
      <c r="AA536">
        <v>5</v>
      </c>
      <c r="AB536">
        <v>1</v>
      </c>
      <c r="AC536">
        <v>5</v>
      </c>
      <c r="AD536">
        <v>18</v>
      </c>
      <c r="AE536" s="1">
        <v>0</v>
      </c>
      <c r="AF536" s="1">
        <v>0</v>
      </c>
      <c r="AG536">
        <v>12</v>
      </c>
    </row>
    <row r="537" spans="1:33" x14ac:dyDescent="0.3">
      <c r="A537" t="s">
        <v>183</v>
      </c>
      <c r="B537" t="s">
        <v>213</v>
      </c>
      <c r="C537" s="2" t="s">
        <v>33</v>
      </c>
      <c r="D537">
        <v>50</v>
      </c>
      <c r="E537">
        <v>0</v>
      </c>
      <c r="F537">
        <v>7</v>
      </c>
      <c r="G537">
        <v>0</v>
      </c>
      <c r="H537">
        <v>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</v>
      </c>
      <c r="AC537">
        <v>5</v>
      </c>
      <c r="AD537">
        <v>13</v>
      </c>
      <c r="AE537" s="1">
        <v>0</v>
      </c>
      <c r="AF537" s="1">
        <v>0</v>
      </c>
      <c r="AG537">
        <v>11</v>
      </c>
    </row>
    <row r="538" spans="1:33" x14ac:dyDescent="0.3">
      <c r="A538" t="s">
        <v>183</v>
      </c>
      <c r="B538" t="s">
        <v>213</v>
      </c>
      <c r="C538" s="2" t="s">
        <v>34</v>
      </c>
      <c r="D538">
        <v>16</v>
      </c>
      <c r="E538">
        <v>0</v>
      </c>
      <c r="F538">
        <v>1</v>
      </c>
      <c r="G538">
        <v>0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2</v>
      </c>
      <c r="AB538">
        <v>0</v>
      </c>
      <c r="AC538">
        <v>0</v>
      </c>
      <c r="AD538">
        <v>5</v>
      </c>
      <c r="AE538" s="1">
        <v>0</v>
      </c>
      <c r="AF538" s="1">
        <v>0</v>
      </c>
      <c r="AG538">
        <v>1</v>
      </c>
    </row>
    <row r="539" spans="1:33" x14ac:dyDescent="0.3">
      <c r="A539" t="s">
        <v>183</v>
      </c>
      <c r="B539" t="s">
        <v>214</v>
      </c>
      <c r="C539" s="2" t="s">
        <v>30</v>
      </c>
      <c r="D539">
        <v>61</v>
      </c>
      <c r="E539">
        <v>0</v>
      </c>
      <c r="F539">
        <v>25</v>
      </c>
      <c r="G539">
        <v>0</v>
      </c>
      <c r="H539">
        <v>14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7</v>
      </c>
      <c r="AB539">
        <v>0</v>
      </c>
      <c r="AC539">
        <v>7</v>
      </c>
      <c r="AD539">
        <v>0</v>
      </c>
      <c r="AE539" s="1">
        <v>0</v>
      </c>
      <c r="AF539" s="1">
        <v>0</v>
      </c>
      <c r="AG539">
        <v>0</v>
      </c>
    </row>
    <row r="540" spans="1:33" x14ac:dyDescent="0.3">
      <c r="A540" t="s">
        <v>183</v>
      </c>
      <c r="B540" t="s">
        <v>214</v>
      </c>
      <c r="C540" s="2" t="s">
        <v>33</v>
      </c>
      <c r="D540">
        <v>21</v>
      </c>
      <c r="E540">
        <v>0</v>
      </c>
      <c r="F540">
        <v>8</v>
      </c>
      <c r="G540">
        <v>0</v>
      </c>
      <c r="H540">
        <v>6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2</v>
      </c>
      <c r="AB540">
        <v>0</v>
      </c>
      <c r="AC540">
        <v>0</v>
      </c>
      <c r="AD540">
        <v>0</v>
      </c>
      <c r="AE540" s="1">
        <v>0</v>
      </c>
      <c r="AF540" s="1">
        <v>0</v>
      </c>
      <c r="AG540">
        <v>0</v>
      </c>
    </row>
    <row r="541" spans="1:33" x14ac:dyDescent="0.3">
      <c r="A541" t="s">
        <v>183</v>
      </c>
      <c r="B541" t="s">
        <v>214</v>
      </c>
      <c r="C541" s="2" t="s">
        <v>34</v>
      </c>
      <c r="D541">
        <v>40</v>
      </c>
      <c r="E541">
        <v>0</v>
      </c>
      <c r="F541">
        <v>17</v>
      </c>
      <c r="G541">
        <v>0</v>
      </c>
      <c r="H541">
        <v>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5</v>
      </c>
      <c r="AB541">
        <v>0</v>
      </c>
      <c r="AC541">
        <v>7</v>
      </c>
      <c r="AD541">
        <v>0</v>
      </c>
      <c r="AE541" s="1">
        <v>0</v>
      </c>
      <c r="AF541" s="1">
        <v>0</v>
      </c>
      <c r="AG541">
        <v>0</v>
      </c>
    </row>
    <row r="542" spans="1:33" x14ac:dyDescent="0.3">
      <c r="A542" t="s">
        <v>183</v>
      </c>
      <c r="B542" t="s">
        <v>215</v>
      </c>
      <c r="C542" s="2" t="s">
        <v>30</v>
      </c>
      <c r="D542">
        <v>54</v>
      </c>
      <c r="E542">
        <v>1</v>
      </c>
      <c r="F542">
        <v>16</v>
      </c>
      <c r="G542">
        <v>0</v>
      </c>
      <c r="H542">
        <v>1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2</v>
      </c>
      <c r="Z542">
        <v>0</v>
      </c>
      <c r="AA542">
        <v>2</v>
      </c>
      <c r="AB542">
        <v>0</v>
      </c>
      <c r="AC542">
        <v>6</v>
      </c>
      <c r="AD542">
        <v>17</v>
      </c>
      <c r="AE542" s="1">
        <v>0</v>
      </c>
      <c r="AF542" s="1">
        <v>0</v>
      </c>
      <c r="AG542">
        <v>2</v>
      </c>
    </row>
    <row r="543" spans="1:33" x14ac:dyDescent="0.3">
      <c r="A543" t="s">
        <v>183</v>
      </c>
      <c r="B543" t="s">
        <v>215</v>
      </c>
      <c r="C543" s="2" t="s">
        <v>33</v>
      </c>
      <c r="D543">
        <v>36</v>
      </c>
      <c r="E543">
        <v>1</v>
      </c>
      <c r="F543">
        <v>9</v>
      </c>
      <c r="G543">
        <v>0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5</v>
      </c>
      <c r="AD543">
        <v>15</v>
      </c>
      <c r="AE543" s="1">
        <v>0</v>
      </c>
      <c r="AF543" s="1">
        <v>0</v>
      </c>
      <c r="AG543">
        <v>2</v>
      </c>
    </row>
    <row r="544" spans="1:33" x14ac:dyDescent="0.3">
      <c r="A544" t="s">
        <v>183</v>
      </c>
      <c r="B544" t="s">
        <v>215</v>
      </c>
      <c r="C544" s="2" t="s">
        <v>34</v>
      </c>
      <c r="D544">
        <v>18</v>
      </c>
      <c r="E544">
        <v>0</v>
      </c>
      <c r="F544">
        <v>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2</v>
      </c>
      <c r="AB544">
        <v>0</v>
      </c>
      <c r="AC544">
        <v>1</v>
      </c>
      <c r="AD544">
        <v>2</v>
      </c>
      <c r="AE544" s="1">
        <v>0</v>
      </c>
      <c r="AF544" s="1">
        <v>0</v>
      </c>
      <c r="AG544">
        <v>0</v>
      </c>
    </row>
    <row r="545" spans="1:33" x14ac:dyDescent="0.3">
      <c r="A545" t="s">
        <v>183</v>
      </c>
      <c r="B545" t="s">
        <v>216</v>
      </c>
      <c r="C545" s="2" t="s">
        <v>30</v>
      </c>
      <c r="D545">
        <v>46</v>
      </c>
      <c r="E545">
        <v>0</v>
      </c>
      <c r="F545">
        <v>5</v>
      </c>
      <c r="G545">
        <v>0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3</v>
      </c>
      <c r="AC545">
        <v>1</v>
      </c>
      <c r="AD545">
        <v>15</v>
      </c>
      <c r="AE545" s="1">
        <v>0</v>
      </c>
      <c r="AF545" s="1">
        <v>0</v>
      </c>
      <c r="AG545">
        <v>13</v>
      </c>
    </row>
    <row r="546" spans="1:33" x14ac:dyDescent="0.3">
      <c r="A546" t="s">
        <v>183</v>
      </c>
      <c r="B546" t="s">
        <v>216</v>
      </c>
      <c r="C546" s="2" t="s">
        <v>33</v>
      </c>
      <c r="D546">
        <v>36</v>
      </c>
      <c r="E546">
        <v>0</v>
      </c>
      <c r="F546">
        <v>3</v>
      </c>
      <c r="G546">
        <v>0</v>
      </c>
      <c r="H546">
        <v>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1</v>
      </c>
      <c r="AB546">
        <v>3</v>
      </c>
      <c r="AC546">
        <v>1</v>
      </c>
      <c r="AD546">
        <v>14</v>
      </c>
      <c r="AE546" s="1">
        <v>0</v>
      </c>
      <c r="AF546" s="1">
        <v>0</v>
      </c>
      <c r="AG546">
        <v>8</v>
      </c>
    </row>
    <row r="547" spans="1:33" x14ac:dyDescent="0.3">
      <c r="A547" t="s">
        <v>183</v>
      </c>
      <c r="B547" t="s">
        <v>216</v>
      </c>
      <c r="C547" s="2" t="s">
        <v>34</v>
      </c>
      <c r="D547">
        <v>10</v>
      </c>
      <c r="E547">
        <v>0</v>
      </c>
      <c r="F547">
        <v>2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 s="1">
        <v>0</v>
      </c>
      <c r="AF547" s="1">
        <v>0</v>
      </c>
      <c r="AG547">
        <v>5</v>
      </c>
    </row>
    <row r="548" spans="1:33" x14ac:dyDescent="0.3">
      <c r="A548" t="s">
        <v>183</v>
      </c>
      <c r="B548" t="s">
        <v>217</v>
      </c>
      <c r="C548" s="2" t="s">
        <v>30</v>
      </c>
      <c r="D548">
        <v>40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1</v>
      </c>
      <c r="AC548">
        <v>1</v>
      </c>
      <c r="AD548">
        <v>30</v>
      </c>
      <c r="AE548" s="1">
        <v>0</v>
      </c>
      <c r="AF548" s="1">
        <v>0</v>
      </c>
      <c r="AG548">
        <v>4</v>
      </c>
    </row>
    <row r="549" spans="1:33" x14ac:dyDescent="0.3">
      <c r="A549" t="s">
        <v>183</v>
      </c>
      <c r="B549" t="s">
        <v>217</v>
      </c>
      <c r="C549" s="2" t="s">
        <v>33</v>
      </c>
      <c r="D549">
        <v>34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0</v>
      </c>
      <c r="AD549">
        <v>26</v>
      </c>
      <c r="AE549" s="1">
        <v>0</v>
      </c>
      <c r="AF549" s="1">
        <v>0</v>
      </c>
      <c r="AG549">
        <v>4</v>
      </c>
    </row>
    <row r="550" spans="1:33" x14ac:dyDescent="0.3">
      <c r="A550" t="s">
        <v>183</v>
      </c>
      <c r="B550" t="s">
        <v>217</v>
      </c>
      <c r="C550" s="2" t="s">
        <v>34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4</v>
      </c>
      <c r="AE550" s="1">
        <v>0</v>
      </c>
      <c r="AF550" s="1">
        <v>0</v>
      </c>
      <c r="AG550">
        <v>0</v>
      </c>
    </row>
    <row r="551" spans="1:33" x14ac:dyDescent="0.3">
      <c r="A551" t="s">
        <v>183</v>
      </c>
      <c r="B551" t="s">
        <v>218</v>
      </c>
      <c r="C551" s="2" t="s">
        <v>30</v>
      </c>
      <c r="D551">
        <v>36</v>
      </c>
      <c r="E551">
        <v>0</v>
      </c>
      <c r="F551">
        <v>23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4</v>
      </c>
      <c r="AE551" s="1">
        <v>0</v>
      </c>
      <c r="AF551" s="1">
        <v>0</v>
      </c>
      <c r="AG551">
        <v>2</v>
      </c>
    </row>
    <row r="552" spans="1:33" x14ac:dyDescent="0.3">
      <c r="A552" t="s">
        <v>183</v>
      </c>
      <c r="B552" t="s">
        <v>218</v>
      </c>
      <c r="C552" s="2" t="s">
        <v>33</v>
      </c>
      <c r="D552">
        <v>26</v>
      </c>
      <c r="E552">
        <v>0</v>
      </c>
      <c r="F552">
        <v>15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4</v>
      </c>
      <c r="AE552" s="1">
        <v>0</v>
      </c>
      <c r="AF552" s="1">
        <v>0</v>
      </c>
      <c r="AG552">
        <v>2</v>
      </c>
    </row>
    <row r="553" spans="1:33" x14ac:dyDescent="0.3">
      <c r="A553" t="s">
        <v>183</v>
      </c>
      <c r="B553" t="s">
        <v>218</v>
      </c>
      <c r="C553" s="2" t="s">
        <v>34</v>
      </c>
      <c r="D553">
        <v>10</v>
      </c>
      <c r="E553">
        <v>0</v>
      </c>
      <c r="F553">
        <v>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s="1">
        <v>0</v>
      </c>
      <c r="AF553" s="1">
        <v>0</v>
      </c>
      <c r="AG553">
        <v>0</v>
      </c>
    </row>
    <row r="554" spans="1:33" x14ac:dyDescent="0.3">
      <c r="A554" t="s">
        <v>183</v>
      </c>
      <c r="B554" t="s">
        <v>219</v>
      </c>
      <c r="C554" s="2" t="s">
        <v>30</v>
      </c>
      <c r="D554">
        <v>23</v>
      </c>
      <c r="E554">
        <v>0</v>
      </c>
      <c r="F554">
        <v>9</v>
      </c>
      <c r="G554">
        <v>0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1</v>
      </c>
      <c r="AD554">
        <v>6</v>
      </c>
      <c r="AE554" s="1">
        <v>0</v>
      </c>
      <c r="AF554" s="1">
        <v>0</v>
      </c>
      <c r="AG554">
        <v>1</v>
      </c>
    </row>
    <row r="555" spans="1:33" x14ac:dyDescent="0.3">
      <c r="A555" t="s">
        <v>183</v>
      </c>
      <c r="B555" t="s">
        <v>219</v>
      </c>
      <c r="C555" s="2" t="s">
        <v>33</v>
      </c>
      <c r="D555">
        <v>3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 s="1">
        <v>0</v>
      </c>
      <c r="AF555" s="1">
        <v>0</v>
      </c>
      <c r="AG555">
        <v>0</v>
      </c>
    </row>
    <row r="556" spans="1:33" x14ac:dyDescent="0.3">
      <c r="A556" t="s">
        <v>183</v>
      </c>
      <c r="B556" t="s">
        <v>219</v>
      </c>
      <c r="C556" s="2" t="s">
        <v>34</v>
      </c>
      <c r="D556">
        <v>20</v>
      </c>
      <c r="E556">
        <v>0</v>
      </c>
      <c r="F556">
        <v>8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6</v>
      </c>
      <c r="AE556" s="1">
        <v>0</v>
      </c>
      <c r="AF556" s="1">
        <v>0</v>
      </c>
      <c r="AG556">
        <v>1</v>
      </c>
    </row>
    <row r="557" spans="1:33" x14ac:dyDescent="0.3">
      <c r="A557" t="s">
        <v>183</v>
      </c>
      <c r="B557" t="s">
        <v>220</v>
      </c>
      <c r="C557" s="2" t="s">
        <v>30</v>
      </c>
      <c r="D557">
        <v>23</v>
      </c>
      <c r="E557">
        <v>0</v>
      </c>
      <c r="F557">
        <v>5</v>
      </c>
      <c r="G557">
        <v>0</v>
      </c>
      <c r="H557">
        <v>4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4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2</v>
      </c>
      <c r="AD557">
        <v>1</v>
      </c>
      <c r="AE557" s="1">
        <v>0</v>
      </c>
      <c r="AF557" s="1">
        <v>0</v>
      </c>
      <c r="AG557">
        <v>2</v>
      </c>
    </row>
    <row r="558" spans="1:33" x14ac:dyDescent="0.3">
      <c r="A558" t="s">
        <v>183</v>
      </c>
      <c r="B558" t="s">
        <v>220</v>
      </c>
      <c r="C558" s="2" t="s">
        <v>33</v>
      </c>
      <c r="D558">
        <v>17</v>
      </c>
      <c r="E558">
        <v>0</v>
      </c>
      <c r="F558">
        <v>2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4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2</v>
      </c>
      <c r="AD558">
        <v>1</v>
      </c>
      <c r="AE558" s="1">
        <v>0</v>
      </c>
      <c r="AF558" s="1">
        <v>0</v>
      </c>
      <c r="AG558">
        <v>1</v>
      </c>
    </row>
    <row r="559" spans="1:33" x14ac:dyDescent="0.3">
      <c r="A559" t="s">
        <v>183</v>
      </c>
      <c r="B559" t="s">
        <v>220</v>
      </c>
      <c r="C559" s="2" t="s">
        <v>34</v>
      </c>
      <c r="D559">
        <v>6</v>
      </c>
      <c r="E559">
        <v>0</v>
      </c>
      <c r="F559">
        <v>3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s="1">
        <v>0</v>
      </c>
      <c r="AF559" s="1">
        <v>0</v>
      </c>
      <c r="AG559">
        <v>1</v>
      </c>
    </row>
    <row r="560" spans="1:33" x14ac:dyDescent="0.3">
      <c r="A560" t="s">
        <v>183</v>
      </c>
      <c r="B560" t="s">
        <v>221</v>
      </c>
      <c r="C560" s="2" t="s">
        <v>30</v>
      </c>
      <c r="D560">
        <v>22</v>
      </c>
      <c r="E560">
        <v>0</v>
      </c>
      <c r="F560">
        <v>7</v>
      </c>
      <c r="G560">
        <v>0</v>
      </c>
      <c r="H560">
        <v>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3</v>
      </c>
      <c r="AA560">
        <v>0</v>
      </c>
      <c r="AB560">
        <v>0</v>
      </c>
      <c r="AC560">
        <v>0</v>
      </c>
      <c r="AD560">
        <v>6</v>
      </c>
      <c r="AE560" s="1">
        <v>0</v>
      </c>
      <c r="AF560" s="1">
        <v>0</v>
      </c>
      <c r="AG560">
        <v>0</v>
      </c>
    </row>
    <row r="561" spans="1:33" x14ac:dyDescent="0.3">
      <c r="A561" t="s">
        <v>183</v>
      </c>
      <c r="B561" t="s">
        <v>221</v>
      </c>
      <c r="C561" s="2" t="s">
        <v>33</v>
      </c>
      <c r="D561">
        <v>20</v>
      </c>
      <c r="E561">
        <v>0</v>
      </c>
      <c r="F561">
        <v>6</v>
      </c>
      <c r="G561">
        <v>0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5</v>
      </c>
      <c r="AE561" s="1">
        <v>0</v>
      </c>
      <c r="AF561" s="1">
        <v>0</v>
      </c>
      <c r="AG561">
        <v>0</v>
      </c>
    </row>
    <row r="562" spans="1:33" x14ac:dyDescent="0.3">
      <c r="A562" t="s">
        <v>183</v>
      </c>
      <c r="B562" t="s">
        <v>221</v>
      </c>
      <c r="C562" s="2" t="s">
        <v>34</v>
      </c>
      <c r="D562">
        <v>2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 s="1">
        <v>0</v>
      </c>
      <c r="AF562" s="1">
        <v>0</v>
      </c>
      <c r="AG562">
        <v>0</v>
      </c>
    </row>
    <row r="563" spans="1:33" x14ac:dyDescent="0.3">
      <c r="A563" t="s">
        <v>183</v>
      </c>
      <c r="B563" t="s">
        <v>222</v>
      </c>
      <c r="C563" s="2" t="s">
        <v>30</v>
      </c>
      <c r="D563">
        <v>22</v>
      </c>
      <c r="E563">
        <v>0</v>
      </c>
      <c r="F563">
        <v>1</v>
      </c>
      <c r="G563">
        <v>0</v>
      </c>
      <c r="H563">
        <v>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8</v>
      </c>
      <c r="AA563">
        <v>2</v>
      </c>
      <c r="AB563">
        <v>1</v>
      </c>
      <c r="AC563">
        <v>0</v>
      </c>
      <c r="AD563">
        <v>1</v>
      </c>
      <c r="AE563" s="1">
        <v>0</v>
      </c>
      <c r="AF563" s="1">
        <v>0</v>
      </c>
      <c r="AG563">
        <v>7</v>
      </c>
    </row>
    <row r="564" spans="1:33" x14ac:dyDescent="0.3">
      <c r="A564" t="s">
        <v>183</v>
      </c>
      <c r="B564" t="s">
        <v>222</v>
      </c>
      <c r="C564" s="2" t="s">
        <v>33</v>
      </c>
      <c r="D564">
        <v>14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4</v>
      </c>
      <c r="AA564">
        <v>0</v>
      </c>
      <c r="AB564">
        <v>1</v>
      </c>
      <c r="AC564">
        <v>0</v>
      </c>
      <c r="AD564">
        <v>1</v>
      </c>
      <c r="AE564" s="1">
        <v>0</v>
      </c>
      <c r="AF564" s="1">
        <v>0</v>
      </c>
      <c r="AG564">
        <v>7</v>
      </c>
    </row>
    <row r="565" spans="1:33" x14ac:dyDescent="0.3">
      <c r="A565" t="s">
        <v>183</v>
      </c>
      <c r="B565" t="s">
        <v>222</v>
      </c>
      <c r="C565" s="2" t="s">
        <v>34</v>
      </c>
      <c r="D565">
        <v>8</v>
      </c>
      <c r="E565">
        <v>0</v>
      </c>
      <c r="F565">
        <v>0</v>
      </c>
      <c r="G565">
        <v>0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4</v>
      </c>
      <c r="AA565">
        <v>2</v>
      </c>
      <c r="AB565">
        <v>0</v>
      </c>
      <c r="AC565">
        <v>0</v>
      </c>
      <c r="AD565">
        <v>0</v>
      </c>
      <c r="AE565" s="1">
        <v>0</v>
      </c>
      <c r="AF565" s="1">
        <v>0</v>
      </c>
      <c r="AG565">
        <v>0</v>
      </c>
    </row>
    <row r="566" spans="1:33" x14ac:dyDescent="0.3">
      <c r="A566" t="s">
        <v>183</v>
      </c>
      <c r="B566" t="s">
        <v>223</v>
      </c>
      <c r="C566" s="2" t="s">
        <v>30</v>
      </c>
      <c r="D566">
        <v>15</v>
      </c>
      <c r="E566">
        <v>0</v>
      </c>
      <c r="F566">
        <v>10</v>
      </c>
      <c r="G566">
        <v>0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s="1">
        <v>0</v>
      </c>
      <c r="AF566" s="1">
        <v>0</v>
      </c>
      <c r="AG566">
        <v>0</v>
      </c>
    </row>
    <row r="567" spans="1:33" x14ac:dyDescent="0.3">
      <c r="A567" t="s">
        <v>183</v>
      </c>
      <c r="B567" t="s">
        <v>223</v>
      </c>
      <c r="C567" s="2" t="s">
        <v>33</v>
      </c>
      <c r="D567">
        <v>10</v>
      </c>
      <c r="E567">
        <v>0</v>
      </c>
      <c r="F567">
        <v>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1</v>
      </c>
      <c r="AE567" s="1">
        <v>0</v>
      </c>
      <c r="AF567" s="1">
        <v>0</v>
      </c>
      <c r="AG567">
        <v>0</v>
      </c>
    </row>
    <row r="568" spans="1:33" x14ac:dyDescent="0.3">
      <c r="A568" t="s">
        <v>183</v>
      </c>
      <c r="B568" t="s">
        <v>223</v>
      </c>
      <c r="C568" s="2" t="s">
        <v>34</v>
      </c>
      <c r="D568">
        <v>5</v>
      </c>
      <c r="E568">
        <v>0</v>
      </c>
      <c r="F568">
        <v>3</v>
      </c>
      <c r="G568">
        <v>0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s="1">
        <v>0</v>
      </c>
      <c r="AF568" s="1">
        <v>0</v>
      </c>
      <c r="AG568">
        <v>0</v>
      </c>
    </row>
    <row r="569" spans="1:33" x14ac:dyDescent="0.3">
      <c r="A569" t="s">
        <v>183</v>
      </c>
      <c r="B569" t="s">
        <v>224</v>
      </c>
      <c r="C569" s="2" t="s">
        <v>30</v>
      </c>
      <c r="D569">
        <v>15</v>
      </c>
      <c r="E569">
        <v>0</v>
      </c>
      <c r="F569">
        <v>4</v>
      </c>
      <c r="G569">
        <v>0</v>
      </c>
      <c r="H569">
        <v>2</v>
      </c>
      <c r="I569">
        <v>0</v>
      </c>
      <c r="J569">
        <v>4</v>
      </c>
      <c r="K569">
        <v>0</v>
      </c>
      <c r="L569">
        <v>0</v>
      </c>
      <c r="M569">
        <v>0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</v>
      </c>
      <c r="AE569" s="1">
        <v>0</v>
      </c>
      <c r="AF569" s="1">
        <v>0</v>
      </c>
      <c r="AG569">
        <v>0</v>
      </c>
    </row>
    <row r="570" spans="1:33" x14ac:dyDescent="0.3">
      <c r="A570" t="s">
        <v>183</v>
      </c>
      <c r="B570" t="s">
        <v>224</v>
      </c>
      <c r="C570" s="2" t="s">
        <v>33</v>
      </c>
      <c r="D570">
        <v>10</v>
      </c>
      <c r="E570">
        <v>0</v>
      </c>
      <c r="F570">
        <v>4</v>
      </c>
      <c r="G570">
        <v>0</v>
      </c>
      <c r="H570">
        <v>0</v>
      </c>
      <c r="I570">
        <v>0</v>
      </c>
      <c r="J570">
        <v>4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 s="1">
        <v>0</v>
      </c>
      <c r="AF570" s="1">
        <v>0</v>
      </c>
      <c r="AG570">
        <v>0</v>
      </c>
    </row>
    <row r="571" spans="1:33" x14ac:dyDescent="0.3">
      <c r="A571" t="s">
        <v>183</v>
      </c>
      <c r="B571" t="s">
        <v>224</v>
      </c>
      <c r="C571" s="2" t="s">
        <v>34</v>
      </c>
      <c r="D571">
        <v>5</v>
      </c>
      <c r="E571">
        <v>0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</v>
      </c>
      <c r="AE571" s="1">
        <v>0</v>
      </c>
      <c r="AF571" s="1">
        <v>0</v>
      </c>
      <c r="AG571">
        <v>0</v>
      </c>
    </row>
    <row r="572" spans="1:33" x14ac:dyDescent="0.3">
      <c r="A572" t="s">
        <v>183</v>
      </c>
      <c r="B572" t="s">
        <v>225</v>
      </c>
      <c r="C572" s="2" t="s">
        <v>30</v>
      </c>
      <c r="D572">
        <v>14</v>
      </c>
      <c r="E572">
        <v>0</v>
      </c>
      <c r="F572">
        <v>3</v>
      </c>
      <c r="G572">
        <v>0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3</v>
      </c>
      <c r="AD572">
        <v>3</v>
      </c>
      <c r="AE572" s="1">
        <v>0</v>
      </c>
      <c r="AF572" s="1">
        <v>0</v>
      </c>
      <c r="AG572">
        <v>1</v>
      </c>
    </row>
    <row r="573" spans="1:33" x14ac:dyDescent="0.3">
      <c r="A573" t="s">
        <v>183</v>
      </c>
      <c r="B573" t="s">
        <v>225</v>
      </c>
      <c r="C573" s="2" t="s">
        <v>33</v>
      </c>
      <c r="D573">
        <v>8</v>
      </c>
      <c r="E573">
        <v>0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</v>
      </c>
      <c r="AD573">
        <v>3</v>
      </c>
      <c r="AE573" s="1">
        <v>0</v>
      </c>
      <c r="AF573" s="1">
        <v>0</v>
      </c>
      <c r="AG573">
        <v>1</v>
      </c>
    </row>
    <row r="574" spans="1:33" x14ac:dyDescent="0.3">
      <c r="A574" t="s">
        <v>183</v>
      </c>
      <c r="B574" t="s">
        <v>225</v>
      </c>
      <c r="C574" s="2" t="s">
        <v>34</v>
      </c>
      <c r="D574">
        <v>6</v>
      </c>
      <c r="E574">
        <v>0</v>
      </c>
      <c r="F574">
        <v>2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1</v>
      </c>
      <c r="AD574">
        <v>0</v>
      </c>
      <c r="AE574" s="1">
        <v>0</v>
      </c>
      <c r="AF574" s="1">
        <v>0</v>
      </c>
      <c r="AG574">
        <v>0</v>
      </c>
    </row>
    <row r="575" spans="1:33" x14ac:dyDescent="0.3">
      <c r="A575" t="s">
        <v>183</v>
      </c>
      <c r="B575" t="s">
        <v>226</v>
      </c>
      <c r="C575" s="2" t="s">
        <v>30</v>
      </c>
      <c r="D575">
        <v>12</v>
      </c>
      <c r="E575">
        <v>0</v>
      </c>
      <c r="F575">
        <v>6</v>
      </c>
      <c r="G575">
        <v>0</v>
      </c>
      <c r="H575">
        <v>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</v>
      </c>
      <c r="AD575">
        <v>0</v>
      </c>
      <c r="AE575" s="1">
        <v>0</v>
      </c>
      <c r="AF575" s="1">
        <v>0</v>
      </c>
      <c r="AG575">
        <v>1</v>
      </c>
    </row>
    <row r="576" spans="1:33" x14ac:dyDescent="0.3">
      <c r="A576" t="s">
        <v>183</v>
      </c>
      <c r="B576" t="s">
        <v>226</v>
      </c>
      <c r="C576" s="2" t="s">
        <v>33</v>
      </c>
      <c r="D576">
        <v>8</v>
      </c>
      <c r="E576">
        <v>0</v>
      </c>
      <c r="F576">
        <v>4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</v>
      </c>
      <c r="AD576">
        <v>0</v>
      </c>
      <c r="AE576" s="1">
        <v>0</v>
      </c>
      <c r="AF576" s="1">
        <v>0</v>
      </c>
      <c r="AG576">
        <v>1</v>
      </c>
    </row>
    <row r="577" spans="1:33" x14ac:dyDescent="0.3">
      <c r="A577" t="s">
        <v>183</v>
      </c>
      <c r="B577" t="s">
        <v>226</v>
      </c>
      <c r="C577" s="2" t="s">
        <v>34</v>
      </c>
      <c r="D577">
        <v>4</v>
      </c>
      <c r="E577">
        <v>0</v>
      </c>
      <c r="F577">
        <v>2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s="1">
        <v>0</v>
      </c>
      <c r="AF577" s="1">
        <v>0</v>
      </c>
      <c r="AG577">
        <v>0</v>
      </c>
    </row>
    <row r="578" spans="1:33" x14ac:dyDescent="0.3">
      <c r="A578" t="s">
        <v>183</v>
      </c>
      <c r="B578" t="s">
        <v>227</v>
      </c>
      <c r="C578" s="2" t="s">
        <v>30</v>
      </c>
      <c r="D578">
        <v>12</v>
      </c>
      <c r="E578">
        <v>0</v>
      </c>
      <c r="F578">
        <v>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</v>
      </c>
      <c r="AE578" s="1">
        <v>0</v>
      </c>
      <c r="AF578" s="1">
        <v>0</v>
      </c>
      <c r="AG578">
        <v>0</v>
      </c>
    </row>
    <row r="579" spans="1:33" x14ac:dyDescent="0.3">
      <c r="A579" t="s">
        <v>183</v>
      </c>
      <c r="B579" t="s">
        <v>227</v>
      </c>
      <c r="C579" s="2" t="s">
        <v>33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</v>
      </c>
      <c r="AE579" s="1">
        <v>0</v>
      </c>
      <c r="AF579" s="1">
        <v>0</v>
      </c>
      <c r="AG579">
        <v>0</v>
      </c>
    </row>
    <row r="580" spans="1:33" x14ac:dyDescent="0.3">
      <c r="A580" t="s">
        <v>183</v>
      </c>
      <c r="B580" t="s">
        <v>227</v>
      </c>
      <c r="C580" s="2" t="s">
        <v>34</v>
      </c>
      <c r="D580">
        <v>8</v>
      </c>
      <c r="E580">
        <v>0</v>
      </c>
      <c r="F580">
        <v>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</v>
      </c>
      <c r="AE580" s="1">
        <v>0</v>
      </c>
      <c r="AF580" s="1">
        <v>0</v>
      </c>
      <c r="AG580">
        <v>0</v>
      </c>
    </row>
    <row r="581" spans="1:33" x14ac:dyDescent="0.3">
      <c r="A581" t="s">
        <v>183</v>
      </c>
      <c r="B581" t="s">
        <v>228</v>
      </c>
      <c r="C581" s="2" t="s">
        <v>30</v>
      </c>
      <c r="D581">
        <v>11</v>
      </c>
      <c r="E581">
        <v>0</v>
      </c>
      <c r="F581">
        <v>3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</v>
      </c>
      <c r="AA581">
        <v>0</v>
      </c>
      <c r="AB581">
        <v>1</v>
      </c>
      <c r="AC581">
        <v>0</v>
      </c>
      <c r="AD581">
        <v>2</v>
      </c>
      <c r="AE581" s="1">
        <v>0</v>
      </c>
      <c r="AF581" s="1">
        <v>0</v>
      </c>
      <c r="AG581">
        <v>0</v>
      </c>
    </row>
    <row r="582" spans="1:33" x14ac:dyDescent="0.3">
      <c r="A582" t="s">
        <v>183</v>
      </c>
      <c r="B582" t="s">
        <v>228</v>
      </c>
      <c r="C582" s="2" t="s">
        <v>33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s="1">
        <v>0</v>
      </c>
      <c r="AF582" s="1">
        <v>0</v>
      </c>
      <c r="AG582">
        <v>0</v>
      </c>
    </row>
    <row r="583" spans="1:33" x14ac:dyDescent="0.3">
      <c r="A583" t="s">
        <v>183</v>
      </c>
      <c r="B583" t="s">
        <v>228</v>
      </c>
      <c r="C583" s="2" t="s">
        <v>34</v>
      </c>
      <c r="D583">
        <v>10</v>
      </c>
      <c r="E583">
        <v>0</v>
      </c>
      <c r="F583">
        <v>3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2</v>
      </c>
      <c r="AE583" s="1">
        <v>0</v>
      </c>
      <c r="AF583" s="1">
        <v>0</v>
      </c>
      <c r="AG583">
        <v>0</v>
      </c>
    </row>
    <row r="584" spans="1:33" x14ac:dyDescent="0.3">
      <c r="A584" t="s">
        <v>183</v>
      </c>
      <c r="B584" t="s">
        <v>229</v>
      </c>
      <c r="C584" s="2" t="s">
        <v>30</v>
      </c>
      <c r="D584">
        <v>10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</v>
      </c>
      <c r="AE584" s="1">
        <v>0</v>
      </c>
      <c r="AF584" s="1">
        <v>0</v>
      </c>
      <c r="AG584">
        <v>6</v>
      </c>
    </row>
    <row r="585" spans="1:33" x14ac:dyDescent="0.3">
      <c r="A585" t="s">
        <v>183</v>
      </c>
      <c r="B585" t="s">
        <v>229</v>
      </c>
      <c r="C585" s="2" t="s">
        <v>33</v>
      </c>
      <c r="D585">
        <v>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4</v>
      </c>
      <c r="AE585" s="1">
        <v>0</v>
      </c>
      <c r="AF585" s="1">
        <v>0</v>
      </c>
      <c r="AG585">
        <v>3</v>
      </c>
    </row>
    <row r="586" spans="1:33" x14ac:dyDescent="0.3">
      <c r="A586" t="s">
        <v>183</v>
      </c>
      <c r="B586" t="s">
        <v>229</v>
      </c>
      <c r="C586" s="2" t="s">
        <v>34</v>
      </c>
      <c r="D586">
        <v>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s="1">
        <v>0</v>
      </c>
      <c r="AF586" s="1">
        <v>0</v>
      </c>
      <c r="AG586">
        <v>3</v>
      </c>
    </row>
    <row r="587" spans="1:33" x14ac:dyDescent="0.3">
      <c r="A587" t="s">
        <v>183</v>
      </c>
      <c r="B587" t="s">
        <v>230</v>
      </c>
      <c r="C587" s="2" t="s">
        <v>30</v>
      </c>
      <c r="D587">
        <v>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7</v>
      </c>
      <c r="AA587">
        <v>0</v>
      </c>
      <c r="AB587">
        <v>0</v>
      </c>
      <c r="AC587">
        <v>1</v>
      </c>
      <c r="AD587">
        <v>0</v>
      </c>
      <c r="AE587" s="1">
        <v>0</v>
      </c>
      <c r="AF587" s="1">
        <v>0</v>
      </c>
      <c r="AG587">
        <v>0</v>
      </c>
    </row>
    <row r="588" spans="1:33" x14ac:dyDescent="0.3">
      <c r="A588" t="s">
        <v>183</v>
      </c>
      <c r="B588" t="s">
        <v>230</v>
      </c>
      <c r="C588" s="2" t="s">
        <v>33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4</v>
      </c>
      <c r="AA588">
        <v>0</v>
      </c>
      <c r="AB588">
        <v>0</v>
      </c>
      <c r="AC588">
        <v>0</v>
      </c>
      <c r="AD588">
        <v>0</v>
      </c>
      <c r="AE588" s="1">
        <v>0</v>
      </c>
      <c r="AF588" s="1">
        <v>0</v>
      </c>
      <c r="AG588">
        <v>0</v>
      </c>
    </row>
    <row r="589" spans="1:33" x14ac:dyDescent="0.3">
      <c r="A589" t="s">
        <v>183</v>
      </c>
      <c r="B589" t="s">
        <v>230</v>
      </c>
      <c r="C589" s="2" t="s">
        <v>34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0</v>
      </c>
      <c r="AC589">
        <v>1</v>
      </c>
      <c r="AD589">
        <v>0</v>
      </c>
      <c r="AE589" s="1">
        <v>0</v>
      </c>
      <c r="AF589" s="1">
        <v>0</v>
      </c>
      <c r="AG589">
        <v>0</v>
      </c>
    </row>
    <row r="590" spans="1:33" x14ac:dyDescent="0.3">
      <c r="A590" t="s">
        <v>183</v>
      </c>
      <c r="B590" t="s">
        <v>231</v>
      </c>
      <c r="C590" s="2" t="s">
        <v>30</v>
      </c>
      <c r="D590">
        <v>5</v>
      </c>
      <c r="E590">
        <v>0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1</v>
      </c>
      <c r="AD590">
        <v>0</v>
      </c>
      <c r="AE590" s="1">
        <v>0</v>
      </c>
      <c r="AF590" s="1">
        <v>0</v>
      </c>
      <c r="AG590">
        <v>0</v>
      </c>
    </row>
    <row r="591" spans="1:33" x14ac:dyDescent="0.3">
      <c r="A591" t="s">
        <v>183</v>
      </c>
      <c r="B591" t="s">
        <v>231</v>
      </c>
      <c r="C591" s="2" t="s">
        <v>33</v>
      </c>
      <c r="D591">
        <v>4</v>
      </c>
      <c r="E591">
        <v>0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0</v>
      </c>
      <c r="AE591" s="1">
        <v>0</v>
      </c>
      <c r="AF591" s="1">
        <v>0</v>
      </c>
      <c r="AG591">
        <v>0</v>
      </c>
    </row>
    <row r="592" spans="1:33" x14ac:dyDescent="0.3">
      <c r="A592" t="s">
        <v>183</v>
      </c>
      <c r="B592" t="s">
        <v>231</v>
      </c>
      <c r="C592" s="2" t="s">
        <v>34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s="1">
        <v>0</v>
      </c>
      <c r="AF592" s="1">
        <v>0</v>
      </c>
      <c r="AG592">
        <v>0</v>
      </c>
    </row>
    <row r="593" spans="1:33" x14ac:dyDescent="0.3">
      <c r="A593" t="s">
        <v>183</v>
      </c>
      <c r="B593" t="s">
        <v>232</v>
      </c>
      <c r="C593" s="2" t="s">
        <v>30</v>
      </c>
      <c r="D593">
        <v>3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 s="1">
        <v>0</v>
      </c>
      <c r="AF593" s="1">
        <v>0</v>
      </c>
      <c r="AG593">
        <v>0</v>
      </c>
    </row>
    <row r="594" spans="1:33" x14ac:dyDescent="0.3">
      <c r="A594" t="s">
        <v>183</v>
      </c>
      <c r="B594" t="s">
        <v>232</v>
      </c>
      <c r="C594" s="2" t="s">
        <v>33</v>
      </c>
      <c r="D594">
        <v>2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 s="1">
        <v>0</v>
      </c>
      <c r="AF594" s="1">
        <v>0</v>
      </c>
      <c r="AG594">
        <v>0</v>
      </c>
    </row>
    <row r="595" spans="1:33" x14ac:dyDescent="0.3">
      <c r="A595" t="s">
        <v>183</v>
      </c>
      <c r="B595" t="s">
        <v>232</v>
      </c>
      <c r="C595" s="2" t="s">
        <v>34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 s="1">
        <v>0</v>
      </c>
      <c r="AF595" s="1">
        <v>0</v>
      </c>
      <c r="AG595">
        <v>0</v>
      </c>
    </row>
    <row r="596" spans="1:33" x14ac:dyDescent="0.3">
      <c r="A596" t="s">
        <v>183</v>
      </c>
      <c r="B596" t="s">
        <v>233</v>
      </c>
      <c r="C596" s="2" t="s">
        <v>30</v>
      </c>
      <c r="D596">
        <v>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</v>
      </c>
      <c r="AE596" s="1">
        <v>0</v>
      </c>
      <c r="AF596" s="1">
        <v>0</v>
      </c>
      <c r="AG596">
        <v>0</v>
      </c>
    </row>
    <row r="597" spans="1:33" x14ac:dyDescent="0.3">
      <c r="A597" t="s">
        <v>183</v>
      </c>
      <c r="B597" t="s">
        <v>233</v>
      </c>
      <c r="C597" s="2" t="s">
        <v>33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 s="1">
        <v>0</v>
      </c>
      <c r="AF597" s="1">
        <v>0</v>
      </c>
      <c r="AG597">
        <v>0</v>
      </c>
    </row>
    <row r="598" spans="1:33" x14ac:dyDescent="0.3">
      <c r="A598" t="s">
        <v>183</v>
      </c>
      <c r="B598" t="s">
        <v>233</v>
      </c>
      <c r="C598" s="2" t="s">
        <v>34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  <c r="AE598" s="1">
        <v>0</v>
      </c>
      <c r="AF598" s="1">
        <v>0</v>
      </c>
      <c r="AG598">
        <v>0</v>
      </c>
    </row>
    <row r="599" spans="1:33" x14ac:dyDescent="0.3">
      <c r="A599" t="s">
        <v>183</v>
      </c>
      <c r="B599" t="s">
        <v>234</v>
      </c>
      <c r="C599" s="2" t="s">
        <v>30</v>
      </c>
      <c r="D599">
        <v>3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 s="1">
        <v>0</v>
      </c>
      <c r="AF599" s="1">
        <v>0</v>
      </c>
      <c r="AG599">
        <v>0</v>
      </c>
    </row>
    <row r="600" spans="1:33" x14ac:dyDescent="0.3">
      <c r="A600" t="s">
        <v>183</v>
      </c>
      <c r="B600" t="s">
        <v>234</v>
      </c>
      <c r="C600" s="2" t="s">
        <v>34</v>
      </c>
      <c r="D600">
        <v>3</v>
      </c>
      <c r="E600">
        <v>0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 s="1">
        <v>0</v>
      </c>
      <c r="AF600" s="1">
        <v>0</v>
      </c>
      <c r="AG600">
        <v>0</v>
      </c>
    </row>
    <row r="601" spans="1:33" x14ac:dyDescent="0.3">
      <c r="A601" t="s">
        <v>235</v>
      </c>
      <c r="B601" t="s">
        <v>30</v>
      </c>
      <c r="C601" s="2" t="s">
        <v>30</v>
      </c>
      <c r="D601">
        <v>195</v>
      </c>
      <c r="E601">
        <v>0</v>
      </c>
      <c r="F601">
        <v>5</v>
      </c>
      <c r="G601">
        <v>0</v>
      </c>
      <c r="H601">
        <v>7</v>
      </c>
      <c r="I601">
        <v>0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88</v>
      </c>
      <c r="Z601">
        <v>26</v>
      </c>
      <c r="AA601">
        <v>9</v>
      </c>
      <c r="AB601">
        <v>2</v>
      </c>
      <c r="AC601">
        <v>12</v>
      </c>
      <c r="AD601">
        <v>16</v>
      </c>
      <c r="AE601" s="1">
        <v>0</v>
      </c>
      <c r="AF601" s="1">
        <v>0</v>
      </c>
      <c r="AG601">
        <v>27</v>
      </c>
    </row>
    <row r="602" spans="1:33" x14ac:dyDescent="0.3">
      <c r="A602" t="s">
        <v>235</v>
      </c>
      <c r="B602" t="s">
        <v>30</v>
      </c>
      <c r="C602" s="2" t="s">
        <v>33</v>
      </c>
      <c r="D602">
        <v>91</v>
      </c>
      <c r="E602">
        <v>0</v>
      </c>
      <c r="F602">
        <v>3</v>
      </c>
      <c r="G602">
        <v>0</v>
      </c>
      <c r="H602">
        <v>3</v>
      </c>
      <c r="I602">
        <v>0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35</v>
      </c>
      <c r="Z602">
        <v>10</v>
      </c>
      <c r="AA602">
        <v>3</v>
      </c>
      <c r="AB602">
        <v>1</v>
      </c>
      <c r="AC602">
        <v>6</v>
      </c>
      <c r="AD602">
        <v>9</v>
      </c>
      <c r="AE602">
        <v>0</v>
      </c>
      <c r="AF602">
        <v>0</v>
      </c>
      <c r="AG602">
        <v>18</v>
      </c>
    </row>
    <row r="603" spans="1:33" x14ac:dyDescent="0.3">
      <c r="A603" t="s">
        <v>235</v>
      </c>
      <c r="B603" t="s">
        <v>30</v>
      </c>
      <c r="C603" s="2" t="s">
        <v>34</v>
      </c>
      <c r="D603">
        <v>104</v>
      </c>
      <c r="E603">
        <v>0</v>
      </c>
      <c r="F603">
        <v>2</v>
      </c>
      <c r="G603">
        <v>0</v>
      </c>
      <c r="H603">
        <v>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53</v>
      </c>
      <c r="Z603">
        <v>16</v>
      </c>
      <c r="AA603">
        <v>6</v>
      </c>
      <c r="AB603">
        <v>1</v>
      </c>
      <c r="AC603">
        <v>6</v>
      </c>
      <c r="AD603">
        <v>7</v>
      </c>
      <c r="AE603">
        <v>0</v>
      </c>
      <c r="AF603">
        <v>0</v>
      </c>
      <c r="AG603">
        <v>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2026-03-04T11:09:21Z</dcterms:created>
  <dcterms:modified xsi:type="dcterms:W3CDTF">2026-03-04T11:10:22Z</dcterms:modified>
</cp:coreProperties>
</file>