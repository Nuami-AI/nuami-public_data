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13_ncr:1_{4C67C362-0464-45FB-AB33-267A47230043}" xr6:coauthVersionLast="47" xr6:coauthVersionMax="47" xr10:uidLastSave="{00000000-0000-0000-0000-000000000000}"/>
  <bookViews>
    <workbookView xWindow="35400" yWindow="1035" windowWidth="23355" windowHeight="15150" xr2:uid="{00000000-000D-0000-FFFF-FFFF00000000}"/>
  </bookViews>
  <sheets>
    <sheet name="2025" sheetId="1" r:id="rId1"/>
  </sheets>
  <definedNames>
    <definedName name="_xlnm._FilterDatabase" localSheetId="0" hidden="1">'2025'!$A$1:$AH$653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D5" i="1"/>
  <c r="D4" i="1"/>
  <c r="D3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D281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D280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D282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D439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D438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D437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D488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D487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D177" i="1"/>
  <c r="D176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D165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D164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D166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D15" i="1"/>
  <c r="D14" i="1"/>
</calcChain>
</file>

<file path=xl/sharedStrings.xml><?xml version="1.0" encoding="utf-8"?>
<sst xmlns="http://schemas.openxmlformats.org/spreadsheetml/2006/main" count="1966" uniqueCount="256">
  <si>
    <t>성별</t>
  </si>
  <si>
    <t>총합계</t>
  </si>
  <si>
    <t>인천공항</t>
  </si>
  <si>
    <t>김해공항</t>
  </si>
  <si>
    <t>김포공항</t>
  </si>
  <si>
    <t>제  주</t>
  </si>
  <si>
    <t>부  산</t>
  </si>
  <si>
    <t>청  주</t>
  </si>
  <si>
    <t>대  구</t>
  </si>
  <si>
    <t>제주서귀포항</t>
  </si>
  <si>
    <t>인  천</t>
  </si>
  <si>
    <t>제주항</t>
  </si>
  <si>
    <t>평택항</t>
  </si>
  <si>
    <t>울  산</t>
  </si>
  <si>
    <t>감  천</t>
  </si>
  <si>
    <t>군  산</t>
  </si>
  <si>
    <t>여  수</t>
  </si>
  <si>
    <t>광  양</t>
  </si>
  <si>
    <t>동  해</t>
  </si>
  <si>
    <t>포  항</t>
  </si>
  <si>
    <t>평  택</t>
  </si>
  <si>
    <t>창  원</t>
  </si>
  <si>
    <t>서  산</t>
  </si>
  <si>
    <t>속  초</t>
  </si>
  <si>
    <t>통  영</t>
  </si>
  <si>
    <t>당  진</t>
  </si>
  <si>
    <t>양양공항</t>
  </si>
  <si>
    <t>목  포</t>
  </si>
  <si>
    <t>거  제</t>
  </si>
  <si>
    <t>사  천</t>
  </si>
  <si>
    <t>성  남</t>
  </si>
  <si>
    <t>광  주</t>
  </si>
  <si>
    <t>총계</t>
  </si>
  <si>
    <t>남성</t>
  </si>
  <si>
    <t>여성</t>
  </si>
  <si>
    <t>제3의성</t>
  </si>
  <si>
    <t>국민 총합계</t>
    <phoneticPr fontId="18" type="noConversion"/>
  </si>
  <si>
    <t>외국인 총합계</t>
    <phoneticPr fontId="18" type="noConversion"/>
  </si>
  <si>
    <t>대륙</t>
  </si>
  <si>
    <t>국적</t>
  </si>
  <si>
    <t>아시아주</t>
  </si>
  <si>
    <t>한국</t>
  </si>
  <si>
    <t>중국</t>
  </si>
  <si>
    <t>일본</t>
  </si>
  <si>
    <t>타이완</t>
  </si>
  <si>
    <t>베트남</t>
  </si>
  <si>
    <t>필리핀</t>
  </si>
  <si>
    <t>홍콩</t>
  </si>
  <si>
    <t>싱가포르</t>
  </si>
  <si>
    <t>인도네시아</t>
  </si>
  <si>
    <t>타이</t>
  </si>
  <si>
    <t>말레이시아</t>
  </si>
  <si>
    <t>한국계중국인</t>
  </si>
  <si>
    <t>인도</t>
  </si>
  <si>
    <t>몽골</t>
  </si>
  <si>
    <t>미얀마</t>
  </si>
  <si>
    <t>우즈베키스탄</t>
  </si>
  <si>
    <t>카자흐스탄</t>
  </si>
  <si>
    <t>튀르키예</t>
  </si>
  <si>
    <t>캄보디아</t>
  </si>
  <si>
    <t>네팔</t>
  </si>
  <si>
    <t>마카오</t>
  </si>
  <si>
    <t>스리랑카</t>
  </si>
  <si>
    <t>라오스</t>
  </si>
  <si>
    <t>방글라데시</t>
  </si>
  <si>
    <t>이스라엘</t>
  </si>
  <si>
    <t>사우디아라비아</t>
  </si>
  <si>
    <t>파키스탄</t>
  </si>
  <si>
    <t>키르기즈</t>
  </si>
  <si>
    <t>아랍에미리트연합</t>
  </si>
  <si>
    <t>브루나이</t>
  </si>
  <si>
    <t>타지키스탄</t>
  </si>
  <si>
    <t>쿠웨이트</t>
  </si>
  <si>
    <t>이란</t>
  </si>
  <si>
    <t>이라크</t>
  </si>
  <si>
    <t>요르단</t>
  </si>
  <si>
    <t>시리아</t>
  </si>
  <si>
    <t>카타르</t>
  </si>
  <si>
    <t>오만</t>
  </si>
  <si>
    <t>티모르민주공화국</t>
  </si>
  <si>
    <t>투르크메니스탄</t>
  </si>
  <si>
    <t>키프로스</t>
  </si>
  <si>
    <t>레바논</t>
  </si>
  <si>
    <t>예멘공화국</t>
  </si>
  <si>
    <t>바레인</t>
  </si>
  <si>
    <t>부탄</t>
  </si>
  <si>
    <t>아프가니스탄</t>
  </si>
  <si>
    <t>팔레스타인</t>
  </si>
  <si>
    <t>몰디브</t>
  </si>
  <si>
    <t>홍콩거주난민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</si>
  <si>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</si>
  <si>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</si>
  <si>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</si>
  <si>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</si>
  <si>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</si>
  <si>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</si>
  <si>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</si>
  <si>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</si>
  <si>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</si>
  <si>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</si>
  <si>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</si>
  <si>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</si>
  <si>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베네수엘라</t>
  </si>
  <si>
    <t>파나마</t>
  </si>
  <si>
    <t>과테말라</t>
  </si>
  <si>
    <t>도미니카공화국</t>
  </si>
  <si>
    <t>온두라스</t>
  </si>
  <si>
    <t>자메이카</t>
  </si>
  <si>
    <t>엘살바도르</t>
  </si>
  <si>
    <t>파라과이</t>
  </si>
  <si>
    <t>우루과이</t>
  </si>
  <si>
    <t>세인트크리스토퍼네비스</t>
  </si>
  <si>
    <t>트리니다드토바고</t>
  </si>
  <si>
    <t>니카라과</t>
  </si>
  <si>
    <t>도미니카연방</t>
  </si>
  <si>
    <t>볼리비아</t>
  </si>
  <si>
    <t>바하마</t>
  </si>
  <si>
    <t>그레나다</t>
  </si>
  <si>
    <t>세인트루시아</t>
  </si>
  <si>
    <t>쿠바</t>
  </si>
  <si>
    <t>가이아나</t>
  </si>
  <si>
    <t>앤티카바부다</t>
  </si>
  <si>
    <t>바베이도스</t>
  </si>
  <si>
    <t>아이티</t>
  </si>
  <si>
    <t>세인트빈센트그레나딘</t>
  </si>
  <si>
    <t>수리남</t>
  </si>
  <si>
    <t>벨리즈</t>
  </si>
  <si>
    <t>미국인근섬</t>
  </si>
  <si>
    <t>유럽주</t>
  </si>
  <si>
    <t>러시아 (연방)</t>
  </si>
  <si>
    <t>프랑스</t>
  </si>
  <si>
    <t>독일</t>
  </si>
  <si>
    <t>영국</t>
  </si>
  <si>
    <t>이탈리아</t>
  </si>
  <si>
    <t>네덜란드</t>
  </si>
  <si>
    <t>스페인</t>
  </si>
  <si>
    <t>폴란드</t>
  </si>
  <si>
    <t>스위스</t>
  </si>
  <si>
    <t>스웨덴</t>
  </si>
  <si>
    <t>우크라이나</t>
  </si>
  <si>
    <t>벨기에</t>
  </si>
  <si>
    <t>루마니아</t>
  </si>
  <si>
    <t>덴마크</t>
  </si>
  <si>
    <t>포르투갈</t>
  </si>
  <si>
    <t>오스트리아</t>
  </si>
  <si>
    <t>핀란드</t>
  </si>
  <si>
    <t>아일랜드</t>
  </si>
  <si>
    <t>노르웨이</t>
  </si>
  <si>
    <t>체코</t>
  </si>
  <si>
    <t>그리스</t>
  </si>
  <si>
    <t>헝가리</t>
  </si>
  <si>
    <t>불가리아</t>
  </si>
  <si>
    <t>크로아티아</t>
  </si>
  <si>
    <t>영국보호민</t>
  </si>
  <si>
    <t>리투아니아</t>
  </si>
  <si>
    <t>슬로바크</t>
  </si>
  <si>
    <t>세르비아</t>
  </si>
  <si>
    <t>라트비아</t>
  </si>
  <si>
    <t>슬로베니아</t>
  </si>
  <si>
    <t>벨라루스</t>
  </si>
  <si>
    <t>에스토니아</t>
  </si>
  <si>
    <t>몬테네그로</t>
  </si>
  <si>
    <t>아제르바이잔</t>
  </si>
  <si>
    <t>룩셈부르크</t>
  </si>
  <si>
    <t>조지아</t>
  </si>
  <si>
    <t>몰타</t>
  </si>
  <si>
    <t>알바니아</t>
  </si>
  <si>
    <t>아이슬란드</t>
  </si>
  <si>
    <t>유고슬라비아</t>
  </si>
  <si>
    <t>몰도바</t>
  </si>
  <si>
    <t>아르메니아</t>
  </si>
  <si>
    <t>보스니아-헤르체고비나</t>
  </si>
  <si>
    <t>북마케도니아</t>
  </si>
  <si>
    <t>코소보</t>
  </si>
  <si>
    <t>안도라</t>
  </si>
  <si>
    <t>리히텐슈타인</t>
  </si>
  <si>
    <t>영국외지민</t>
  </si>
  <si>
    <t>모나코</t>
  </si>
  <si>
    <t>산마리노</t>
  </si>
  <si>
    <t>교황청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</si>
  <si>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</si>
  <si>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</si>
  <si>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</si>
  <si>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</si>
  <si>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</si>
  <si>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</si>
  <si>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</si>
  <si>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바누아투</t>
  </si>
  <si>
    <t>마샬군도</t>
  </si>
  <si>
    <t>솔로몬군도</t>
  </si>
  <si>
    <t>팔라우</t>
  </si>
  <si>
    <t>통가</t>
  </si>
  <si>
    <t>키리바시</t>
  </si>
  <si>
    <t>투발루</t>
  </si>
  <si>
    <t>나우루</t>
  </si>
  <si>
    <t>토켈라우</t>
  </si>
  <si>
    <t>아프리카주</t>
  </si>
  <si>
    <t>남아프리카공화국</t>
  </si>
  <si>
    <t>에티오피아</t>
  </si>
  <si>
    <t>이집트</t>
  </si>
  <si>
    <t>모로코</t>
  </si>
  <si>
    <t>케냐</t>
  </si>
  <si>
    <t>튀니지</t>
  </si>
  <si>
    <t>짐바브웨</t>
  </si>
  <si>
    <t>리비아</t>
  </si>
  <si>
    <t>가나</t>
  </si>
  <si>
    <t>모리셔스</t>
  </si>
  <si>
    <t>나이지리아</t>
  </si>
  <si>
    <t>탄자니아</t>
  </si>
  <si>
    <t>알제리</t>
  </si>
  <si>
    <t>마다가스카르</t>
  </si>
  <si>
    <t>우간다</t>
  </si>
  <si>
    <t>르완다</t>
  </si>
  <si>
    <t>코트디부아르</t>
  </si>
  <si>
    <t>콩고민주공화국</t>
  </si>
  <si>
    <t>카메룬</t>
  </si>
  <si>
    <t>세네갈</t>
  </si>
  <si>
    <t>수단</t>
  </si>
  <si>
    <t>부룬디</t>
  </si>
  <si>
    <t>감비아</t>
  </si>
  <si>
    <t>잠비아</t>
  </si>
  <si>
    <t>모잠비크</t>
  </si>
  <si>
    <t>보츠와나</t>
  </si>
  <si>
    <t>말라위</t>
  </si>
  <si>
    <t>앙골라</t>
  </si>
  <si>
    <t>나미비아</t>
  </si>
  <si>
    <t>가봉</t>
  </si>
  <si>
    <t>라이베리아</t>
  </si>
  <si>
    <t>베냉</t>
  </si>
  <si>
    <t>기니</t>
  </si>
  <si>
    <t>말리</t>
  </si>
  <si>
    <t>토고</t>
  </si>
  <si>
    <t>에스와티니</t>
  </si>
  <si>
    <t>부르키나파소</t>
  </si>
  <si>
    <t>시에라리온</t>
  </si>
  <si>
    <t>세이셸</t>
  </si>
  <si>
    <t>적도기니</t>
  </si>
  <si>
    <t>모리타니</t>
  </si>
  <si>
    <t>콩고</t>
  </si>
  <si>
    <t>카보베르데</t>
  </si>
  <si>
    <t>레소토</t>
  </si>
  <si>
    <t>중앙아프리카공화국</t>
  </si>
  <si>
    <t>남수단공화국</t>
  </si>
  <si>
    <t>니제르</t>
  </si>
  <si>
    <t>차드</t>
  </si>
  <si>
    <t>소말리아</t>
  </si>
  <si>
    <t>에리트레아</t>
  </si>
  <si>
    <t>코모로</t>
  </si>
  <si>
    <t>기니비사우</t>
  </si>
  <si>
    <t>지부티</t>
  </si>
  <si>
    <t>상투메프린시페</t>
  </si>
  <si>
    <t>기타</t>
  </si>
  <si>
    <t>총합계</t>
    <phoneticPr fontId="18" type="noConversion"/>
  </si>
  <si>
    <t>남성</t>
    <phoneticPr fontId="18" type="noConversion"/>
  </si>
  <si>
    <t>여성</t>
    <phoneticPr fontId="18" type="noConversion"/>
  </si>
  <si>
    <t>제3의성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</si>
</sst>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53"/>
  <sheetViews>
    <sheetView tabSelected="1" zoomScale="70" zoomScaleNormal="70" workbookViewId="0"/>
  </sheetViews>
  <sheetFormatPr defaultRowHeight="16.5" x14ac:dyDescent="0.3"/>
  <cols>
    <col min="4" max="34" width="11.625" customWidth="1"/>
  </cols>
  <sheetData>
    <row r="1" spans="1:34" s="2" customFormat="1" x14ac:dyDescent="0.3">
      <c r="A1" s="2" t="s">
        <v>38</v>
      </c>
      <c r="B1" s="2" t="s">
        <v>39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</row>
    <row r="2" spans="1:34" x14ac:dyDescent="0.3">
      <c r="A2" s="4" t="s">
        <v>1</v>
      </c>
      <c r="B2" s="4"/>
      <c r="C2" t="s">
        <v>32</v>
      </c>
      <c r="D2" s="1">
        <v>49291602</v>
      </c>
      <c r="E2" s="1">
        <v>35095017</v>
      </c>
      <c r="F2" s="1">
        <v>5673872</v>
      </c>
      <c r="G2" s="1">
        <v>2292848</v>
      </c>
      <c r="H2" s="1">
        <v>1553252</v>
      </c>
      <c r="I2" s="1">
        <v>1028343</v>
      </c>
      <c r="J2" s="1">
        <v>1013600</v>
      </c>
      <c r="K2" s="1">
        <v>803401</v>
      </c>
      <c r="L2" s="1">
        <v>720176</v>
      </c>
      <c r="M2" s="1">
        <v>300607</v>
      </c>
      <c r="N2" s="1">
        <v>282670</v>
      </c>
      <c r="O2" s="1">
        <v>155831</v>
      </c>
      <c r="P2" s="1">
        <v>55077</v>
      </c>
      <c r="Q2" s="1">
        <v>53816</v>
      </c>
      <c r="R2" s="1">
        <v>51102</v>
      </c>
      <c r="S2" s="1">
        <v>38941</v>
      </c>
      <c r="T2" s="1">
        <v>33450</v>
      </c>
      <c r="U2" s="1">
        <v>25176</v>
      </c>
      <c r="V2" s="1">
        <v>20898</v>
      </c>
      <c r="W2" s="1">
        <v>20067</v>
      </c>
      <c r="X2" s="1">
        <v>17627</v>
      </c>
      <c r="Y2" s="1">
        <v>13969</v>
      </c>
      <c r="Z2" s="1">
        <v>7973</v>
      </c>
      <c r="AA2" s="1">
        <v>6511</v>
      </c>
      <c r="AB2" s="1">
        <v>6341</v>
      </c>
      <c r="AC2" s="1">
        <v>6126</v>
      </c>
      <c r="AD2" s="1">
        <v>5320</v>
      </c>
      <c r="AE2" s="1">
        <v>4395</v>
      </c>
      <c r="AF2" s="1">
        <v>3444</v>
      </c>
      <c r="AG2" s="1">
        <v>1656</v>
      </c>
      <c r="AH2">
        <v>96</v>
      </c>
    </row>
    <row r="3" spans="1:34" x14ac:dyDescent="0.3">
      <c r="A3" s="4"/>
      <c r="B3" s="4"/>
      <c r="C3" t="s">
        <v>33</v>
      </c>
      <c r="D3" s="1">
        <f>D7+D10</f>
        <v>24258143</v>
      </c>
      <c r="E3" s="1">
        <f t="shared" ref="E3:AH3" si="0">E7+E10</f>
        <v>17072758</v>
      </c>
      <c r="F3" s="1">
        <f t="shared" si="0"/>
        <v>2857390</v>
      </c>
      <c r="G3" s="1">
        <f t="shared" si="0"/>
        <v>1026990</v>
      </c>
      <c r="H3" s="1">
        <f t="shared" si="0"/>
        <v>554887</v>
      </c>
      <c r="I3" s="1">
        <f t="shared" si="0"/>
        <v>645188</v>
      </c>
      <c r="J3" s="1">
        <f t="shared" si="0"/>
        <v>527055</v>
      </c>
      <c r="K3" s="1">
        <f t="shared" si="0"/>
        <v>393456</v>
      </c>
      <c r="L3" s="1">
        <f t="shared" si="0"/>
        <v>394979</v>
      </c>
      <c r="M3" s="1">
        <f t="shared" si="0"/>
        <v>182035</v>
      </c>
      <c r="N3" s="1">
        <f t="shared" si="0"/>
        <v>182608</v>
      </c>
      <c r="O3" s="1">
        <f t="shared" si="0"/>
        <v>83187</v>
      </c>
      <c r="P3" s="1">
        <f t="shared" si="0"/>
        <v>54556</v>
      </c>
      <c r="Q3" s="1">
        <f t="shared" si="0"/>
        <v>53654</v>
      </c>
      <c r="R3" s="1">
        <f t="shared" si="0"/>
        <v>34129</v>
      </c>
      <c r="S3" s="1">
        <f t="shared" si="0"/>
        <v>37799</v>
      </c>
      <c r="T3" s="1">
        <f t="shared" si="0"/>
        <v>33419</v>
      </c>
      <c r="U3" s="1">
        <f t="shared" si="0"/>
        <v>20890</v>
      </c>
      <c r="V3" s="1">
        <f t="shared" si="0"/>
        <v>20408</v>
      </c>
      <c r="W3" s="1">
        <f t="shared" si="0"/>
        <v>15709</v>
      </c>
      <c r="X3" s="1">
        <f t="shared" si="0"/>
        <v>17127</v>
      </c>
      <c r="Y3" s="1">
        <f t="shared" si="0"/>
        <v>13940</v>
      </c>
      <c r="Z3" s="1">
        <f t="shared" si="0"/>
        <v>5554</v>
      </c>
      <c r="AA3" s="1">
        <f t="shared" si="0"/>
        <v>6447</v>
      </c>
      <c r="AB3" s="1">
        <f t="shared" si="0"/>
        <v>6335</v>
      </c>
      <c r="AC3" s="1">
        <f t="shared" si="0"/>
        <v>3124</v>
      </c>
      <c r="AD3" s="1">
        <f t="shared" si="0"/>
        <v>5312</v>
      </c>
      <c r="AE3" s="1">
        <f t="shared" si="0"/>
        <v>4365</v>
      </c>
      <c r="AF3" s="1">
        <f t="shared" si="0"/>
        <v>3442</v>
      </c>
      <c r="AG3" s="1">
        <f t="shared" si="0"/>
        <v>1308</v>
      </c>
      <c r="AH3" s="1">
        <f t="shared" si="0"/>
        <v>92</v>
      </c>
    </row>
    <row r="4" spans="1:34" x14ac:dyDescent="0.3">
      <c r="A4" s="4"/>
      <c r="B4" s="4"/>
      <c r="C4" t="s">
        <v>34</v>
      </c>
      <c r="D4" s="1">
        <f>D8+D11</f>
        <v>25033174</v>
      </c>
      <c r="E4" s="1">
        <f t="shared" ref="E4:AH4" si="1">E8+E11</f>
        <v>18022009</v>
      </c>
      <c r="F4" s="1">
        <f t="shared" si="1"/>
        <v>2816473</v>
      </c>
      <c r="G4" s="1">
        <f t="shared" si="1"/>
        <v>1265845</v>
      </c>
      <c r="H4" s="1">
        <f t="shared" si="1"/>
        <v>998362</v>
      </c>
      <c r="I4" s="1">
        <f t="shared" si="1"/>
        <v>383151</v>
      </c>
      <c r="J4" s="1">
        <f t="shared" si="1"/>
        <v>486545</v>
      </c>
      <c r="K4" s="1">
        <f t="shared" si="1"/>
        <v>409945</v>
      </c>
      <c r="L4" s="1">
        <f t="shared" si="1"/>
        <v>325196</v>
      </c>
      <c r="M4" s="1">
        <f t="shared" si="1"/>
        <v>118570</v>
      </c>
      <c r="N4" s="1">
        <f t="shared" si="1"/>
        <v>100059</v>
      </c>
      <c r="O4" s="1">
        <f t="shared" si="1"/>
        <v>72644</v>
      </c>
      <c r="P4" s="1">
        <f t="shared" si="1"/>
        <v>521</v>
      </c>
      <c r="Q4" s="1">
        <f t="shared" si="1"/>
        <v>162</v>
      </c>
      <c r="R4" s="1">
        <f t="shared" si="1"/>
        <v>16973</v>
      </c>
      <c r="S4" s="1">
        <f t="shared" si="1"/>
        <v>1142</v>
      </c>
      <c r="T4" s="1">
        <f t="shared" si="1"/>
        <v>31</v>
      </c>
      <c r="U4" s="1">
        <f t="shared" si="1"/>
        <v>4286</v>
      </c>
      <c r="V4" s="1">
        <f t="shared" si="1"/>
        <v>490</v>
      </c>
      <c r="W4" s="1">
        <f t="shared" si="1"/>
        <v>4358</v>
      </c>
      <c r="X4" s="1">
        <f t="shared" si="1"/>
        <v>500</v>
      </c>
      <c r="Y4" s="1">
        <f t="shared" si="1"/>
        <v>29</v>
      </c>
      <c r="Z4" s="1">
        <f t="shared" si="1"/>
        <v>2419</v>
      </c>
      <c r="AA4" s="1">
        <f t="shared" si="1"/>
        <v>64</v>
      </c>
      <c r="AB4" s="1">
        <f t="shared" si="1"/>
        <v>6</v>
      </c>
      <c r="AC4" s="1">
        <f t="shared" si="1"/>
        <v>3002</v>
      </c>
      <c r="AD4" s="1">
        <f t="shared" si="1"/>
        <v>8</v>
      </c>
      <c r="AE4" s="1">
        <f t="shared" si="1"/>
        <v>30</v>
      </c>
      <c r="AF4" s="1">
        <f t="shared" si="1"/>
        <v>2</v>
      </c>
      <c r="AG4" s="1">
        <f t="shared" si="1"/>
        <v>348</v>
      </c>
      <c r="AH4" s="1">
        <f t="shared" si="1"/>
        <v>4</v>
      </c>
    </row>
    <row r="5" spans="1:34" x14ac:dyDescent="0.3">
      <c r="A5" s="4"/>
      <c r="B5" s="4"/>
      <c r="C5" t="s">
        <v>35</v>
      </c>
      <c r="D5" s="1">
        <f>D12</f>
        <v>285</v>
      </c>
      <c r="E5" s="1">
        <f t="shared" ref="E5:AH5" si="2">E12</f>
        <v>250</v>
      </c>
      <c r="F5" s="1">
        <f t="shared" si="2"/>
        <v>9</v>
      </c>
      <c r="G5" s="1">
        <f t="shared" si="2"/>
        <v>13</v>
      </c>
      <c r="H5" s="1">
        <f t="shared" si="2"/>
        <v>3</v>
      </c>
      <c r="I5" s="1">
        <f t="shared" si="2"/>
        <v>4</v>
      </c>
      <c r="J5" s="1">
        <f t="shared" si="2"/>
        <v>0</v>
      </c>
      <c r="K5" s="1">
        <f t="shared" si="2"/>
        <v>0</v>
      </c>
      <c r="L5" s="1">
        <f t="shared" si="2"/>
        <v>1</v>
      </c>
      <c r="M5" s="1">
        <f t="shared" si="2"/>
        <v>2</v>
      </c>
      <c r="N5" s="1">
        <f t="shared" si="2"/>
        <v>3</v>
      </c>
      <c r="O5" s="1">
        <f t="shared" si="2"/>
        <v>0</v>
      </c>
      <c r="P5" s="1">
        <f t="shared" si="2"/>
        <v>0</v>
      </c>
      <c r="Q5" s="1">
        <f t="shared" si="2"/>
        <v>0</v>
      </c>
      <c r="R5" s="1">
        <f t="shared" si="2"/>
        <v>0</v>
      </c>
      <c r="S5" s="1">
        <f t="shared" si="2"/>
        <v>0</v>
      </c>
      <c r="T5" s="1">
        <f t="shared" si="2"/>
        <v>0</v>
      </c>
      <c r="U5" s="1">
        <f t="shared" si="2"/>
        <v>0</v>
      </c>
      <c r="V5" s="1">
        <f t="shared" si="2"/>
        <v>0</v>
      </c>
      <c r="W5" s="1">
        <f t="shared" si="2"/>
        <v>0</v>
      </c>
      <c r="X5" s="1">
        <f t="shared" si="2"/>
        <v>0</v>
      </c>
      <c r="Y5" s="1">
        <f t="shared" si="2"/>
        <v>0</v>
      </c>
      <c r="Z5" s="1">
        <f t="shared" si="2"/>
        <v>0</v>
      </c>
      <c r="AA5" s="1">
        <f t="shared" si="2"/>
        <v>0</v>
      </c>
      <c r="AB5" s="1">
        <f t="shared" si="2"/>
        <v>0</v>
      </c>
      <c r="AC5" s="1">
        <f t="shared" si="2"/>
        <v>0</v>
      </c>
      <c r="AD5" s="1">
        <f t="shared" si="2"/>
        <v>0</v>
      </c>
      <c r="AE5" s="1">
        <f t="shared" si="2"/>
        <v>0</v>
      </c>
      <c r="AF5" s="1">
        <f t="shared" si="2"/>
        <v>0</v>
      </c>
      <c r="AG5" s="1">
        <f t="shared" si="2"/>
        <v>0</v>
      </c>
      <c r="AH5" s="1">
        <f t="shared" si="2"/>
        <v>0</v>
      </c>
    </row>
    <row r="6" spans="1:34" x14ac:dyDescent="0.3">
      <c r="A6" s="4" t="s">
        <v>36</v>
      </c>
      <c r="B6" s="4"/>
      <c r="C6" t="s">
        <v>32</v>
      </c>
      <c r="D6" s="1">
        <v>29706888</v>
      </c>
      <c r="E6" s="1">
        <v>22183503</v>
      </c>
      <c r="F6" s="1">
        <v>4050169</v>
      </c>
      <c r="G6" s="1">
        <v>1050313</v>
      </c>
      <c r="H6" s="1">
        <v>168872</v>
      </c>
      <c r="I6" s="1">
        <v>515117</v>
      </c>
      <c r="J6" s="1">
        <v>901885</v>
      </c>
      <c r="K6" s="1">
        <v>681024</v>
      </c>
      <c r="L6" s="1">
        <v>2993</v>
      </c>
      <c r="M6" s="1">
        <v>51758</v>
      </c>
      <c r="N6">
        <v>746</v>
      </c>
      <c r="O6" s="1">
        <v>12831</v>
      </c>
      <c r="P6" s="1">
        <v>17095</v>
      </c>
      <c r="Q6" s="1">
        <v>2948</v>
      </c>
      <c r="R6" s="1">
        <v>14438</v>
      </c>
      <c r="S6" s="1">
        <v>10458</v>
      </c>
      <c r="T6" s="1">
        <v>7079</v>
      </c>
      <c r="U6" s="1">
        <v>4464</v>
      </c>
      <c r="V6" s="1">
        <v>3300</v>
      </c>
      <c r="W6">
        <v>209</v>
      </c>
      <c r="X6" s="1">
        <v>4423</v>
      </c>
      <c r="Y6" s="1">
        <v>5212</v>
      </c>
      <c r="Z6">
        <v>834</v>
      </c>
      <c r="AA6" s="1">
        <v>4600</v>
      </c>
      <c r="AB6" s="1">
        <v>1685</v>
      </c>
      <c r="AC6" s="1">
        <v>4995</v>
      </c>
      <c r="AD6" s="1">
        <v>1123</v>
      </c>
      <c r="AE6" s="1">
        <v>3468</v>
      </c>
      <c r="AF6">
        <v>128</v>
      </c>
      <c r="AG6" s="1">
        <v>1218</v>
      </c>
      <c r="AH6" s="1">
        <v>0</v>
      </c>
    </row>
    <row r="7" spans="1:34" x14ac:dyDescent="0.3">
      <c r="A7" s="4"/>
      <c r="B7" s="4"/>
      <c r="C7" t="s">
        <v>33</v>
      </c>
      <c r="D7" s="1">
        <v>15914255</v>
      </c>
      <c r="E7" s="1">
        <v>11876561</v>
      </c>
      <c r="F7" s="1">
        <v>2147704</v>
      </c>
      <c r="G7" s="1">
        <v>561406</v>
      </c>
      <c r="H7" s="1">
        <v>88882</v>
      </c>
      <c r="I7" s="1">
        <v>279654</v>
      </c>
      <c r="J7" s="1">
        <v>486662</v>
      </c>
      <c r="K7" s="1">
        <v>343652</v>
      </c>
      <c r="L7" s="1">
        <v>1307</v>
      </c>
      <c r="M7" s="1">
        <v>39042</v>
      </c>
      <c r="N7">
        <v>569</v>
      </c>
      <c r="O7" s="1">
        <v>10746</v>
      </c>
      <c r="P7" s="1">
        <v>17051</v>
      </c>
      <c r="Q7" s="1">
        <v>2948</v>
      </c>
      <c r="R7" s="1">
        <v>9841</v>
      </c>
      <c r="S7" s="1">
        <v>10268</v>
      </c>
      <c r="T7" s="1">
        <v>7074</v>
      </c>
      <c r="U7" s="1">
        <v>3302</v>
      </c>
      <c r="V7" s="1">
        <v>3136</v>
      </c>
      <c r="W7">
        <v>64</v>
      </c>
      <c r="X7" s="1">
        <v>4041</v>
      </c>
      <c r="Y7" s="1">
        <v>5212</v>
      </c>
      <c r="Z7">
        <v>566</v>
      </c>
      <c r="AA7" s="1">
        <v>4550</v>
      </c>
      <c r="AB7" s="1">
        <v>1685</v>
      </c>
      <c r="AC7" s="1">
        <v>2666</v>
      </c>
      <c r="AD7" s="1">
        <v>1121</v>
      </c>
      <c r="AE7" s="1">
        <v>3456</v>
      </c>
      <c r="AF7">
        <v>128</v>
      </c>
      <c r="AG7">
        <v>961</v>
      </c>
      <c r="AH7" s="1">
        <v>0</v>
      </c>
    </row>
    <row r="8" spans="1:34" x14ac:dyDescent="0.3">
      <c r="A8" s="4"/>
      <c r="B8" s="4"/>
      <c r="C8" t="s">
        <v>34</v>
      </c>
      <c r="D8" s="1">
        <v>13792633</v>
      </c>
      <c r="E8" s="1">
        <v>10306942</v>
      </c>
      <c r="F8" s="1">
        <v>1902465</v>
      </c>
      <c r="G8" s="1">
        <v>488907</v>
      </c>
      <c r="H8" s="1">
        <v>79990</v>
      </c>
      <c r="I8" s="1">
        <v>235463</v>
      </c>
      <c r="J8" s="1">
        <v>415223</v>
      </c>
      <c r="K8" s="1">
        <v>337372</v>
      </c>
      <c r="L8" s="1">
        <v>1686</v>
      </c>
      <c r="M8" s="1">
        <v>12716</v>
      </c>
      <c r="N8">
        <v>177</v>
      </c>
      <c r="O8" s="1">
        <v>2085</v>
      </c>
      <c r="P8">
        <v>44</v>
      </c>
      <c r="Q8" s="1">
        <v>0</v>
      </c>
      <c r="R8" s="1">
        <v>4597</v>
      </c>
      <c r="S8">
        <v>190</v>
      </c>
      <c r="T8">
        <v>5</v>
      </c>
      <c r="U8" s="1">
        <v>1162</v>
      </c>
      <c r="V8">
        <v>164</v>
      </c>
      <c r="W8">
        <v>145</v>
      </c>
      <c r="X8">
        <v>382</v>
      </c>
      <c r="Y8">
        <v>0</v>
      </c>
      <c r="Z8">
        <v>268</v>
      </c>
      <c r="AA8">
        <v>50</v>
      </c>
      <c r="AB8">
        <v>0</v>
      </c>
      <c r="AC8" s="1">
        <v>2329</v>
      </c>
      <c r="AD8">
        <v>2</v>
      </c>
      <c r="AE8">
        <v>12</v>
      </c>
      <c r="AF8">
        <v>0</v>
      </c>
      <c r="AG8">
        <v>257</v>
      </c>
      <c r="AH8">
        <v>0</v>
      </c>
    </row>
    <row r="9" spans="1:34" x14ac:dyDescent="0.3">
      <c r="A9" s="4" t="s">
        <v>37</v>
      </c>
      <c r="B9" s="4"/>
      <c r="C9" t="s">
        <v>32</v>
      </c>
      <c r="D9" s="1">
        <v>19584714</v>
      </c>
      <c r="E9" s="1">
        <v>12911514</v>
      </c>
      <c r="F9" s="1">
        <v>1623703</v>
      </c>
      <c r="G9" s="1">
        <v>1242535</v>
      </c>
      <c r="H9" s="1">
        <v>1384380</v>
      </c>
      <c r="I9" s="1">
        <v>513226</v>
      </c>
      <c r="J9" s="1">
        <v>111715</v>
      </c>
      <c r="K9" s="1">
        <v>122377</v>
      </c>
      <c r="L9" s="1">
        <v>717183</v>
      </c>
      <c r="M9" s="1">
        <v>248849</v>
      </c>
      <c r="N9" s="1">
        <v>281924</v>
      </c>
      <c r="O9" s="1">
        <v>143000</v>
      </c>
      <c r="P9" s="1">
        <v>37982</v>
      </c>
      <c r="Q9" s="1">
        <v>50868</v>
      </c>
      <c r="R9" s="1">
        <v>36664</v>
      </c>
      <c r="S9" s="1">
        <v>28483</v>
      </c>
      <c r="T9" s="1">
        <v>26371</v>
      </c>
      <c r="U9" s="1">
        <v>20712</v>
      </c>
      <c r="V9" s="1">
        <v>17598</v>
      </c>
      <c r="W9" s="1">
        <v>19858</v>
      </c>
      <c r="X9" s="1">
        <v>13204</v>
      </c>
      <c r="Y9" s="1">
        <v>8757</v>
      </c>
      <c r="Z9" s="1">
        <v>7139</v>
      </c>
      <c r="AA9" s="1">
        <v>1911</v>
      </c>
      <c r="AB9" s="1">
        <v>4656</v>
      </c>
      <c r="AC9" s="1">
        <v>1131</v>
      </c>
      <c r="AD9" s="1">
        <v>4197</v>
      </c>
      <c r="AE9">
        <v>927</v>
      </c>
      <c r="AF9" s="1">
        <v>3316</v>
      </c>
      <c r="AG9">
        <v>438</v>
      </c>
      <c r="AH9">
        <v>96</v>
      </c>
    </row>
    <row r="10" spans="1:34" x14ac:dyDescent="0.3">
      <c r="A10" s="4"/>
      <c r="B10" s="4"/>
      <c r="C10" t="s">
        <v>33</v>
      </c>
      <c r="D10" s="1">
        <v>8343888</v>
      </c>
      <c r="E10" s="1">
        <v>5196197</v>
      </c>
      <c r="F10" s="1">
        <v>709686</v>
      </c>
      <c r="G10" s="1">
        <v>465584</v>
      </c>
      <c r="H10" s="1">
        <v>466005</v>
      </c>
      <c r="I10" s="1">
        <v>365534</v>
      </c>
      <c r="J10" s="1">
        <v>40393</v>
      </c>
      <c r="K10" s="1">
        <v>49804</v>
      </c>
      <c r="L10" s="1">
        <v>393672</v>
      </c>
      <c r="M10" s="1">
        <v>142993</v>
      </c>
      <c r="N10" s="1">
        <v>182039</v>
      </c>
      <c r="O10" s="1">
        <v>72441</v>
      </c>
      <c r="P10" s="1">
        <v>37505</v>
      </c>
      <c r="Q10" s="1">
        <v>50706</v>
      </c>
      <c r="R10" s="1">
        <v>24288</v>
      </c>
      <c r="S10" s="1">
        <v>27531</v>
      </c>
      <c r="T10" s="1">
        <v>26345</v>
      </c>
      <c r="U10" s="1">
        <v>17588</v>
      </c>
      <c r="V10" s="1">
        <v>17272</v>
      </c>
      <c r="W10" s="1">
        <v>15645</v>
      </c>
      <c r="X10" s="1">
        <v>13086</v>
      </c>
      <c r="Y10" s="1">
        <v>8728</v>
      </c>
      <c r="Z10" s="1">
        <v>4988</v>
      </c>
      <c r="AA10" s="1">
        <v>1897</v>
      </c>
      <c r="AB10" s="1">
        <v>4650</v>
      </c>
      <c r="AC10">
        <v>458</v>
      </c>
      <c r="AD10" s="1">
        <v>4191</v>
      </c>
      <c r="AE10">
        <v>909</v>
      </c>
      <c r="AF10" s="1">
        <v>3314</v>
      </c>
      <c r="AG10">
        <v>347</v>
      </c>
      <c r="AH10">
        <v>92</v>
      </c>
    </row>
    <row r="11" spans="1:34" x14ac:dyDescent="0.3">
      <c r="A11" s="4"/>
      <c r="B11" s="4"/>
      <c r="C11" t="s">
        <v>34</v>
      </c>
      <c r="D11" s="1">
        <v>11240541</v>
      </c>
      <c r="E11" s="1">
        <v>7715067</v>
      </c>
      <c r="F11" s="1">
        <v>914008</v>
      </c>
      <c r="G11" s="1">
        <v>776938</v>
      </c>
      <c r="H11" s="1">
        <v>918372</v>
      </c>
      <c r="I11" s="1">
        <v>147688</v>
      </c>
      <c r="J11" s="1">
        <v>71322</v>
      </c>
      <c r="K11" s="1">
        <v>72573</v>
      </c>
      <c r="L11" s="1">
        <v>323510</v>
      </c>
      <c r="M11" s="1">
        <v>105854</v>
      </c>
      <c r="N11" s="1">
        <v>99882</v>
      </c>
      <c r="O11" s="1">
        <v>70559</v>
      </c>
      <c r="P11">
        <v>477</v>
      </c>
      <c r="Q11">
        <v>162</v>
      </c>
      <c r="R11" s="1">
        <v>12376</v>
      </c>
      <c r="S11">
        <v>952</v>
      </c>
      <c r="T11">
        <v>26</v>
      </c>
      <c r="U11" s="1">
        <v>3124</v>
      </c>
      <c r="V11">
        <v>326</v>
      </c>
      <c r="W11" s="1">
        <v>4213</v>
      </c>
      <c r="X11">
        <v>118</v>
      </c>
      <c r="Y11">
        <v>29</v>
      </c>
      <c r="Z11" s="1">
        <v>2151</v>
      </c>
      <c r="AA11">
        <v>14</v>
      </c>
      <c r="AB11">
        <v>6</v>
      </c>
      <c r="AC11">
        <v>673</v>
      </c>
      <c r="AD11">
        <v>6</v>
      </c>
      <c r="AE11">
        <v>18</v>
      </c>
      <c r="AF11">
        <v>2</v>
      </c>
      <c r="AG11">
        <v>91</v>
      </c>
      <c r="AH11">
        <v>4</v>
      </c>
    </row>
    <row r="12" spans="1:34" x14ac:dyDescent="0.3">
      <c r="A12" s="4"/>
      <c r="B12" s="4"/>
      <c r="C12" t="s">
        <v>35</v>
      </c>
      <c r="D12">
        <v>285</v>
      </c>
      <c r="E12">
        <v>250</v>
      </c>
      <c r="F12">
        <v>9</v>
      </c>
      <c r="G12">
        <v>13</v>
      </c>
      <c r="H12">
        <v>3</v>
      </c>
      <c r="I12">
        <v>4</v>
      </c>
      <c r="J12" s="1">
        <v>0</v>
      </c>
      <c r="K12" s="1">
        <v>0</v>
      </c>
      <c r="L12">
        <v>1</v>
      </c>
      <c r="M12">
        <v>2</v>
      </c>
      <c r="N12">
        <v>3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 x14ac:dyDescent="0.3">
      <c r="A13" t="s">
        <v>40</v>
      </c>
      <c r="B13" s="3" t="s">
        <v>252</v>
      </c>
      <c r="C13" t="s">
        <v>32</v>
      </c>
      <c r="D13" s="1">
        <v>45479395</v>
      </c>
      <c r="E13" s="1">
        <v>31992415</v>
      </c>
      <c r="F13" s="1">
        <v>5520886</v>
      </c>
      <c r="G13" s="1">
        <v>2144403</v>
      </c>
      <c r="H13" s="1">
        <v>1521773</v>
      </c>
      <c r="I13" s="1">
        <v>857900</v>
      </c>
      <c r="J13" s="1">
        <v>1008081</v>
      </c>
      <c r="K13" s="1">
        <v>793234</v>
      </c>
      <c r="L13" s="1">
        <v>685367</v>
      </c>
      <c r="M13" s="1">
        <v>281095</v>
      </c>
      <c r="N13" s="1">
        <v>240522</v>
      </c>
      <c r="O13" s="1">
        <v>154326</v>
      </c>
      <c r="P13" s="1">
        <v>49104</v>
      </c>
      <c r="Q13" s="1">
        <v>26038</v>
      </c>
      <c r="R13" s="1">
        <v>49247</v>
      </c>
      <c r="S13" s="1">
        <v>34432</v>
      </c>
      <c r="T13" s="1">
        <v>30625</v>
      </c>
      <c r="U13" s="1">
        <v>13758</v>
      </c>
      <c r="V13" s="1">
        <v>15048</v>
      </c>
      <c r="W13">
        <v>465</v>
      </c>
      <c r="X13" s="1">
        <v>13263</v>
      </c>
      <c r="Y13" s="1">
        <v>12826</v>
      </c>
      <c r="Z13" s="1">
        <v>2642</v>
      </c>
      <c r="AA13" s="1">
        <v>6083</v>
      </c>
      <c r="AB13" s="1">
        <v>5988</v>
      </c>
      <c r="AC13" s="1">
        <v>6090</v>
      </c>
      <c r="AD13" s="1">
        <v>4636</v>
      </c>
      <c r="AE13" s="1">
        <v>4261</v>
      </c>
      <c r="AF13" s="1">
        <v>3342</v>
      </c>
      <c r="AG13" s="1">
        <v>1545</v>
      </c>
      <c r="AH13" s="1">
        <v>0</v>
      </c>
    </row>
    <row r="14" spans="1:34" x14ac:dyDescent="0.3">
      <c r="A14" t="s">
        <v>40</v>
      </c>
      <c r="B14" s="3" t="s">
        <v>252</v>
      </c>
      <c r="C14" t="s">
        <v>33</v>
      </c>
      <c r="D14" s="1">
        <f>D17+D20+D23+D26+D29+D32+D35+D38+D41+D44+D47+D50+D53+D56+D59+D62+D65+D68+D71+D74+D77+D80+D83+D86+D89+D92+D95+D98+D101+D104+D107+D110+D113+D116+D119+D122+D125+D128+D131+D134+D137+D140+D143+D146+D149+D152+D155+D158+D161</f>
        <v>22162736</v>
      </c>
      <c r="E14" s="1">
        <f t="shared" ref="E14:AH14" si="3">E17+E20+E23+E26+E29+E32+E35+E38+E41+E44+E47+E50+E53+E56+E59+E62+E65+E68+E71+E74+E77+E80+E83+E86+E89+E92+E95+E98+E101+E104+E107+E110+E113+E116+E119+E122+E125+E128+E131+E134+E137+E140+E143+E146+E149+E152+E155+E158+E161</f>
        <v>15424706</v>
      </c>
      <c r="F14" s="1">
        <f t="shared" si="3"/>
        <v>2765760</v>
      </c>
      <c r="G14" s="1">
        <f t="shared" si="3"/>
        <v>947186</v>
      </c>
      <c r="H14" s="1">
        <f t="shared" si="3"/>
        <v>538935</v>
      </c>
      <c r="I14" s="1">
        <f t="shared" si="3"/>
        <v>539069</v>
      </c>
      <c r="J14" s="1">
        <f t="shared" si="3"/>
        <v>524098</v>
      </c>
      <c r="K14" s="1">
        <f t="shared" si="3"/>
        <v>387541</v>
      </c>
      <c r="L14" s="1">
        <f t="shared" si="3"/>
        <v>371390</v>
      </c>
      <c r="M14" s="1">
        <f t="shared" si="3"/>
        <v>168519</v>
      </c>
      <c r="N14" s="1">
        <f t="shared" si="3"/>
        <v>158290</v>
      </c>
      <c r="O14" s="1">
        <f t="shared" si="3"/>
        <v>81730</v>
      </c>
      <c r="P14" s="1">
        <f t="shared" si="3"/>
        <v>48923</v>
      </c>
      <c r="Q14" s="1">
        <f t="shared" si="3"/>
        <v>26031</v>
      </c>
      <c r="R14" s="1">
        <f t="shared" si="3"/>
        <v>32402</v>
      </c>
      <c r="S14" s="1">
        <f t="shared" si="3"/>
        <v>33405</v>
      </c>
      <c r="T14" s="1">
        <f t="shared" si="3"/>
        <v>30612</v>
      </c>
      <c r="U14" s="1">
        <f t="shared" si="3"/>
        <v>12504</v>
      </c>
      <c r="V14" s="1">
        <f t="shared" si="3"/>
        <v>14857</v>
      </c>
      <c r="W14" s="1">
        <f t="shared" si="3"/>
        <v>244</v>
      </c>
      <c r="X14" s="1">
        <f t="shared" si="3"/>
        <v>12874</v>
      </c>
      <c r="Y14" s="1">
        <f t="shared" si="3"/>
        <v>12806</v>
      </c>
      <c r="Z14" s="1">
        <f t="shared" si="3"/>
        <v>2298</v>
      </c>
      <c r="AA14" s="1">
        <f t="shared" si="3"/>
        <v>6029</v>
      </c>
      <c r="AB14" s="1">
        <f t="shared" si="3"/>
        <v>5983</v>
      </c>
      <c r="AC14" s="1">
        <f t="shared" si="3"/>
        <v>3106</v>
      </c>
      <c r="AD14" s="1">
        <f t="shared" si="3"/>
        <v>4631</v>
      </c>
      <c r="AE14" s="1">
        <f t="shared" si="3"/>
        <v>4249</v>
      </c>
      <c r="AF14" s="1">
        <f t="shared" si="3"/>
        <v>3341</v>
      </c>
      <c r="AG14" s="1">
        <f t="shared" si="3"/>
        <v>1217</v>
      </c>
      <c r="AH14" s="1">
        <f t="shared" si="3"/>
        <v>0</v>
      </c>
    </row>
    <row r="15" spans="1:34" x14ac:dyDescent="0.3">
      <c r="A15" t="s">
        <v>40</v>
      </c>
      <c r="B15" s="3" t="s">
        <v>252</v>
      </c>
      <c r="C15" t="s">
        <v>34</v>
      </c>
      <c r="D15" s="1">
        <f>D18+D21+D24+D27+D30+D33+D36+D39+D42+D45+D48+D51+D54+D57+D60+D63+D66+D69+D72+D75+D78+D81+D84+D87+D90+D93+D96+D99+D102+D105+D108+D111+D114+D117+D120+D123+D126+D129+D132+D135+D138+D141+D144+D147+D150+D153+D156+D159+D162</f>
        <v>23316659</v>
      </c>
      <c r="E15" s="1">
        <f t="shared" ref="E15:AH15" si="4">E18+E21+E24+E27+E30+E33+E36+E39+E42+E45+E48+E51+E54+E57+E60+E63+E66+E69+E72+E75+E78+E81+E84+E87+E90+E93+E96+E99+E102+E105+E108+E111+E114+E117+E120+E123+E126+E129+E132+E135+E138+E141+E144+E147+E150+E153+E156+E159+E162</f>
        <v>16567709</v>
      </c>
      <c r="F15" s="1">
        <f t="shared" si="4"/>
        <v>2755126</v>
      </c>
      <c r="G15" s="1">
        <f t="shared" si="4"/>
        <v>1197217</v>
      </c>
      <c r="H15" s="1">
        <f t="shared" si="4"/>
        <v>982838</v>
      </c>
      <c r="I15" s="1">
        <f t="shared" si="4"/>
        <v>318831</v>
      </c>
      <c r="J15" s="1">
        <f t="shared" si="4"/>
        <v>483983</v>
      </c>
      <c r="K15" s="1">
        <f t="shared" si="4"/>
        <v>405693</v>
      </c>
      <c r="L15" s="1">
        <f t="shared" si="4"/>
        <v>313977</v>
      </c>
      <c r="M15" s="1">
        <f t="shared" si="4"/>
        <v>112576</v>
      </c>
      <c r="N15" s="1">
        <f t="shared" si="4"/>
        <v>82232</v>
      </c>
      <c r="O15" s="1">
        <f t="shared" si="4"/>
        <v>72596</v>
      </c>
      <c r="P15" s="1">
        <f t="shared" si="4"/>
        <v>181</v>
      </c>
      <c r="Q15" s="1">
        <f t="shared" si="4"/>
        <v>7</v>
      </c>
      <c r="R15" s="1">
        <f t="shared" si="4"/>
        <v>16845</v>
      </c>
      <c r="S15" s="1">
        <f t="shared" si="4"/>
        <v>1027</v>
      </c>
      <c r="T15" s="1">
        <f t="shared" si="4"/>
        <v>13</v>
      </c>
      <c r="U15" s="1">
        <f t="shared" si="4"/>
        <v>1254</v>
      </c>
      <c r="V15" s="1">
        <f t="shared" si="4"/>
        <v>191</v>
      </c>
      <c r="W15" s="1">
        <f t="shared" si="4"/>
        <v>221</v>
      </c>
      <c r="X15" s="1">
        <f t="shared" si="4"/>
        <v>389</v>
      </c>
      <c r="Y15" s="1">
        <f t="shared" si="4"/>
        <v>20</v>
      </c>
      <c r="Z15" s="1">
        <f t="shared" si="4"/>
        <v>344</v>
      </c>
      <c r="AA15" s="1">
        <f t="shared" si="4"/>
        <v>54</v>
      </c>
      <c r="AB15" s="1">
        <f t="shared" si="4"/>
        <v>5</v>
      </c>
      <c r="AC15" s="1">
        <f t="shared" si="4"/>
        <v>2984</v>
      </c>
      <c r="AD15" s="1">
        <f t="shared" si="4"/>
        <v>5</v>
      </c>
      <c r="AE15" s="1">
        <f t="shared" si="4"/>
        <v>12</v>
      </c>
      <c r="AF15" s="1">
        <f t="shared" si="4"/>
        <v>1</v>
      </c>
      <c r="AG15" s="1">
        <f t="shared" si="4"/>
        <v>328</v>
      </c>
      <c r="AH15" s="1">
        <f t="shared" si="4"/>
        <v>0</v>
      </c>
    </row>
    <row r="16" spans="1:34" x14ac:dyDescent="0.3">
      <c r="A16" s="5" t="s">
        <v>40</v>
      </c>
      <c r="B16" s="5" t="s">
        <v>41</v>
      </c>
      <c r="C16" s="5" t="s">
        <v>32</v>
      </c>
      <c r="D16" s="1">
        <v>29706888</v>
      </c>
      <c r="E16" s="1">
        <v>22183503</v>
      </c>
      <c r="F16" s="1">
        <v>4050169</v>
      </c>
      <c r="G16" s="1">
        <v>1050313</v>
      </c>
      <c r="H16" s="1">
        <v>168872</v>
      </c>
      <c r="I16" s="1">
        <v>515117</v>
      </c>
      <c r="J16" s="1">
        <v>901885</v>
      </c>
      <c r="K16" s="1">
        <v>681024</v>
      </c>
      <c r="L16" s="1">
        <v>2993</v>
      </c>
      <c r="M16" s="1">
        <v>51758</v>
      </c>
      <c r="N16">
        <v>746</v>
      </c>
      <c r="O16" s="1">
        <v>12831</v>
      </c>
      <c r="P16" s="1">
        <v>17095</v>
      </c>
      <c r="Q16" s="1">
        <v>2948</v>
      </c>
      <c r="R16" s="1">
        <v>14438</v>
      </c>
      <c r="S16" s="1">
        <v>10458</v>
      </c>
      <c r="T16" s="1">
        <v>7079</v>
      </c>
      <c r="U16" s="1">
        <v>4464</v>
      </c>
      <c r="V16" s="1">
        <v>3300</v>
      </c>
      <c r="W16">
        <v>209</v>
      </c>
      <c r="X16" s="1">
        <v>4423</v>
      </c>
      <c r="Y16" s="1">
        <v>5212</v>
      </c>
      <c r="Z16">
        <v>834</v>
      </c>
      <c r="AA16" s="1">
        <v>4600</v>
      </c>
      <c r="AB16" s="1">
        <v>1685</v>
      </c>
      <c r="AC16" s="1">
        <v>4995</v>
      </c>
      <c r="AD16" s="1">
        <v>1123</v>
      </c>
      <c r="AE16" s="1">
        <v>3468</v>
      </c>
      <c r="AF16">
        <v>128</v>
      </c>
      <c r="AG16" s="1">
        <v>1218</v>
      </c>
      <c r="AH16" s="1">
        <v>0</v>
      </c>
    </row>
    <row r="17" spans="1:34" x14ac:dyDescent="0.3">
      <c r="A17" s="5" t="s">
        <v>40</v>
      </c>
      <c r="B17" s="5" t="s">
        <v>41</v>
      </c>
      <c r="C17" s="5" t="s">
        <v>33</v>
      </c>
      <c r="D17" s="1">
        <v>15914255</v>
      </c>
      <c r="E17" s="1">
        <v>11876561</v>
      </c>
      <c r="F17" s="1">
        <v>2147704</v>
      </c>
      <c r="G17" s="1">
        <v>561406</v>
      </c>
      <c r="H17" s="1">
        <v>88882</v>
      </c>
      <c r="I17" s="1">
        <v>279654</v>
      </c>
      <c r="J17" s="1">
        <v>486662</v>
      </c>
      <c r="K17" s="1">
        <v>343652</v>
      </c>
      <c r="L17" s="1">
        <v>1307</v>
      </c>
      <c r="M17" s="1">
        <v>39042</v>
      </c>
      <c r="N17">
        <v>569</v>
      </c>
      <c r="O17" s="1">
        <v>10746</v>
      </c>
      <c r="P17" s="1">
        <v>17051</v>
      </c>
      <c r="Q17" s="1">
        <v>2948</v>
      </c>
      <c r="R17" s="1">
        <v>9841</v>
      </c>
      <c r="S17" s="1">
        <v>10268</v>
      </c>
      <c r="T17" s="1">
        <v>7074</v>
      </c>
      <c r="U17" s="1">
        <v>3302</v>
      </c>
      <c r="V17" s="1">
        <v>3136</v>
      </c>
      <c r="W17">
        <v>64</v>
      </c>
      <c r="X17" s="1">
        <v>4041</v>
      </c>
      <c r="Y17" s="1">
        <v>5212</v>
      </c>
      <c r="Z17">
        <v>566</v>
      </c>
      <c r="AA17" s="1">
        <v>4550</v>
      </c>
      <c r="AB17" s="1">
        <v>1685</v>
      </c>
      <c r="AC17" s="1">
        <v>2666</v>
      </c>
      <c r="AD17" s="1">
        <v>1121</v>
      </c>
      <c r="AE17" s="1">
        <v>3456</v>
      </c>
      <c r="AF17">
        <v>128</v>
      </c>
      <c r="AG17">
        <v>961</v>
      </c>
      <c r="AH17" s="1">
        <v>0</v>
      </c>
    </row>
    <row r="18" spans="1:34" x14ac:dyDescent="0.3">
      <c r="A18" s="5" t="s">
        <v>40</v>
      </c>
      <c r="B18" s="5" t="s">
        <v>41</v>
      </c>
      <c r="C18" s="5" t="s">
        <v>34</v>
      </c>
      <c r="D18" s="1">
        <v>13792633</v>
      </c>
      <c r="E18" s="1">
        <v>10306942</v>
      </c>
      <c r="F18" s="1">
        <v>1902465</v>
      </c>
      <c r="G18" s="1">
        <v>488907</v>
      </c>
      <c r="H18" s="1">
        <v>79990</v>
      </c>
      <c r="I18" s="1">
        <v>235463</v>
      </c>
      <c r="J18" s="1">
        <v>415223</v>
      </c>
      <c r="K18" s="1">
        <v>337372</v>
      </c>
      <c r="L18" s="1">
        <v>1686</v>
      </c>
      <c r="M18" s="1">
        <v>12716</v>
      </c>
      <c r="N18">
        <v>177</v>
      </c>
      <c r="O18" s="1">
        <v>2085</v>
      </c>
      <c r="P18">
        <v>44</v>
      </c>
      <c r="Q18" s="1">
        <v>0</v>
      </c>
      <c r="R18" s="1">
        <v>4597</v>
      </c>
      <c r="S18">
        <v>190</v>
      </c>
      <c r="T18">
        <v>5</v>
      </c>
      <c r="U18" s="1">
        <v>1162</v>
      </c>
      <c r="V18">
        <v>164</v>
      </c>
      <c r="W18">
        <v>145</v>
      </c>
      <c r="X18">
        <v>382</v>
      </c>
      <c r="Y18" s="1">
        <v>0</v>
      </c>
      <c r="Z18">
        <v>268</v>
      </c>
      <c r="AA18">
        <v>50</v>
      </c>
      <c r="AB18" s="1">
        <v>0</v>
      </c>
      <c r="AC18" s="1">
        <v>2329</v>
      </c>
      <c r="AD18">
        <v>2</v>
      </c>
      <c r="AE18">
        <v>12</v>
      </c>
      <c r="AF18" s="1">
        <v>0</v>
      </c>
      <c r="AG18">
        <v>257</v>
      </c>
      <c r="AH18" s="1">
        <v>0</v>
      </c>
    </row>
    <row r="19" spans="1:34" x14ac:dyDescent="0.3">
      <c r="A19" t="s">
        <v>40</v>
      </c>
      <c r="B19" t="s">
        <v>42</v>
      </c>
      <c r="C19" t="s">
        <v>32</v>
      </c>
      <c r="D19" s="1">
        <v>5515831</v>
      </c>
      <c r="E19" s="1">
        <v>3030700</v>
      </c>
      <c r="F19" s="1">
        <v>164718</v>
      </c>
      <c r="G19" s="1">
        <v>239059</v>
      </c>
      <c r="H19" s="1">
        <v>972775</v>
      </c>
      <c r="I19" s="1">
        <v>54989</v>
      </c>
      <c r="J19" s="1">
        <v>13582</v>
      </c>
      <c r="K19" s="1">
        <v>14433</v>
      </c>
      <c r="L19" s="1">
        <v>505753</v>
      </c>
      <c r="M19" s="1">
        <v>186435</v>
      </c>
      <c r="N19" s="1">
        <v>156814</v>
      </c>
      <c r="O19" s="1">
        <v>131031</v>
      </c>
      <c r="P19" s="1">
        <v>2287</v>
      </c>
      <c r="Q19" s="1">
        <v>2070</v>
      </c>
      <c r="R19" s="1">
        <v>29518</v>
      </c>
      <c r="S19" s="1">
        <v>2211</v>
      </c>
      <c r="T19" s="1">
        <v>1722</v>
      </c>
      <c r="U19" s="1">
        <v>2684</v>
      </c>
      <c r="V19" s="1">
        <v>1332</v>
      </c>
      <c r="W19">
        <v>4</v>
      </c>
      <c r="X19" s="1">
        <v>1095</v>
      </c>
      <c r="Y19">
        <v>424</v>
      </c>
      <c r="Z19">
        <v>61</v>
      </c>
      <c r="AA19">
        <v>110</v>
      </c>
      <c r="AB19">
        <v>614</v>
      </c>
      <c r="AC19">
        <v>7</v>
      </c>
      <c r="AD19">
        <v>310</v>
      </c>
      <c r="AE19">
        <v>59</v>
      </c>
      <c r="AF19" s="1">
        <v>1034</v>
      </c>
      <c r="AG19" s="1">
        <v>0</v>
      </c>
      <c r="AH19" s="1">
        <v>0</v>
      </c>
    </row>
    <row r="20" spans="1:34" x14ac:dyDescent="0.3">
      <c r="A20" t="s">
        <v>40</v>
      </c>
      <c r="B20" t="s">
        <v>42</v>
      </c>
      <c r="C20" t="s">
        <v>33</v>
      </c>
      <c r="D20" s="1">
        <v>1946122</v>
      </c>
      <c r="E20" s="1">
        <v>962575</v>
      </c>
      <c r="F20" s="1">
        <v>67037</v>
      </c>
      <c r="G20" s="1">
        <v>67853</v>
      </c>
      <c r="H20" s="1">
        <v>307271</v>
      </c>
      <c r="I20" s="1">
        <v>33634</v>
      </c>
      <c r="J20" s="1">
        <v>5307</v>
      </c>
      <c r="K20" s="1">
        <v>7379</v>
      </c>
      <c r="L20" s="1">
        <v>231412</v>
      </c>
      <c r="M20" s="1">
        <v>88959</v>
      </c>
      <c r="N20" s="1">
        <v>80913</v>
      </c>
      <c r="O20" s="1">
        <v>60801</v>
      </c>
      <c r="P20" s="1">
        <v>2211</v>
      </c>
      <c r="Q20" s="1">
        <v>2069</v>
      </c>
      <c r="R20" s="1">
        <v>17309</v>
      </c>
      <c r="S20" s="1">
        <v>1973</v>
      </c>
      <c r="T20" s="1">
        <v>1722</v>
      </c>
      <c r="U20" s="1">
        <v>2678</v>
      </c>
      <c r="V20" s="1">
        <v>1314</v>
      </c>
      <c r="W20" s="1">
        <v>0</v>
      </c>
      <c r="X20" s="1">
        <v>1095</v>
      </c>
      <c r="Y20">
        <v>424</v>
      </c>
      <c r="Z20">
        <v>58</v>
      </c>
      <c r="AA20">
        <v>110</v>
      </c>
      <c r="AB20">
        <v>614</v>
      </c>
      <c r="AC20">
        <v>2</v>
      </c>
      <c r="AD20">
        <v>309</v>
      </c>
      <c r="AE20">
        <v>59</v>
      </c>
      <c r="AF20" s="1">
        <v>1034</v>
      </c>
      <c r="AG20" s="1">
        <v>0</v>
      </c>
      <c r="AH20" s="1">
        <v>0</v>
      </c>
    </row>
    <row r="21" spans="1:34" x14ac:dyDescent="0.3">
      <c r="A21" t="s">
        <v>40</v>
      </c>
      <c r="B21" t="s">
        <v>42</v>
      </c>
      <c r="C21" t="s">
        <v>34</v>
      </c>
      <c r="D21" s="1">
        <v>3569709</v>
      </c>
      <c r="E21" s="1">
        <v>2068125</v>
      </c>
      <c r="F21" s="1">
        <v>97681</v>
      </c>
      <c r="G21" s="1">
        <v>171206</v>
      </c>
      <c r="H21" s="1">
        <v>665504</v>
      </c>
      <c r="I21" s="1">
        <v>21355</v>
      </c>
      <c r="J21" s="1">
        <v>8275</v>
      </c>
      <c r="K21" s="1">
        <v>7054</v>
      </c>
      <c r="L21" s="1">
        <v>274341</v>
      </c>
      <c r="M21" s="1">
        <v>97476</v>
      </c>
      <c r="N21" s="1">
        <v>75901</v>
      </c>
      <c r="O21" s="1">
        <v>70230</v>
      </c>
      <c r="P21">
        <v>76</v>
      </c>
      <c r="Q21">
        <v>1</v>
      </c>
      <c r="R21" s="1">
        <v>12209</v>
      </c>
      <c r="S21">
        <v>238</v>
      </c>
      <c r="T21" s="1">
        <v>0</v>
      </c>
      <c r="U21">
        <v>6</v>
      </c>
      <c r="V21">
        <v>18</v>
      </c>
      <c r="W21">
        <v>4</v>
      </c>
      <c r="X21" s="1">
        <v>0</v>
      </c>
      <c r="Y21" s="1">
        <v>0</v>
      </c>
      <c r="Z21">
        <v>3</v>
      </c>
      <c r="AA21">
        <v>0</v>
      </c>
      <c r="AB21" s="1">
        <v>0</v>
      </c>
      <c r="AC21">
        <v>5</v>
      </c>
      <c r="AD21">
        <v>1</v>
      </c>
      <c r="AE21">
        <v>0</v>
      </c>
      <c r="AF21" s="1">
        <v>0</v>
      </c>
      <c r="AG21" s="1">
        <v>0</v>
      </c>
      <c r="AH21" s="1">
        <v>0</v>
      </c>
    </row>
    <row r="22" spans="1:34" x14ac:dyDescent="0.3">
      <c r="A22" t="s">
        <v>40</v>
      </c>
      <c r="B22" t="s">
        <v>43</v>
      </c>
      <c r="C22" t="s">
        <v>32</v>
      </c>
      <c r="D22" s="1">
        <v>3691782</v>
      </c>
      <c r="E22" s="1">
        <v>2429375</v>
      </c>
      <c r="F22" s="1">
        <v>378053</v>
      </c>
      <c r="G22" s="1">
        <v>672788</v>
      </c>
      <c r="H22" s="1">
        <v>29382</v>
      </c>
      <c r="I22" s="1">
        <v>81371</v>
      </c>
      <c r="J22" s="1">
        <v>35259</v>
      </c>
      <c r="K22" s="1">
        <v>17419</v>
      </c>
      <c r="L22" s="1">
        <v>40680</v>
      </c>
      <c r="M22">
        <v>171</v>
      </c>
      <c r="N22" s="1">
        <v>5462</v>
      </c>
      <c r="O22">
        <v>57</v>
      </c>
      <c r="P22">
        <v>103</v>
      </c>
      <c r="Q22">
        <v>84</v>
      </c>
      <c r="R22">
        <v>5</v>
      </c>
      <c r="S22" s="1">
        <v>1180</v>
      </c>
      <c r="T22">
        <v>18</v>
      </c>
      <c r="U22">
        <v>106</v>
      </c>
      <c r="V22">
        <v>39</v>
      </c>
      <c r="W22">
        <v>52</v>
      </c>
      <c r="X22">
        <v>22</v>
      </c>
      <c r="Y22">
        <v>27</v>
      </c>
      <c r="Z22">
        <v>34</v>
      </c>
      <c r="AA22">
        <v>8</v>
      </c>
      <c r="AB22" s="1">
        <v>0</v>
      </c>
      <c r="AC22">
        <v>2</v>
      </c>
      <c r="AD22">
        <v>68</v>
      </c>
      <c r="AE22">
        <v>8</v>
      </c>
      <c r="AF22">
        <v>9</v>
      </c>
      <c r="AG22" s="1">
        <v>0</v>
      </c>
      <c r="AH22" s="1">
        <v>0</v>
      </c>
    </row>
    <row r="23" spans="1:34" x14ac:dyDescent="0.3">
      <c r="A23" t="s">
        <v>40</v>
      </c>
      <c r="B23" t="s">
        <v>43</v>
      </c>
      <c r="C23" t="s">
        <v>33</v>
      </c>
      <c r="D23" s="1">
        <v>1207224</v>
      </c>
      <c r="E23" s="1">
        <v>707805</v>
      </c>
      <c r="F23" s="1">
        <v>153236</v>
      </c>
      <c r="G23" s="1">
        <v>256969</v>
      </c>
      <c r="H23" s="1">
        <v>12873</v>
      </c>
      <c r="I23" s="1">
        <v>35150</v>
      </c>
      <c r="J23" s="1">
        <v>12872</v>
      </c>
      <c r="K23" s="1">
        <v>7876</v>
      </c>
      <c r="L23" s="1">
        <v>16388</v>
      </c>
      <c r="M23">
        <v>129</v>
      </c>
      <c r="N23" s="1">
        <v>2750</v>
      </c>
      <c r="O23">
        <v>57</v>
      </c>
      <c r="P23">
        <v>94</v>
      </c>
      <c r="Q23">
        <v>84</v>
      </c>
      <c r="R23">
        <v>4</v>
      </c>
      <c r="S23">
        <v>632</v>
      </c>
      <c r="T23">
        <v>18</v>
      </c>
      <c r="U23">
        <v>79</v>
      </c>
      <c r="V23">
        <v>39</v>
      </c>
      <c r="W23">
        <v>13</v>
      </c>
      <c r="X23">
        <v>22</v>
      </c>
      <c r="Y23">
        <v>27</v>
      </c>
      <c r="Z23">
        <v>14</v>
      </c>
      <c r="AA23">
        <v>8</v>
      </c>
      <c r="AB23" s="1">
        <v>0</v>
      </c>
      <c r="AC23">
        <v>1</v>
      </c>
      <c r="AD23">
        <v>68</v>
      </c>
      <c r="AE23">
        <v>8</v>
      </c>
      <c r="AF23">
        <v>8</v>
      </c>
      <c r="AG23" s="1">
        <v>0</v>
      </c>
      <c r="AH23" s="1">
        <v>0</v>
      </c>
    </row>
    <row r="24" spans="1:34" x14ac:dyDescent="0.3">
      <c r="A24" t="s">
        <v>40</v>
      </c>
      <c r="B24" t="s">
        <v>43</v>
      </c>
      <c r="C24" t="s">
        <v>34</v>
      </c>
      <c r="D24" s="1">
        <v>2484558</v>
      </c>
      <c r="E24" s="1">
        <v>1721570</v>
      </c>
      <c r="F24" s="1">
        <v>224817</v>
      </c>
      <c r="G24" s="1">
        <v>415819</v>
      </c>
      <c r="H24" s="1">
        <v>16509</v>
      </c>
      <c r="I24" s="1">
        <v>46221</v>
      </c>
      <c r="J24" s="1">
        <v>22387</v>
      </c>
      <c r="K24" s="1">
        <v>9543</v>
      </c>
      <c r="L24" s="1">
        <v>24292</v>
      </c>
      <c r="M24">
        <v>42</v>
      </c>
      <c r="N24" s="1">
        <v>2712</v>
      </c>
      <c r="O24" s="1">
        <v>0</v>
      </c>
      <c r="P24">
        <v>9</v>
      </c>
      <c r="Q24" s="1">
        <v>0</v>
      </c>
      <c r="R24">
        <v>1</v>
      </c>
      <c r="S24">
        <v>548</v>
      </c>
      <c r="T24" s="1">
        <v>0</v>
      </c>
      <c r="U24">
        <v>27</v>
      </c>
      <c r="V24">
        <v>0</v>
      </c>
      <c r="W24">
        <v>39</v>
      </c>
      <c r="X24" s="1">
        <v>0</v>
      </c>
      <c r="Y24">
        <v>0</v>
      </c>
      <c r="Z24">
        <v>20</v>
      </c>
      <c r="AA24">
        <v>0</v>
      </c>
      <c r="AB24" s="1">
        <v>0</v>
      </c>
      <c r="AC24">
        <v>1</v>
      </c>
      <c r="AD24">
        <v>0</v>
      </c>
      <c r="AE24">
        <v>0</v>
      </c>
      <c r="AF24">
        <v>1</v>
      </c>
      <c r="AG24" s="1">
        <v>0</v>
      </c>
      <c r="AH24" s="1">
        <v>0</v>
      </c>
    </row>
    <row r="25" spans="1:34" x14ac:dyDescent="0.3">
      <c r="A25" t="s">
        <v>40</v>
      </c>
      <c r="B25" t="s">
        <v>44</v>
      </c>
      <c r="C25" t="s">
        <v>32</v>
      </c>
      <c r="D25" s="1">
        <v>1914732</v>
      </c>
      <c r="E25" s="1">
        <v>900215</v>
      </c>
      <c r="F25" s="1">
        <v>511391</v>
      </c>
      <c r="G25" s="1">
        <v>147017</v>
      </c>
      <c r="H25" s="1">
        <v>211547</v>
      </c>
      <c r="I25" s="1">
        <v>18140</v>
      </c>
      <c r="J25" s="1">
        <v>41868</v>
      </c>
      <c r="K25" s="1">
        <v>65483</v>
      </c>
      <c r="L25" s="1">
        <v>14936</v>
      </c>
      <c r="M25">
        <v>877</v>
      </c>
      <c r="N25" s="1">
        <v>2471</v>
      </c>
      <c r="O25">
        <v>450</v>
      </c>
      <c r="P25">
        <v>24</v>
      </c>
      <c r="Q25">
        <v>65</v>
      </c>
      <c r="R25">
        <v>10</v>
      </c>
      <c r="S25">
        <v>9</v>
      </c>
      <c r="T25">
        <v>35</v>
      </c>
      <c r="U25">
        <v>16</v>
      </c>
      <c r="V25">
        <v>5</v>
      </c>
      <c r="W25">
        <v>2</v>
      </c>
      <c r="X25">
        <v>121</v>
      </c>
      <c r="Y25">
        <v>1</v>
      </c>
      <c r="Z25">
        <v>14</v>
      </c>
      <c r="AA25">
        <v>16</v>
      </c>
      <c r="AB25">
        <v>17</v>
      </c>
      <c r="AC25">
        <v>2</v>
      </c>
      <c r="AD25">
        <v>0</v>
      </c>
      <c r="AE25">
        <v>0</v>
      </c>
      <c r="AF25">
        <v>0</v>
      </c>
      <c r="AG25" s="1">
        <v>0</v>
      </c>
      <c r="AH25" s="1">
        <v>0</v>
      </c>
    </row>
    <row r="26" spans="1:34" x14ac:dyDescent="0.3">
      <c r="A26" t="s">
        <v>40</v>
      </c>
      <c r="B26" t="s">
        <v>44</v>
      </c>
      <c r="C26" t="s">
        <v>33</v>
      </c>
      <c r="D26" s="1">
        <v>644991</v>
      </c>
      <c r="E26" s="1">
        <v>293263</v>
      </c>
      <c r="F26" s="1">
        <v>181574</v>
      </c>
      <c r="G26" s="1">
        <v>43453</v>
      </c>
      <c r="H26" s="1">
        <v>74612</v>
      </c>
      <c r="I26" s="1">
        <v>7834</v>
      </c>
      <c r="J26" s="1">
        <v>13110</v>
      </c>
      <c r="K26" s="1">
        <v>22329</v>
      </c>
      <c r="L26" s="1">
        <v>6295</v>
      </c>
      <c r="M26">
        <v>671</v>
      </c>
      <c r="N26" s="1">
        <v>1085</v>
      </c>
      <c r="O26">
        <v>446</v>
      </c>
      <c r="P26">
        <v>24</v>
      </c>
      <c r="Q26">
        <v>65</v>
      </c>
      <c r="R26">
        <v>6</v>
      </c>
      <c r="S26">
        <v>7</v>
      </c>
      <c r="T26">
        <v>35</v>
      </c>
      <c r="U26">
        <v>16</v>
      </c>
      <c r="V26">
        <v>5</v>
      </c>
      <c r="W26">
        <v>0</v>
      </c>
      <c r="X26">
        <v>119</v>
      </c>
      <c r="Y26">
        <v>1</v>
      </c>
      <c r="Z26">
        <v>7</v>
      </c>
      <c r="AA26">
        <v>16</v>
      </c>
      <c r="AB26">
        <v>16</v>
      </c>
      <c r="AC26">
        <v>2</v>
      </c>
      <c r="AD26">
        <v>0</v>
      </c>
      <c r="AE26">
        <v>0</v>
      </c>
      <c r="AF26">
        <v>0</v>
      </c>
      <c r="AG26" s="1">
        <v>0</v>
      </c>
      <c r="AH26" s="1">
        <v>0</v>
      </c>
    </row>
    <row r="27" spans="1:34" x14ac:dyDescent="0.3">
      <c r="A27" t="s">
        <v>40</v>
      </c>
      <c r="B27" t="s">
        <v>44</v>
      </c>
      <c r="C27" t="s">
        <v>34</v>
      </c>
      <c r="D27" s="1">
        <v>1269741</v>
      </c>
      <c r="E27" s="1">
        <v>606952</v>
      </c>
      <c r="F27" s="1">
        <v>329817</v>
      </c>
      <c r="G27" s="1">
        <v>103564</v>
      </c>
      <c r="H27" s="1">
        <v>136935</v>
      </c>
      <c r="I27" s="1">
        <v>10306</v>
      </c>
      <c r="J27" s="1">
        <v>28758</v>
      </c>
      <c r="K27" s="1">
        <v>43154</v>
      </c>
      <c r="L27" s="1">
        <v>8641</v>
      </c>
      <c r="M27">
        <v>206</v>
      </c>
      <c r="N27" s="1">
        <v>1386</v>
      </c>
      <c r="O27">
        <v>4</v>
      </c>
      <c r="P27" s="1">
        <v>0</v>
      </c>
      <c r="Q27">
        <v>0</v>
      </c>
      <c r="R27">
        <v>4</v>
      </c>
      <c r="S27">
        <v>2</v>
      </c>
      <c r="T27">
        <v>0</v>
      </c>
      <c r="U27">
        <v>0</v>
      </c>
      <c r="V27">
        <v>0</v>
      </c>
      <c r="W27">
        <v>2</v>
      </c>
      <c r="X27">
        <v>2</v>
      </c>
      <c r="Y27">
        <v>0</v>
      </c>
      <c r="Z27">
        <v>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 s="1">
        <v>0</v>
      </c>
      <c r="AH27" s="1">
        <v>0</v>
      </c>
    </row>
    <row r="28" spans="1:34" x14ac:dyDescent="0.3">
      <c r="A28" t="s">
        <v>40</v>
      </c>
      <c r="B28" t="s">
        <v>45</v>
      </c>
      <c r="C28" t="s">
        <v>32</v>
      </c>
      <c r="D28" s="1">
        <v>630493</v>
      </c>
      <c r="E28" s="1">
        <v>454095</v>
      </c>
      <c r="F28" s="1">
        <v>160980</v>
      </c>
      <c r="G28">
        <v>855</v>
      </c>
      <c r="H28" s="1">
        <v>3501</v>
      </c>
      <c r="I28">
        <v>773</v>
      </c>
      <c r="J28" s="1">
        <v>1383</v>
      </c>
      <c r="K28" s="1">
        <v>2402</v>
      </c>
      <c r="L28" s="1">
        <v>1598</v>
      </c>
      <c r="M28">
        <v>345</v>
      </c>
      <c r="N28">
        <v>864</v>
      </c>
      <c r="O28">
        <v>90</v>
      </c>
      <c r="P28">
        <v>440</v>
      </c>
      <c r="Q28">
        <v>533</v>
      </c>
      <c r="R28">
        <v>253</v>
      </c>
      <c r="S28">
        <v>501</v>
      </c>
      <c r="T28">
        <v>168</v>
      </c>
      <c r="U28">
        <v>524</v>
      </c>
      <c r="V28">
        <v>207</v>
      </c>
      <c r="W28">
        <v>1</v>
      </c>
      <c r="X28">
        <v>202</v>
      </c>
      <c r="Y28">
        <v>110</v>
      </c>
      <c r="Z28">
        <v>71</v>
      </c>
      <c r="AA28">
        <v>11</v>
      </c>
      <c r="AB28">
        <v>96</v>
      </c>
      <c r="AC28">
        <v>1</v>
      </c>
      <c r="AD28">
        <v>87</v>
      </c>
      <c r="AE28">
        <v>0</v>
      </c>
      <c r="AF28">
        <v>165</v>
      </c>
      <c r="AG28">
        <v>237</v>
      </c>
      <c r="AH28" s="1">
        <v>0</v>
      </c>
    </row>
    <row r="29" spans="1:34" x14ac:dyDescent="0.3">
      <c r="A29" t="s">
        <v>40</v>
      </c>
      <c r="B29" t="s">
        <v>45</v>
      </c>
      <c r="C29" t="s">
        <v>33</v>
      </c>
      <c r="D29" s="1">
        <v>316856</v>
      </c>
      <c r="E29" s="1">
        <v>217370</v>
      </c>
      <c r="F29" s="1">
        <v>88739</v>
      </c>
      <c r="G29">
        <v>328</v>
      </c>
      <c r="H29" s="1">
        <v>1228</v>
      </c>
      <c r="I29">
        <v>729</v>
      </c>
      <c r="J29">
        <v>580</v>
      </c>
      <c r="K29" s="1">
        <v>1593</v>
      </c>
      <c r="L29" s="1">
        <v>1456</v>
      </c>
      <c r="M29">
        <v>329</v>
      </c>
      <c r="N29">
        <v>851</v>
      </c>
      <c r="O29">
        <v>90</v>
      </c>
      <c r="P29">
        <v>440</v>
      </c>
      <c r="Q29">
        <v>533</v>
      </c>
      <c r="R29">
        <v>252</v>
      </c>
      <c r="S29">
        <v>500</v>
      </c>
      <c r="T29">
        <v>168</v>
      </c>
      <c r="U29">
        <v>524</v>
      </c>
      <c r="V29">
        <v>207</v>
      </c>
      <c r="W29">
        <v>0</v>
      </c>
      <c r="X29">
        <v>202</v>
      </c>
      <c r="Y29">
        <v>110</v>
      </c>
      <c r="Z29">
        <v>71</v>
      </c>
      <c r="AA29">
        <v>11</v>
      </c>
      <c r="AB29">
        <v>96</v>
      </c>
      <c r="AC29">
        <v>0</v>
      </c>
      <c r="AD29">
        <v>87</v>
      </c>
      <c r="AE29">
        <v>0</v>
      </c>
      <c r="AF29">
        <v>165</v>
      </c>
      <c r="AG29">
        <v>197</v>
      </c>
      <c r="AH29" s="1">
        <v>0</v>
      </c>
    </row>
    <row r="30" spans="1:34" x14ac:dyDescent="0.3">
      <c r="A30" t="s">
        <v>40</v>
      </c>
      <c r="B30" t="s">
        <v>45</v>
      </c>
      <c r="C30" t="s">
        <v>34</v>
      </c>
      <c r="D30" s="1">
        <v>313637</v>
      </c>
      <c r="E30" s="1">
        <v>236725</v>
      </c>
      <c r="F30" s="1">
        <v>72241</v>
      </c>
      <c r="G30">
        <v>527</v>
      </c>
      <c r="H30" s="1">
        <v>2273</v>
      </c>
      <c r="I30">
        <v>44</v>
      </c>
      <c r="J30">
        <v>803</v>
      </c>
      <c r="K30">
        <v>809</v>
      </c>
      <c r="L30">
        <v>142</v>
      </c>
      <c r="M30">
        <v>16</v>
      </c>
      <c r="N30">
        <v>13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40</v>
      </c>
      <c r="AH30" s="1">
        <v>0</v>
      </c>
    </row>
    <row r="31" spans="1:34" x14ac:dyDescent="0.3">
      <c r="A31" t="s">
        <v>40</v>
      </c>
      <c r="B31" t="s">
        <v>46</v>
      </c>
      <c r="C31" t="s">
        <v>32</v>
      </c>
      <c r="D31" s="1">
        <v>629772</v>
      </c>
      <c r="E31" s="1">
        <v>333624</v>
      </c>
      <c r="F31" s="1">
        <v>34872</v>
      </c>
      <c r="G31">
        <v>884</v>
      </c>
      <c r="H31" s="1">
        <v>9370</v>
      </c>
      <c r="I31" s="1">
        <v>92374</v>
      </c>
      <c r="J31">
        <v>751</v>
      </c>
      <c r="K31">
        <v>356</v>
      </c>
      <c r="L31" s="1">
        <v>34382</v>
      </c>
      <c r="M31" s="1">
        <v>21029</v>
      </c>
      <c r="N31" s="1">
        <v>27627</v>
      </c>
      <c r="O31" s="1">
        <v>6426</v>
      </c>
      <c r="P31" s="1">
        <v>15632</v>
      </c>
      <c r="Q31" s="1">
        <v>4712</v>
      </c>
      <c r="R31" s="1">
        <v>3371</v>
      </c>
      <c r="S31" s="1">
        <v>9606</v>
      </c>
      <c r="T31" s="1">
        <v>10606</v>
      </c>
      <c r="U31" s="1">
        <v>3645</v>
      </c>
      <c r="V31" s="1">
        <v>4702</v>
      </c>
      <c r="W31">
        <v>21</v>
      </c>
      <c r="X31" s="1">
        <v>5430</v>
      </c>
      <c r="Y31" s="1">
        <v>2913</v>
      </c>
      <c r="Z31" s="1">
        <v>1080</v>
      </c>
      <c r="AA31">
        <v>432</v>
      </c>
      <c r="AB31" s="1">
        <v>1989</v>
      </c>
      <c r="AC31" s="1">
        <v>1008</v>
      </c>
      <c r="AD31" s="1">
        <v>1778</v>
      </c>
      <c r="AE31">
        <v>194</v>
      </c>
      <c r="AF31">
        <v>942</v>
      </c>
      <c r="AG31">
        <v>16</v>
      </c>
      <c r="AH31" s="1">
        <v>0</v>
      </c>
    </row>
    <row r="32" spans="1:34" x14ac:dyDescent="0.3">
      <c r="A32" t="s">
        <v>40</v>
      </c>
      <c r="B32" t="s">
        <v>46</v>
      </c>
      <c r="C32" t="s">
        <v>33</v>
      </c>
      <c r="D32" s="1">
        <v>418109</v>
      </c>
      <c r="E32" s="1">
        <v>142938</v>
      </c>
      <c r="F32" s="1">
        <v>24165</v>
      </c>
      <c r="G32">
        <v>328</v>
      </c>
      <c r="H32" s="1">
        <v>2990</v>
      </c>
      <c r="I32" s="1">
        <v>91599</v>
      </c>
      <c r="J32">
        <v>261</v>
      </c>
      <c r="K32">
        <v>138</v>
      </c>
      <c r="L32" s="1">
        <v>33555</v>
      </c>
      <c r="M32" s="1">
        <v>20891</v>
      </c>
      <c r="N32" s="1">
        <v>27444</v>
      </c>
      <c r="O32" s="1">
        <v>6423</v>
      </c>
      <c r="P32" s="1">
        <v>15612</v>
      </c>
      <c r="Q32" s="1">
        <v>4707</v>
      </c>
      <c r="R32" s="1">
        <v>3366</v>
      </c>
      <c r="S32" s="1">
        <v>9589</v>
      </c>
      <c r="T32" s="1">
        <v>10605</v>
      </c>
      <c r="U32" s="1">
        <v>3640</v>
      </c>
      <c r="V32" s="1">
        <v>4699</v>
      </c>
      <c r="W32">
        <v>1</v>
      </c>
      <c r="X32" s="1">
        <v>5429</v>
      </c>
      <c r="Y32" s="1">
        <v>2908</v>
      </c>
      <c r="Z32" s="1">
        <v>1077</v>
      </c>
      <c r="AA32">
        <v>431</v>
      </c>
      <c r="AB32" s="1">
        <v>1988</v>
      </c>
      <c r="AC32">
        <v>409</v>
      </c>
      <c r="AD32" s="1">
        <v>1778</v>
      </c>
      <c r="AE32">
        <v>194</v>
      </c>
      <c r="AF32">
        <v>942</v>
      </c>
      <c r="AG32">
        <v>2</v>
      </c>
      <c r="AH32" s="1">
        <v>0</v>
      </c>
    </row>
    <row r="33" spans="1:34" x14ac:dyDescent="0.3">
      <c r="A33" t="s">
        <v>40</v>
      </c>
      <c r="B33" t="s">
        <v>46</v>
      </c>
      <c r="C33" t="s">
        <v>34</v>
      </c>
      <c r="D33" s="1">
        <v>211663</v>
      </c>
      <c r="E33" s="1">
        <v>190686</v>
      </c>
      <c r="F33" s="1">
        <v>10707</v>
      </c>
      <c r="G33">
        <v>556</v>
      </c>
      <c r="H33" s="1">
        <v>6380</v>
      </c>
      <c r="I33">
        <v>775</v>
      </c>
      <c r="J33">
        <v>490</v>
      </c>
      <c r="K33">
        <v>218</v>
      </c>
      <c r="L33">
        <v>827</v>
      </c>
      <c r="M33">
        <v>138</v>
      </c>
      <c r="N33">
        <v>183</v>
      </c>
      <c r="O33">
        <v>3</v>
      </c>
      <c r="P33">
        <v>20</v>
      </c>
      <c r="Q33">
        <v>5</v>
      </c>
      <c r="R33">
        <v>5</v>
      </c>
      <c r="S33">
        <v>17</v>
      </c>
      <c r="T33">
        <v>1</v>
      </c>
      <c r="U33">
        <v>5</v>
      </c>
      <c r="V33">
        <v>3</v>
      </c>
      <c r="W33">
        <v>20</v>
      </c>
      <c r="X33">
        <v>1</v>
      </c>
      <c r="Y33">
        <v>5</v>
      </c>
      <c r="Z33">
        <v>3</v>
      </c>
      <c r="AA33">
        <v>1</v>
      </c>
      <c r="AB33">
        <v>1</v>
      </c>
      <c r="AC33">
        <v>599</v>
      </c>
      <c r="AD33">
        <v>0</v>
      </c>
      <c r="AE33">
        <v>0</v>
      </c>
      <c r="AF33">
        <v>0</v>
      </c>
      <c r="AG33">
        <v>14</v>
      </c>
      <c r="AH33" s="1">
        <v>0</v>
      </c>
    </row>
    <row r="34" spans="1:34" x14ac:dyDescent="0.3">
      <c r="A34" t="s">
        <v>40</v>
      </c>
      <c r="B34" t="s">
        <v>47</v>
      </c>
      <c r="C34" t="s">
        <v>32</v>
      </c>
      <c r="D34" s="1">
        <v>620521</v>
      </c>
      <c r="E34" s="1">
        <v>503584</v>
      </c>
      <c r="F34" s="1">
        <v>58512</v>
      </c>
      <c r="G34" s="1">
        <v>4419</v>
      </c>
      <c r="H34" s="1">
        <v>44480</v>
      </c>
      <c r="I34" s="1">
        <v>1788</v>
      </c>
      <c r="J34" s="1">
        <v>1542</v>
      </c>
      <c r="K34" s="1">
        <v>3376</v>
      </c>
      <c r="L34" s="1">
        <v>2313</v>
      </c>
      <c r="M34">
        <v>125</v>
      </c>
      <c r="N34">
        <v>341</v>
      </c>
      <c r="O34">
        <v>7</v>
      </c>
      <c r="P34">
        <v>9</v>
      </c>
      <c r="Q34">
        <v>0</v>
      </c>
      <c r="R34">
        <v>0</v>
      </c>
      <c r="S34">
        <v>3</v>
      </c>
      <c r="T34">
        <v>2</v>
      </c>
      <c r="U34">
        <v>2</v>
      </c>
      <c r="V34">
        <v>7</v>
      </c>
      <c r="W34">
        <v>0</v>
      </c>
      <c r="X34">
        <v>3</v>
      </c>
      <c r="Y34">
        <v>1</v>
      </c>
      <c r="Z34">
        <v>7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s="1">
        <v>0</v>
      </c>
    </row>
    <row r="35" spans="1:34" x14ac:dyDescent="0.3">
      <c r="A35" t="s">
        <v>40</v>
      </c>
      <c r="B35" t="s">
        <v>47</v>
      </c>
      <c r="C35" t="s">
        <v>33</v>
      </c>
      <c r="D35" s="1">
        <v>193048</v>
      </c>
      <c r="E35" s="1">
        <v>151663</v>
      </c>
      <c r="F35" s="1">
        <v>19249</v>
      </c>
      <c r="G35" s="1">
        <v>1764</v>
      </c>
      <c r="H35" s="1">
        <v>16797</v>
      </c>
      <c r="I35">
        <v>798</v>
      </c>
      <c r="J35">
        <v>390</v>
      </c>
      <c r="K35" s="1">
        <v>1071</v>
      </c>
      <c r="L35" s="1">
        <v>1014</v>
      </c>
      <c r="M35">
        <v>65</v>
      </c>
      <c r="N35">
        <v>213</v>
      </c>
      <c r="O35">
        <v>3</v>
      </c>
      <c r="P35">
        <v>6</v>
      </c>
      <c r="Q35">
        <v>0</v>
      </c>
      <c r="R35">
        <v>0</v>
      </c>
      <c r="S35">
        <v>3</v>
      </c>
      <c r="T35">
        <v>2</v>
      </c>
      <c r="U35">
        <v>2</v>
      </c>
      <c r="V35">
        <v>3</v>
      </c>
      <c r="W35">
        <v>0</v>
      </c>
      <c r="X35">
        <v>2</v>
      </c>
      <c r="Y35">
        <v>1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s="1">
        <v>0</v>
      </c>
    </row>
    <row r="36" spans="1:34" x14ac:dyDescent="0.3">
      <c r="A36" t="s">
        <v>40</v>
      </c>
      <c r="B36" t="s">
        <v>47</v>
      </c>
      <c r="C36" t="s">
        <v>34</v>
      </c>
      <c r="D36" s="1">
        <v>427473</v>
      </c>
      <c r="E36" s="1">
        <v>351921</v>
      </c>
      <c r="F36" s="1">
        <v>39263</v>
      </c>
      <c r="G36" s="1">
        <v>2655</v>
      </c>
      <c r="H36" s="1">
        <v>27683</v>
      </c>
      <c r="I36">
        <v>990</v>
      </c>
      <c r="J36" s="1">
        <v>1152</v>
      </c>
      <c r="K36" s="1">
        <v>2305</v>
      </c>
      <c r="L36" s="1">
        <v>1299</v>
      </c>
      <c r="M36">
        <v>60</v>
      </c>
      <c r="N36">
        <v>128</v>
      </c>
      <c r="O36">
        <v>4</v>
      </c>
      <c r="P36">
        <v>3</v>
      </c>
      <c r="Q36">
        <v>0</v>
      </c>
      <c r="R36">
        <v>0</v>
      </c>
      <c r="S36">
        <v>0</v>
      </c>
      <c r="T36">
        <v>0</v>
      </c>
      <c r="U36">
        <v>0</v>
      </c>
      <c r="V36">
        <v>4</v>
      </c>
      <c r="W36">
        <v>0</v>
      </c>
      <c r="X36">
        <v>1</v>
      </c>
      <c r="Y36">
        <v>0</v>
      </c>
      <c r="Z36">
        <v>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s="1">
        <v>0</v>
      </c>
    </row>
    <row r="37" spans="1:34" x14ac:dyDescent="0.3">
      <c r="A37" t="s">
        <v>40</v>
      </c>
      <c r="B37" t="s">
        <v>48</v>
      </c>
      <c r="C37" t="s">
        <v>32</v>
      </c>
      <c r="D37" s="1">
        <v>400915</v>
      </c>
      <c r="E37" s="1">
        <v>326275</v>
      </c>
      <c r="F37" s="1">
        <v>25180</v>
      </c>
      <c r="G37" s="1">
        <v>3561</v>
      </c>
      <c r="H37" s="1">
        <v>42183</v>
      </c>
      <c r="I37" s="1">
        <v>1602</v>
      </c>
      <c r="J37">
        <v>40</v>
      </c>
      <c r="K37">
        <v>200</v>
      </c>
      <c r="L37" s="1">
        <v>1220</v>
      </c>
      <c r="M37">
        <v>286</v>
      </c>
      <c r="N37">
        <v>265</v>
      </c>
      <c r="O37">
        <v>13</v>
      </c>
      <c r="P37">
        <v>45</v>
      </c>
      <c r="Q37">
        <v>1</v>
      </c>
      <c r="R37">
        <v>1</v>
      </c>
      <c r="S37">
        <v>9</v>
      </c>
      <c r="T37">
        <v>6</v>
      </c>
      <c r="U37">
        <v>4</v>
      </c>
      <c r="V37">
        <v>1</v>
      </c>
      <c r="W37">
        <v>0</v>
      </c>
      <c r="X37">
        <v>4</v>
      </c>
      <c r="Y37">
        <v>7</v>
      </c>
      <c r="Z37">
        <v>2</v>
      </c>
      <c r="AA37">
        <v>4</v>
      </c>
      <c r="AB37">
        <v>0</v>
      </c>
      <c r="AC37">
        <v>0</v>
      </c>
      <c r="AD37">
        <v>2</v>
      </c>
      <c r="AE37">
        <v>3</v>
      </c>
      <c r="AF37">
        <v>0</v>
      </c>
      <c r="AG37">
        <v>1</v>
      </c>
      <c r="AH37" s="1">
        <v>0</v>
      </c>
    </row>
    <row r="38" spans="1:34" x14ac:dyDescent="0.3">
      <c r="A38" t="s">
        <v>40</v>
      </c>
      <c r="B38" t="s">
        <v>48</v>
      </c>
      <c r="C38" t="s">
        <v>33</v>
      </c>
      <c r="D38" s="1">
        <v>170965</v>
      </c>
      <c r="E38" s="1">
        <v>137186</v>
      </c>
      <c r="F38" s="1">
        <v>11712</v>
      </c>
      <c r="G38" s="1">
        <v>1773</v>
      </c>
      <c r="H38" s="1">
        <v>18501</v>
      </c>
      <c r="I38">
        <v>755</v>
      </c>
      <c r="J38">
        <v>21</v>
      </c>
      <c r="K38">
        <v>105</v>
      </c>
      <c r="L38">
        <v>550</v>
      </c>
      <c r="M38">
        <v>124</v>
      </c>
      <c r="N38">
        <v>142</v>
      </c>
      <c r="O38">
        <v>11</v>
      </c>
      <c r="P38">
        <v>44</v>
      </c>
      <c r="Q38">
        <v>1</v>
      </c>
      <c r="R38">
        <v>1</v>
      </c>
      <c r="S38">
        <v>7</v>
      </c>
      <c r="T38">
        <v>6</v>
      </c>
      <c r="U38">
        <v>4</v>
      </c>
      <c r="V38">
        <v>1</v>
      </c>
      <c r="W38">
        <v>0</v>
      </c>
      <c r="X38">
        <v>4</v>
      </c>
      <c r="Y38">
        <v>7</v>
      </c>
      <c r="Z38">
        <v>1</v>
      </c>
      <c r="AA38">
        <v>3</v>
      </c>
      <c r="AB38">
        <v>0</v>
      </c>
      <c r="AC38">
        <v>0</v>
      </c>
      <c r="AD38">
        <v>2</v>
      </c>
      <c r="AE38">
        <v>3</v>
      </c>
      <c r="AF38">
        <v>0</v>
      </c>
      <c r="AG38">
        <v>1</v>
      </c>
      <c r="AH38" s="1">
        <v>0</v>
      </c>
    </row>
    <row r="39" spans="1:34" x14ac:dyDescent="0.3">
      <c r="A39" t="s">
        <v>40</v>
      </c>
      <c r="B39" t="s">
        <v>48</v>
      </c>
      <c r="C39" t="s">
        <v>34</v>
      </c>
      <c r="D39" s="1">
        <v>229950</v>
      </c>
      <c r="E39" s="1">
        <v>189089</v>
      </c>
      <c r="F39" s="1">
        <v>13468</v>
      </c>
      <c r="G39" s="1">
        <v>1788</v>
      </c>
      <c r="H39" s="1">
        <v>23682</v>
      </c>
      <c r="I39">
        <v>847</v>
      </c>
      <c r="J39">
        <v>19</v>
      </c>
      <c r="K39">
        <v>95</v>
      </c>
      <c r="L39">
        <v>670</v>
      </c>
      <c r="M39">
        <v>162</v>
      </c>
      <c r="N39">
        <v>123</v>
      </c>
      <c r="O39">
        <v>2</v>
      </c>
      <c r="P39">
        <v>1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s="1">
        <v>0</v>
      </c>
    </row>
    <row r="40" spans="1:34" x14ac:dyDescent="0.3">
      <c r="A40" t="s">
        <v>40</v>
      </c>
      <c r="B40" t="s">
        <v>49</v>
      </c>
      <c r="C40" t="s">
        <v>32</v>
      </c>
      <c r="D40" s="1">
        <v>368863</v>
      </c>
      <c r="E40" s="1">
        <v>218501</v>
      </c>
      <c r="F40" s="1">
        <v>16868</v>
      </c>
      <c r="G40" s="1">
        <v>1543</v>
      </c>
      <c r="H40" s="1">
        <v>5020</v>
      </c>
      <c r="I40" s="1">
        <v>32789</v>
      </c>
      <c r="J40">
        <v>165</v>
      </c>
      <c r="K40">
        <v>143</v>
      </c>
      <c r="L40" s="1">
        <v>35792</v>
      </c>
      <c r="M40" s="1">
        <v>6650</v>
      </c>
      <c r="N40" s="1">
        <v>21600</v>
      </c>
      <c r="O40">
        <v>294</v>
      </c>
      <c r="P40" s="1">
        <v>3695</v>
      </c>
      <c r="Q40" s="1">
        <v>10680</v>
      </c>
      <c r="R40">
        <v>196</v>
      </c>
      <c r="S40" s="1">
        <v>2852</v>
      </c>
      <c r="T40" s="1">
        <v>3819</v>
      </c>
      <c r="U40">
        <v>773</v>
      </c>
      <c r="V40" s="1">
        <v>2100</v>
      </c>
      <c r="W40">
        <v>1</v>
      </c>
      <c r="X40">
        <v>714</v>
      </c>
      <c r="Y40" s="1">
        <v>1414</v>
      </c>
      <c r="Z40">
        <v>384</v>
      </c>
      <c r="AA40">
        <v>614</v>
      </c>
      <c r="AB40">
        <v>706</v>
      </c>
      <c r="AC40">
        <v>0</v>
      </c>
      <c r="AD40">
        <v>569</v>
      </c>
      <c r="AE40">
        <v>363</v>
      </c>
      <c r="AF40">
        <v>618</v>
      </c>
      <c r="AG40">
        <v>0</v>
      </c>
      <c r="AH40" s="1">
        <v>0</v>
      </c>
    </row>
    <row r="41" spans="1:34" x14ac:dyDescent="0.3">
      <c r="A41" t="s">
        <v>40</v>
      </c>
      <c r="B41" t="s">
        <v>49</v>
      </c>
      <c r="C41" t="s">
        <v>33</v>
      </c>
      <c r="D41" s="1">
        <v>243680</v>
      </c>
      <c r="E41" s="1">
        <v>101845</v>
      </c>
      <c r="F41" s="1">
        <v>12939</v>
      </c>
      <c r="G41">
        <v>676</v>
      </c>
      <c r="H41" s="1">
        <v>2119</v>
      </c>
      <c r="I41" s="1">
        <v>32584</v>
      </c>
      <c r="J41">
        <v>75</v>
      </c>
      <c r="K41">
        <v>83</v>
      </c>
      <c r="L41" s="1">
        <v>35375</v>
      </c>
      <c r="M41" s="1">
        <v>6626</v>
      </c>
      <c r="N41" s="1">
        <v>21572</v>
      </c>
      <c r="O41">
        <v>294</v>
      </c>
      <c r="P41" s="1">
        <v>3692</v>
      </c>
      <c r="Q41" s="1">
        <v>10680</v>
      </c>
      <c r="R41">
        <v>196</v>
      </c>
      <c r="S41" s="1">
        <v>2852</v>
      </c>
      <c r="T41" s="1">
        <v>3818</v>
      </c>
      <c r="U41">
        <v>773</v>
      </c>
      <c r="V41" s="1">
        <v>2100</v>
      </c>
      <c r="W41" s="1">
        <v>0</v>
      </c>
      <c r="X41">
        <v>714</v>
      </c>
      <c r="Y41" s="1">
        <v>1414</v>
      </c>
      <c r="Z41">
        <v>383</v>
      </c>
      <c r="AA41">
        <v>614</v>
      </c>
      <c r="AB41">
        <v>706</v>
      </c>
      <c r="AC41">
        <v>0</v>
      </c>
      <c r="AD41">
        <v>569</v>
      </c>
      <c r="AE41">
        <v>363</v>
      </c>
      <c r="AF41">
        <v>618</v>
      </c>
      <c r="AG41">
        <v>0</v>
      </c>
      <c r="AH41" s="1">
        <v>0</v>
      </c>
    </row>
    <row r="42" spans="1:34" x14ac:dyDescent="0.3">
      <c r="A42" t="s">
        <v>40</v>
      </c>
      <c r="B42" t="s">
        <v>49</v>
      </c>
      <c r="C42" t="s">
        <v>34</v>
      </c>
      <c r="D42" s="1">
        <v>125183</v>
      </c>
      <c r="E42" s="1">
        <v>116656</v>
      </c>
      <c r="F42" s="1">
        <v>3929</v>
      </c>
      <c r="G42">
        <v>867</v>
      </c>
      <c r="H42" s="1">
        <v>2901</v>
      </c>
      <c r="I42">
        <v>205</v>
      </c>
      <c r="J42">
        <v>90</v>
      </c>
      <c r="K42">
        <v>60</v>
      </c>
      <c r="L42">
        <v>417</v>
      </c>
      <c r="M42">
        <v>24</v>
      </c>
      <c r="N42">
        <v>28</v>
      </c>
      <c r="O42">
        <v>0</v>
      </c>
      <c r="P42">
        <v>3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s="1">
        <v>0</v>
      </c>
    </row>
    <row r="43" spans="1:34" x14ac:dyDescent="0.3">
      <c r="A43" t="s">
        <v>40</v>
      </c>
      <c r="B43" t="s">
        <v>50</v>
      </c>
      <c r="C43" t="s">
        <v>32</v>
      </c>
      <c r="D43" s="1">
        <v>350693</v>
      </c>
      <c r="E43" s="1">
        <v>288988</v>
      </c>
      <c r="F43" s="1">
        <v>43070</v>
      </c>
      <c r="G43" s="1">
        <v>1535</v>
      </c>
      <c r="H43" s="1">
        <v>8797</v>
      </c>
      <c r="I43" s="1">
        <v>1875</v>
      </c>
      <c r="J43">
        <v>273</v>
      </c>
      <c r="K43" s="1">
        <v>4087</v>
      </c>
      <c r="L43">
        <v>623</v>
      </c>
      <c r="M43">
        <v>364</v>
      </c>
      <c r="N43">
        <v>188</v>
      </c>
      <c r="O43">
        <v>28</v>
      </c>
      <c r="P43">
        <v>73</v>
      </c>
      <c r="Q43">
        <v>86</v>
      </c>
      <c r="R43">
        <v>45</v>
      </c>
      <c r="S43">
        <v>74</v>
      </c>
      <c r="T43">
        <v>177</v>
      </c>
      <c r="U43">
        <v>24</v>
      </c>
      <c r="V43">
        <v>99</v>
      </c>
      <c r="W43">
        <v>170</v>
      </c>
      <c r="X43">
        <v>80</v>
      </c>
      <c r="Y43">
        <v>0</v>
      </c>
      <c r="Z43">
        <v>19</v>
      </c>
      <c r="AA43">
        <v>0</v>
      </c>
      <c r="AB43">
        <v>5</v>
      </c>
      <c r="AC43">
        <v>0</v>
      </c>
      <c r="AD43">
        <v>0</v>
      </c>
      <c r="AE43">
        <v>0</v>
      </c>
      <c r="AF43">
        <v>11</v>
      </c>
      <c r="AG43">
        <v>2</v>
      </c>
      <c r="AH43" s="1">
        <v>0</v>
      </c>
    </row>
    <row r="44" spans="1:34" x14ac:dyDescent="0.3">
      <c r="A44" t="s">
        <v>40</v>
      </c>
      <c r="B44" t="s">
        <v>50</v>
      </c>
      <c r="C44" t="s">
        <v>33</v>
      </c>
      <c r="D44" s="1">
        <v>139687</v>
      </c>
      <c r="E44" s="1">
        <v>117380</v>
      </c>
      <c r="F44" s="1">
        <v>14704</v>
      </c>
      <c r="G44">
        <v>631</v>
      </c>
      <c r="H44" s="1">
        <v>2763</v>
      </c>
      <c r="I44" s="1">
        <v>1441</v>
      </c>
      <c r="J44">
        <v>31</v>
      </c>
      <c r="K44">
        <v>889</v>
      </c>
      <c r="L44">
        <v>464</v>
      </c>
      <c r="M44">
        <v>342</v>
      </c>
      <c r="N44">
        <v>159</v>
      </c>
      <c r="O44">
        <v>26</v>
      </c>
      <c r="P44">
        <v>73</v>
      </c>
      <c r="Q44">
        <v>86</v>
      </c>
      <c r="R44">
        <v>44</v>
      </c>
      <c r="S44">
        <v>74</v>
      </c>
      <c r="T44">
        <v>177</v>
      </c>
      <c r="U44">
        <v>24</v>
      </c>
      <c r="V44">
        <v>99</v>
      </c>
      <c r="W44">
        <v>166</v>
      </c>
      <c r="X44">
        <v>79</v>
      </c>
      <c r="Y44">
        <v>0</v>
      </c>
      <c r="Z44">
        <v>17</v>
      </c>
      <c r="AA44">
        <v>0</v>
      </c>
      <c r="AB44">
        <v>5</v>
      </c>
      <c r="AC44">
        <v>0</v>
      </c>
      <c r="AD44">
        <v>0</v>
      </c>
      <c r="AE44">
        <v>0</v>
      </c>
      <c r="AF44">
        <v>11</v>
      </c>
      <c r="AG44">
        <v>2</v>
      </c>
      <c r="AH44" s="1">
        <v>0</v>
      </c>
    </row>
    <row r="45" spans="1:34" x14ac:dyDescent="0.3">
      <c r="A45" t="s">
        <v>40</v>
      </c>
      <c r="B45" t="s">
        <v>50</v>
      </c>
      <c r="C45" t="s">
        <v>34</v>
      </c>
      <c r="D45" s="1">
        <v>211006</v>
      </c>
      <c r="E45" s="1">
        <v>171608</v>
      </c>
      <c r="F45" s="1">
        <v>28366</v>
      </c>
      <c r="G45">
        <v>904</v>
      </c>
      <c r="H45" s="1">
        <v>6034</v>
      </c>
      <c r="I45">
        <v>434</v>
      </c>
      <c r="J45">
        <v>242</v>
      </c>
      <c r="K45" s="1">
        <v>3198</v>
      </c>
      <c r="L45">
        <v>159</v>
      </c>
      <c r="M45">
        <v>22</v>
      </c>
      <c r="N45">
        <v>29</v>
      </c>
      <c r="O45">
        <v>2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4</v>
      </c>
      <c r="X45">
        <v>1</v>
      </c>
      <c r="Y45">
        <v>0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s="1">
        <v>0</v>
      </c>
    </row>
    <row r="46" spans="1:34" x14ac:dyDescent="0.3">
      <c r="A46" t="s">
        <v>40</v>
      </c>
      <c r="B46" t="s">
        <v>51</v>
      </c>
      <c r="C46" t="s">
        <v>32</v>
      </c>
      <c r="D46" s="1">
        <v>331058</v>
      </c>
      <c r="E46" s="1">
        <v>292864</v>
      </c>
      <c r="F46" s="1">
        <v>17238</v>
      </c>
      <c r="G46" s="1">
        <v>1861</v>
      </c>
      <c r="H46" s="1">
        <v>12733</v>
      </c>
      <c r="I46" s="1">
        <v>1820</v>
      </c>
      <c r="J46">
        <v>146</v>
      </c>
      <c r="K46">
        <v>205</v>
      </c>
      <c r="L46" s="1">
        <v>2294</v>
      </c>
      <c r="M46">
        <v>358</v>
      </c>
      <c r="N46" s="1">
        <v>1084</v>
      </c>
      <c r="O46">
        <v>65</v>
      </c>
      <c r="P46">
        <v>107</v>
      </c>
      <c r="Q46">
        <v>4</v>
      </c>
      <c r="R46">
        <v>1</v>
      </c>
      <c r="S46">
        <v>47</v>
      </c>
      <c r="T46">
        <v>22</v>
      </c>
      <c r="U46">
        <v>52</v>
      </c>
      <c r="V46">
        <v>9</v>
      </c>
      <c r="W46">
        <v>0</v>
      </c>
      <c r="X46">
        <v>8</v>
      </c>
      <c r="Y46">
        <v>55</v>
      </c>
      <c r="Z46">
        <v>11</v>
      </c>
      <c r="AA46">
        <v>72</v>
      </c>
      <c r="AB46">
        <v>2</v>
      </c>
      <c r="AC46">
        <v>0</v>
      </c>
      <c r="AD46">
        <v>0</v>
      </c>
      <c r="AE46">
        <v>0</v>
      </c>
      <c r="AF46">
        <v>0</v>
      </c>
      <c r="AG46">
        <v>0</v>
      </c>
      <c r="AH46" s="1">
        <v>0</v>
      </c>
    </row>
    <row r="47" spans="1:34" x14ac:dyDescent="0.3">
      <c r="A47" t="s">
        <v>40</v>
      </c>
      <c r="B47" t="s">
        <v>51</v>
      </c>
      <c r="C47" t="s">
        <v>33</v>
      </c>
      <c r="D47" s="1">
        <v>142975</v>
      </c>
      <c r="E47" s="1">
        <v>124168</v>
      </c>
      <c r="F47" s="1">
        <v>7793</v>
      </c>
      <c r="G47">
        <v>891</v>
      </c>
      <c r="H47" s="1">
        <v>5162</v>
      </c>
      <c r="I47" s="1">
        <v>1319</v>
      </c>
      <c r="J47">
        <v>59</v>
      </c>
      <c r="K47">
        <v>115</v>
      </c>
      <c r="L47" s="1">
        <v>1742</v>
      </c>
      <c r="M47">
        <v>263</v>
      </c>
      <c r="N47" s="1">
        <v>1016</v>
      </c>
      <c r="O47">
        <v>64</v>
      </c>
      <c r="P47">
        <v>107</v>
      </c>
      <c r="Q47">
        <v>4</v>
      </c>
      <c r="R47">
        <v>1</v>
      </c>
      <c r="S47">
        <v>47</v>
      </c>
      <c r="T47">
        <v>22</v>
      </c>
      <c r="U47">
        <v>52</v>
      </c>
      <c r="V47">
        <v>8</v>
      </c>
      <c r="W47">
        <v>0</v>
      </c>
      <c r="X47">
        <v>8</v>
      </c>
      <c r="Y47">
        <v>55</v>
      </c>
      <c r="Z47">
        <v>5</v>
      </c>
      <c r="AA47">
        <v>72</v>
      </c>
      <c r="AB47">
        <v>2</v>
      </c>
      <c r="AC47">
        <v>0</v>
      </c>
      <c r="AD47">
        <v>0</v>
      </c>
      <c r="AE47">
        <v>0</v>
      </c>
      <c r="AF47">
        <v>0</v>
      </c>
      <c r="AG47">
        <v>0</v>
      </c>
      <c r="AH47" s="1">
        <v>0</v>
      </c>
    </row>
    <row r="48" spans="1:34" x14ac:dyDescent="0.3">
      <c r="A48" t="s">
        <v>40</v>
      </c>
      <c r="B48" t="s">
        <v>51</v>
      </c>
      <c r="C48" t="s">
        <v>34</v>
      </c>
      <c r="D48" s="1">
        <v>188083</v>
      </c>
      <c r="E48" s="1">
        <v>168696</v>
      </c>
      <c r="F48" s="1">
        <v>9445</v>
      </c>
      <c r="G48">
        <v>970</v>
      </c>
      <c r="H48" s="1">
        <v>7571</v>
      </c>
      <c r="I48">
        <v>501</v>
      </c>
      <c r="J48">
        <v>87</v>
      </c>
      <c r="K48">
        <v>90</v>
      </c>
      <c r="L48">
        <v>552</v>
      </c>
      <c r="M48">
        <v>95</v>
      </c>
      <c r="N48">
        <v>68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s="1">
        <v>0</v>
      </c>
    </row>
    <row r="49" spans="1:34" x14ac:dyDescent="0.3">
      <c r="A49" t="s">
        <v>40</v>
      </c>
      <c r="B49" t="s">
        <v>52</v>
      </c>
      <c r="C49" t="s">
        <v>32</v>
      </c>
      <c r="D49" s="1">
        <v>271214</v>
      </c>
      <c r="E49" s="1">
        <v>245567</v>
      </c>
      <c r="F49" s="1">
        <v>6823</v>
      </c>
      <c r="G49" s="1">
        <v>7653</v>
      </c>
      <c r="H49" s="1">
        <v>1897</v>
      </c>
      <c r="I49">
        <v>141</v>
      </c>
      <c r="J49" s="1">
        <v>2620</v>
      </c>
      <c r="K49">
        <v>387</v>
      </c>
      <c r="L49">
        <v>2</v>
      </c>
      <c r="M49" s="1">
        <v>4814</v>
      </c>
      <c r="N49">
        <v>0</v>
      </c>
      <c r="O49" s="1">
        <v>1003</v>
      </c>
      <c r="P49">
        <v>0</v>
      </c>
      <c r="Q49">
        <v>1</v>
      </c>
      <c r="R49">
        <v>302</v>
      </c>
      <c r="S49">
        <v>0</v>
      </c>
      <c r="T49">
        <v>0</v>
      </c>
      <c r="U49">
        <v>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 s="1">
        <v>0</v>
      </c>
    </row>
    <row r="50" spans="1:34" x14ac:dyDescent="0.3">
      <c r="A50" t="s">
        <v>40</v>
      </c>
      <c r="B50" t="s">
        <v>52</v>
      </c>
      <c r="C50" t="s">
        <v>33</v>
      </c>
      <c r="D50" s="1">
        <v>144777</v>
      </c>
      <c r="E50" s="1">
        <v>130984</v>
      </c>
      <c r="F50" s="1">
        <v>3679</v>
      </c>
      <c r="G50" s="1">
        <v>3315</v>
      </c>
      <c r="H50">
        <v>941</v>
      </c>
      <c r="I50">
        <v>66</v>
      </c>
      <c r="J50" s="1">
        <v>1234</v>
      </c>
      <c r="K50">
        <v>184</v>
      </c>
      <c r="L50">
        <v>0</v>
      </c>
      <c r="M50" s="1">
        <v>3341</v>
      </c>
      <c r="N50">
        <v>0</v>
      </c>
      <c r="O50">
        <v>747</v>
      </c>
      <c r="P50">
        <v>0</v>
      </c>
      <c r="Q50">
        <v>1</v>
      </c>
      <c r="R50">
        <v>281</v>
      </c>
      <c r="S50">
        <v>0</v>
      </c>
      <c r="T50">
        <v>0</v>
      </c>
      <c r="U50">
        <v>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 s="1">
        <v>0</v>
      </c>
    </row>
    <row r="51" spans="1:34" x14ac:dyDescent="0.3">
      <c r="A51" t="s">
        <v>40</v>
      </c>
      <c r="B51" t="s">
        <v>52</v>
      </c>
      <c r="C51" t="s">
        <v>34</v>
      </c>
      <c r="D51" s="1">
        <v>126437</v>
      </c>
      <c r="E51" s="1">
        <v>114583</v>
      </c>
      <c r="F51" s="1">
        <v>3144</v>
      </c>
      <c r="G51" s="1">
        <v>4338</v>
      </c>
      <c r="H51">
        <v>956</v>
      </c>
      <c r="I51">
        <v>75</v>
      </c>
      <c r="J51" s="1">
        <v>1386</v>
      </c>
      <c r="K51">
        <v>203</v>
      </c>
      <c r="L51">
        <v>2</v>
      </c>
      <c r="M51" s="1">
        <v>1473</v>
      </c>
      <c r="N51">
        <v>0</v>
      </c>
      <c r="O51">
        <v>256</v>
      </c>
      <c r="P51">
        <v>0</v>
      </c>
      <c r="Q51">
        <v>0</v>
      </c>
      <c r="R51">
        <v>21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s="1">
        <v>0</v>
      </c>
    </row>
    <row r="52" spans="1:34" x14ac:dyDescent="0.3">
      <c r="A52" t="s">
        <v>40</v>
      </c>
      <c r="B52" t="s">
        <v>53</v>
      </c>
      <c r="C52" t="s">
        <v>32</v>
      </c>
      <c r="D52" s="1">
        <v>201962</v>
      </c>
      <c r="E52" s="1">
        <v>95970</v>
      </c>
      <c r="F52" s="1">
        <v>8175</v>
      </c>
      <c r="G52" s="1">
        <v>1630</v>
      </c>
      <c r="H52" s="1">
        <v>1697</v>
      </c>
      <c r="I52" s="1">
        <v>36697</v>
      </c>
      <c r="J52">
        <v>42</v>
      </c>
      <c r="K52">
        <v>195</v>
      </c>
      <c r="L52" s="1">
        <v>23249</v>
      </c>
      <c r="M52" s="1">
        <v>5063</v>
      </c>
      <c r="N52" s="1">
        <v>9949</v>
      </c>
      <c r="O52" s="1">
        <v>1373</v>
      </c>
      <c r="P52" s="1">
        <v>5142</v>
      </c>
      <c r="Q52">
        <v>806</v>
      </c>
      <c r="R52">
        <v>506</v>
      </c>
      <c r="S52" s="1">
        <v>4967</v>
      </c>
      <c r="T52" s="1">
        <v>1956</v>
      </c>
      <c r="U52">
        <v>585</v>
      </c>
      <c r="V52">
        <v>960</v>
      </c>
      <c r="W52">
        <v>3</v>
      </c>
      <c r="X52">
        <v>322</v>
      </c>
      <c r="Y52" s="1">
        <v>1790</v>
      </c>
      <c r="Z52">
        <v>64</v>
      </c>
      <c r="AA52">
        <v>181</v>
      </c>
      <c r="AB52">
        <v>304</v>
      </c>
      <c r="AC52">
        <v>0</v>
      </c>
      <c r="AD52">
        <v>173</v>
      </c>
      <c r="AE52">
        <v>74</v>
      </c>
      <c r="AF52">
        <v>88</v>
      </c>
      <c r="AG52">
        <v>1</v>
      </c>
      <c r="AH52" s="1">
        <v>0</v>
      </c>
    </row>
    <row r="53" spans="1:34" x14ac:dyDescent="0.3">
      <c r="A53" t="s">
        <v>40</v>
      </c>
      <c r="B53" t="s">
        <v>53</v>
      </c>
      <c r="C53" t="s">
        <v>33</v>
      </c>
      <c r="D53" s="1">
        <v>171211</v>
      </c>
      <c r="E53" s="1">
        <v>68107</v>
      </c>
      <c r="F53" s="1">
        <v>6927</v>
      </c>
      <c r="G53" s="1">
        <v>1145</v>
      </c>
      <c r="H53" s="1">
        <v>1017</v>
      </c>
      <c r="I53" s="1">
        <v>36509</v>
      </c>
      <c r="J53">
        <v>33</v>
      </c>
      <c r="K53">
        <v>157</v>
      </c>
      <c r="L53" s="1">
        <v>23201</v>
      </c>
      <c r="M53" s="1">
        <v>5005</v>
      </c>
      <c r="N53" s="1">
        <v>9893</v>
      </c>
      <c r="O53" s="1">
        <v>1366</v>
      </c>
      <c r="P53" s="1">
        <v>5124</v>
      </c>
      <c r="Q53">
        <v>806</v>
      </c>
      <c r="R53">
        <v>502</v>
      </c>
      <c r="S53" s="1">
        <v>4945</v>
      </c>
      <c r="T53" s="1">
        <v>1950</v>
      </c>
      <c r="U53">
        <v>585</v>
      </c>
      <c r="V53">
        <v>959</v>
      </c>
      <c r="W53">
        <v>0</v>
      </c>
      <c r="X53">
        <v>320</v>
      </c>
      <c r="Y53" s="1">
        <v>1780</v>
      </c>
      <c r="Z53">
        <v>63</v>
      </c>
      <c r="AA53">
        <v>180</v>
      </c>
      <c r="AB53">
        <v>302</v>
      </c>
      <c r="AC53">
        <v>0</v>
      </c>
      <c r="AD53">
        <v>172</v>
      </c>
      <c r="AE53">
        <v>74</v>
      </c>
      <c r="AF53">
        <v>88</v>
      </c>
      <c r="AG53">
        <v>1</v>
      </c>
      <c r="AH53" s="1">
        <v>0</v>
      </c>
    </row>
    <row r="54" spans="1:34" x14ac:dyDescent="0.3">
      <c r="A54" t="s">
        <v>40</v>
      </c>
      <c r="B54" t="s">
        <v>53</v>
      </c>
      <c r="C54" t="s">
        <v>34</v>
      </c>
      <c r="D54" s="1">
        <v>30751</v>
      </c>
      <c r="E54" s="1">
        <v>27863</v>
      </c>
      <c r="F54" s="1">
        <v>1248</v>
      </c>
      <c r="G54">
        <v>485</v>
      </c>
      <c r="H54">
        <v>680</v>
      </c>
      <c r="I54">
        <v>188</v>
      </c>
      <c r="J54">
        <v>9</v>
      </c>
      <c r="K54">
        <v>38</v>
      </c>
      <c r="L54">
        <v>48</v>
      </c>
      <c r="M54">
        <v>58</v>
      </c>
      <c r="N54">
        <v>56</v>
      </c>
      <c r="O54">
        <v>7</v>
      </c>
      <c r="P54">
        <v>18</v>
      </c>
      <c r="Q54">
        <v>0</v>
      </c>
      <c r="R54">
        <v>4</v>
      </c>
      <c r="S54">
        <v>22</v>
      </c>
      <c r="T54">
        <v>6</v>
      </c>
      <c r="U54">
        <v>0</v>
      </c>
      <c r="V54">
        <v>1</v>
      </c>
      <c r="W54">
        <v>3</v>
      </c>
      <c r="X54">
        <v>2</v>
      </c>
      <c r="Y54">
        <v>10</v>
      </c>
      <c r="Z54">
        <v>1</v>
      </c>
      <c r="AA54">
        <v>1</v>
      </c>
      <c r="AB54">
        <v>2</v>
      </c>
      <c r="AC54">
        <v>0</v>
      </c>
      <c r="AD54">
        <v>1</v>
      </c>
      <c r="AE54">
        <v>0</v>
      </c>
      <c r="AF54">
        <v>0</v>
      </c>
      <c r="AG54">
        <v>0</v>
      </c>
      <c r="AH54" s="1">
        <v>0</v>
      </c>
    </row>
    <row r="55" spans="1:34" x14ac:dyDescent="0.3">
      <c r="A55" t="s">
        <v>40</v>
      </c>
      <c r="B55" t="s">
        <v>54</v>
      </c>
      <c r="C55" t="s">
        <v>32</v>
      </c>
      <c r="D55" s="1">
        <v>176080</v>
      </c>
      <c r="E55" s="1">
        <v>145299</v>
      </c>
      <c r="F55" s="1">
        <v>14754</v>
      </c>
      <c r="G55">
        <v>486</v>
      </c>
      <c r="H55" s="1">
        <v>3394</v>
      </c>
      <c r="I55">
        <v>120</v>
      </c>
      <c r="J55" s="1">
        <v>8001</v>
      </c>
      <c r="K55" s="1">
        <v>1913</v>
      </c>
      <c r="L55">
        <v>690</v>
      </c>
      <c r="M55">
        <v>17</v>
      </c>
      <c r="N55" s="1">
        <v>1325</v>
      </c>
      <c r="O55">
        <v>2</v>
      </c>
      <c r="P55">
        <v>0</v>
      </c>
      <c r="Q55">
        <v>0</v>
      </c>
      <c r="R55">
        <v>2</v>
      </c>
      <c r="S55">
        <v>0</v>
      </c>
      <c r="T55">
        <v>0</v>
      </c>
      <c r="U55">
        <v>0</v>
      </c>
      <c r="V55">
        <v>0</v>
      </c>
      <c r="W55">
        <v>0</v>
      </c>
      <c r="X55">
        <v>3</v>
      </c>
      <c r="Y55">
        <v>0</v>
      </c>
      <c r="Z55">
        <v>0</v>
      </c>
      <c r="AA55">
        <v>0</v>
      </c>
      <c r="AB55">
        <v>0</v>
      </c>
      <c r="AC55">
        <v>74</v>
      </c>
      <c r="AD55">
        <v>0</v>
      </c>
      <c r="AE55">
        <v>0</v>
      </c>
      <c r="AF55">
        <v>0</v>
      </c>
      <c r="AG55">
        <v>0</v>
      </c>
      <c r="AH55" s="1">
        <v>0</v>
      </c>
    </row>
    <row r="56" spans="1:34" x14ac:dyDescent="0.3">
      <c r="A56" t="s">
        <v>40</v>
      </c>
      <c r="B56" t="s">
        <v>54</v>
      </c>
      <c r="C56" t="s">
        <v>33</v>
      </c>
      <c r="D56" s="1">
        <v>72133</v>
      </c>
      <c r="E56" s="1">
        <v>59693</v>
      </c>
      <c r="F56" s="1">
        <v>6202</v>
      </c>
      <c r="G56">
        <v>213</v>
      </c>
      <c r="H56" s="1">
        <v>1151</v>
      </c>
      <c r="I56">
        <v>65</v>
      </c>
      <c r="J56" s="1">
        <v>3208</v>
      </c>
      <c r="K56">
        <v>854</v>
      </c>
      <c r="L56">
        <v>311</v>
      </c>
      <c r="M56">
        <v>13</v>
      </c>
      <c r="N56">
        <v>395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0</v>
      </c>
      <c r="Z56">
        <v>0</v>
      </c>
      <c r="AA56">
        <v>0</v>
      </c>
      <c r="AB56">
        <v>0</v>
      </c>
      <c r="AC56">
        <v>25</v>
      </c>
      <c r="AD56">
        <v>0</v>
      </c>
      <c r="AE56">
        <v>0</v>
      </c>
      <c r="AF56">
        <v>0</v>
      </c>
      <c r="AG56">
        <v>0</v>
      </c>
      <c r="AH56" s="1">
        <v>0</v>
      </c>
    </row>
    <row r="57" spans="1:34" x14ac:dyDescent="0.3">
      <c r="A57" t="s">
        <v>40</v>
      </c>
      <c r="B57" t="s">
        <v>54</v>
      </c>
      <c r="C57" t="s">
        <v>34</v>
      </c>
      <c r="D57" s="1">
        <v>103947</v>
      </c>
      <c r="E57" s="1">
        <v>85606</v>
      </c>
      <c r="F57" s="1">
        <v>8552</v>
      </c>
      <c r="G57">
        <v>273</v>
      </c>
      <c r="H57" s="1">
        <v>2243</v>
      </c>
      <c r="I57">
        <v>55</v>
      </c>
      <c r="J57" s="1">
        <v>4793</v>
      </c>
      <c r="K57" s="1">
        <v>1059</v>
      </c>
      <c r="L57">
        <v>379</v>
      </c>
      <c r="M57">
        <v>4</v>
      </c>
      <c r="N57">
        <v>930</v>
      </c>
      <c r="O57">
        <v>2</v>
      </c>
      <c r="P57">
        <v>0</v>
      </c>
      <c r="Q57">
        <v>0</v>
      </c>
      <c r="R57">
        <v>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49</v>
      </c>
      <c r="AD57">
        <v>0</v>
      </c>
      <c r="AE57">
        <v>0</v>
      </c>
      <c r="AF57">
        <v>0</v>
      </c>
      <c r="AG57">
        <v>0</v>
      </c>
      <c r="AH57" s="1">
        <v>0</v>
      </c>
    </row>
    <row r="58" spans="1:34" x14ac:dyDescent="0.3">
      <c r="A58" t="s">
        <v>40</v>
      </c>
      <c r="B58" t="s">
        <v>55</v>
      </c>
      <c r="C58" t="s">
        <v>32</v>
      </c>
      <c r="D58" s="1">
        <v>87135</v>
      </c>
      <c r="E58" s="1">
        <v>26234</v>
      </c>
      <c r="F58" s="1">
        <v>6615</v>
      </c>
      <c r="G58">
        <v>160</v>
      </c>
      <c r="H58">
        <v>259</v>
      </c>
      <c r="I58" s="1">
        <v>10561</v>
      </c>
      <c r="J58">
        <v>20</v>
      </c>
      <c r="K58">
        <v>131</v>
      </c>
      <c r="L58" s="1">
        <v>12735</v>
      </c>
      <c r="M58" s="1">
        <v>1976</v>
      </c>
      <c r="N58" s="1">
        <v>8853</v>
      </c>
      <c r="O58">
        <v>539</v>
      </c>
      <c r="P58" s="1">
        <v>3431</v>
      </c>
      <c r="Q58" s="1">
        <v>3889</v>
      </c>
      <c r="R58">
        <v>345</v>
      </c>
      <c r="S58" s="1">
        <v>1733</v>
      </c>
      <c r="T58" s="1">
        <v>4293</v>
      </c>
      <c r="U58">
        <v>585</v>
      </c>
      <c r="V58" s="1">
        <v>1942</v>
      </c>
      <c r="W58">
        <v>1</v>
      </c>
      <c r="X58">
        <v>775</v>
      </c>
      <c r="Y58">
        <v>659</v>
      </c>
      <c r="Z58">
        <v>3</v>
      </c>
      <c r="AA58">
        <v>14</v>
      </c>
      <c r="AB58">
        <v>508</v>
      </c>
      <c r="AC58">
        <v>0</v>
      </c>
      <c r="AD58">
        <v>454</v>
      </c>
      <c r="AE58">
        <v>89</v>
      </c>
      <c r="AF58">
        <v>331</v>
      </c>
      <c r="AG58">
        <v>0</v>
      </c>
      <c r="AH58" s="1">
        <v>0</v>
      </c>
    </row>
    <row r="59" spans="1:34" x14ac:dyDescent="0.3">
      <c r="A59" t="s">
        <v>40</v>
      </c>
      <c r="B59" t="s">
        <v>55</v>
      </c>
      <c r="C59" t="s">
        <v>33</v>
      </c>
      <c r="D59" s="1">
        <v>76437</v>
      </c>
      <c r="E59" s="1">
        <v>16647</v>
      </c>
      <c r="F59" s="1">
        <v>5900</v>
      </c>
      <c r="G59">
        <v>63</v>
      </c>
      <c r="H59">
        <v>70</v>
      </c>
      <c r="I59" s="1">
        <v>10533</v>
      </c>
      <c r="J59">
        <v>5</v>
      </c>
      <c r="K59">
        <v>69</v>
      </c>
      <c r="L59" s="1">
        <v>12734</v>
      </c>
      <c r="M59" s="1">
        <v>1976</v>
      </c>
      <c r="N59" s="1">
        <v>8852</v>
      </c>
      <c r="O59">
        <v>539</v>
      </c>
      <c r="P59" s="1">
        <v>3431</v>
      </c>
      <c r="Q59" s="1">
        <v>3889</v>
      </c>
      <c r="R59">
        <v>345</v>
      </c>
      <c r="S59" s="1">
        <v>1732</v>
      </c>
      <c r="T59" s="1">
        <v>4293</v>
      </c>
      <c r="U59">
        <v>585</v>
      </c>
      <c r="V59" s="1">
        <v>1942</v>
      </c>
      <c r="W59" s="1">
        <v>0</v>
      </c>
      <c r="X59">
        <v>775</v>
      </c>
      <c r="Y59">
        <v>659</v>
      </c>
      <c r="Z59">
        <v>3</v>
      </c>
      <c r="AA59">
        <v>14</v>
      </c>
      <c r="AB59">
        <v>508</v>
      </c>
      <c r="AC59">
        <v>0</v>
      </c>
      <c r="AD59">
        <v>453</v>
      </c>
      <c r="AE59">
        <v>89</v>
      </c>
      <c r="AF59">
        <v>331</v>
      </c>
      <c r="AG59">
        <v>0</v>
      </c>
      <c r="AH59" s="1">
        <v>0</v>
      </c>
    </row>
    <row r="60" spans="1:34" x14ac:dyDescent="0.3">
      <c r="A60" t="s">
        <v>40</v>
      </c>
      <c r="B60" t="s">
        <v>55</v>
      </c>
      <c r="C60" t="s">
        <v>34</v>
      </c>
      <c r="D60" s="1">
        <v>10698</v>
      </c>
      <c r="E60" s="1">
        <v>9587</v>
      </c>
      <c r="F60">
        <v>715</v>
      </c>
      <c r="G60">
        <v>97</v>
      </c>
      <c r="H60">
        <v>189</v>
      </c>
      <c r="I60">
        <v>28</v>
      </c>
      <c r="J60">
        <v>15</v>
      </c>
      <c r="K60">
        <v>62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 s="1">
        <v>0</v>
      </c>
    </row>
    <row r="61" spans="1:34" x14ac:dyDescent="0.3">
      <c r="A61" t="s">
        <v>40</v>
      </c>
      <c r="B61" t="s">
        <v>56</v>
      </c>
      <c r="C61" t="s">
        <v>32</v>
      </c>
      <c r="D61" s="1">
        <v>75883</v>
      </c>
      <c r="E61" s="1">
        <v>72480</v>
      </c>
      <c r="F61" s="1">
        <v>2490</v>
      </c>
      <c r="G61">
        <v>651</v>
      </c>
      <c r="H61">
        <v>12</v>
      </c>
      <c r="I61">
        <v>41</v>
      </c>
      <c r="J61">
        <v>82</v>
      </c>
      <c r="K61">
        <v>58</v>
      </c>
      <c r="L61">
        <v>0</v>
      </c>
      <c r="M61">
        <v>2</v>
      </c>
      <c r="N61">
        <v>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56</v>
      </c>
      <c r="V61">
        <v>0</v>
      </c>
      <c r="W61">
        <v>0</v>
      </c>
      <c r="X61">
        <v>0</v>
      </c>
      <c r="Y61">
        <v>0</v>
      </c>
      <c r="Z61">
        <v>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s="1">
        <v>0</v>
      </c>
    </row>
    <row r="62" spans="1:34" x14ac:dyDescent="0.3">
      <c r="A62" t="s">
        <v>40</v>
      </c>
      <c r="B62" t="s">
        <v>56</v>
      </c>
      <c r="C62" t="s">
        <v>33</v>
      </c>
      <c r="D62" s="1">
        <v>52496</v>
      </c>
      <c r="E62" s="1">
        <v>50114</v>
      </c>
      <c r="F62" s="1">
        <v>1735</v>
      </c>
      <c r="G62">
        <v>481</v>
      </c>
      <c r="H62">
        <v>7</v>
      </c>
      <c r="I62">
        <v>26</v>
      </c>
      <c r="J62">
        <v>51</v>
      </c>
      <c r="K62">
        <v>38</v>
      </c>
      <c r="L62">
        <v>0</v>
      </c>
      <c r="M62">
        <v>2</v>
      </c>
      <c r="N62">
        <v>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35</v>
      </c>
      <c r="V62">
        <v>0</v>
      </c>
      <c r="W62">
        <v>0</v>
      </c>
      <c r="X62">
        <v>0</v>
      </c>
      <c r="Y62">
        <v>0</v>
      </c>
      <c r="Z62">
        <v>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s="1">
        <v>0</v>
      </c>
    </row>
    <row r="63" spans="1:34" x14ac:dyDescent="0.3">
      <c r="A63" t="s">
        <v>40</v>
      </c>
      <c r="B63" t="s">
        <v>56</v>
      </c>
      <c r="C63" t="s">
        <v>34</v>
      </c>
      <c r="D63" s="1">
        <v>23387</v>
      </c>
      <c r="E63" s="1">
        <v>22366</v>
      </c>
      <c r="F63">
        <v>755</v>
      </c>
      <c r="G63">
        <v>170</v>
      </c>
      <c r="H63">
        <v>5</v>
      </c>
      <c r="I63">
        <v>15</v>
      </c>
      <c r="J63">
        <v>31</v>
      </c>
      <c r="K63">
        <v>20</v>
      </c>
      <c r="L63">
        <v>0</v>
      </c>
      <c r="M63">
        <v>0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21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s="1">
        <v>0</v>
      </c>
    </row>
    <row r="64" spans="1:34" x14ac:dyDescent="0.3">
      <c r="A64" t="s">
        <v>40</v>
      </c>
      <c r="B64" t="s">
        <v>57</v>
      </c>
      <c r="C64" t="s">
        <v>32</v>
      </c>
      <c r="D64" s="1">
        <v>68790</v>
      </c>
      <c r="E64" s="1">
        <v>64983</v>
      </c>
      <c r="F64" s="1">
        <v>1182</v>
      </c>
      <c r="G64" s="1">
        <v>1327</v>
      </c>
      <c r="H64">
        <v>150</v>
      </c>
      <c r="I64">
        <v>509</v>
      </c>
      <c r="J64">
        <v>36</v>
      </c>
      <c r="K64">
        <v>27</v>
      </c>
      <c r="L64">
        <v>255</v>
      </c>
      <c r="M64">
        <v>21</v>
      </c>
      <c r="N64">
        <v>255</v>
      </c>
      <c r="O64">
        <v>0</v>
      </c>
      <c r="P64">
        <v>2</v>
      </c>
      <c r="Q64">
        <v>1</v>
      </c>
      <c r="R64">
        <v>0</v>
      </c>
      <c r="S64">
        <v>2</v>
      </c>
      <c r="T64">
        <v>0</v>
      </c>
      <c r="U64">
        <v>39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s="1">
        <v>0</v>
      </c>
    </row>
    <row r="65" spans="1:34" x14ac:dyDescent="0.3">
      <c r="A65" t="s">
        <v>40</v>
      </c>
      <c r="B65" t="s">
        <v>57</v>
      </c>
      <c r="C65" t="s">
        <v>33</v>
      </c>
      <c r="D65" s="1">
        <v>29016</v>
      </c>
      <c r="E65" s="1">
        <v>27537</v>
      </c>
      <c r="F65">
        <v>489</v>
      </c>
      <c r="G65">
        <v>564</v>
      </c>
      <c r="H65">
        <v>50</v>
      </c>
      <c r="I65">
        <v>156</v>
      </c>
      <c r="J65">
        <v>11</v>
      </c>
      <c r="K65">
        <v>11</v>
      </c>
      <c r="L65">
        <v>94</v>
      </c>
      <c r="M65">
        <v>12</v>
      </c>
      <c r="N65">
        <v>71</v>
      </c>
      <c r="O65">
        <v>0</v>
      </c>
      <c r="P65">
        <v>2</v>
      </c>
      <c r="Q65">
        <v>1</v>
      </c>
      <c r="R65">
        <v>0</v>
      </c>
      <c r="S65">
        <v>2</v>
      </c>
      <c r="T65">
        <v>0</v>
      </c>
      <c r="U65">
        <v>16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s="1">
        <v>0</v>
      </c>
    </row>
    <row r="66" spans="1:34" x14ac:dyDescent="0.3">
      <c r="A66" t="s">
        <v>40</v>
      </c>
      <c r="B66" t="s">
        <v>57</v>
      </c>
      <c r="C66" t="s">
        <v>34</v>
      </c>
      <c r="D66" s="1">
        <v>39774</v>
      </c>
      <c r="E66" s="1">
        <v>37446</v>
      </c>
      <c r="F66">
        <v>693</v>
      </c>
      <c r="G66">
        <v>763</v>
      </c>
      <c r="H66">
        <v>100</v>
      </c>
      <c r="I66">
        <v>353</v>
      </c>
      <c r="J66">
        <v>25</v>
      </c>
      <c r="K66">
        <v>16</v>
      </c>
      <c r="L66">
        <v>161</v>
      </c>
      <c r="M66">
        <v>9</v>
      </c>
      <c r="N66">
        <v>184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23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s="1">
        <v>0</v>
      </c>
    </row>
    <row r="67" spans="1:34" x14ac:dyDescent="0.3">
      <c r="A67" t="s">
        <v>40</v>
      </c>
      <c r="B67" t="s">
        <v>58</v>
      </c>
      <c r="C67" t="s">
        <v>32</v>
      </c>
      <c r="D67" s="1">
        <v>61436</v>
      </c>
      <c r="E67" s="1">
        <v>54466</v>
      </c>
      <c r="F67" s="1">
        <v>1261</v>
      </c>
      <c r="G67" s="1">
        <v>2750</v>
      </c>
      <c r="H67">
        <v>172</v>
      </c>
      <c r="I67">
        <v>971</v>
      </c>
      <c r="J67">
        <v>58</v>
      </c>
      <c r="K67">
        <v>71</v>
      </c>
      <c r="L67">
        <v>187</v>
      </c>
      <c r="M67">
        <v>286</v>
      </c>
      <c r="N67">
        <v>191</v>
      </c>
      <c r="O67">
        <v>26</v>
      </c>
      <c r="P67">
        <v>205</v>
      </c>
      <c r="Q67">
        <v>28</v>
      </c>
      <c r="R67">
        <v>42</v>
      </c>
      <c r="S67">
        <v>210</v>
      </c>
      <c r="T67">
        <v>192</v>
      </c>
      <c r="U67">
        <v>52</v>
      </c>
      <c r="V67">
        <v>89</v>
      </c>
      <c r="W67">
        <v>0</v>
      </c>
      <c r="X67">
        <v>6</v>
      </c>
      <c r="Y67">
        <v>103</v>
      </c>
      <c r="Z67">
        <v>3</v>
      </c>
      <c r="AA67">
        <v>0</v>
      </c>
      <c r="AB67">
        <v>16</v>
      </c>
      <c r="AC67">
        <v>0</v>
      </c>
      <c r="AD67">
        <v>43</v>
      </c>
      <c r="AE67">
        <v>0</v>
      </c>
      <c r="AF67">
        <v>8</v>
      </c>
      <c r="AG67">
        <v>0</v>
      </c>
      <c r="AH67" s="1">
        <v>0</v>
      </c>
    </row>
    <row r="68" spans="1:34" x14ac:dyDescent="0.3">
      <c r="A68" t="s">
        <v>40</v>
      </c>
      <c r="B68" t="s">
        <v>58</v>
      </c>
      <c r="C68" t="s">
        <v>33</v>
      </c>
      <c r="D68" s="1">
        <v>34802</v>
      </c>
      <c r="E68" s="1">
        <v>30466</v>
      </c>
      <c r="F68">
        <v>801</v>
      </c>
      <c r="G68" s="1">
        <v>1201</v>
      </c>
      <c r="H68">
        <v>96</v>
      </c>
      <c r="I68">
        <v>627</v>
      </c>
      <c r="J68">
        <v>21</v>
      </c>
      <c r="K68">
        <v>42</v>
      </c>
      <c r="L68">
        <v>111</v>
      </c>
      <c r="M68">
        <v>282</v>
      </c>
      <c r="N68">
        <v>148</v>
      </c>
      <c r="O68">
        <v>26</v>
      </c>
      <c r="P68">
        <v>200</v>
      </c>
      <c r="Q68">
        <v>28</v>
      </c>
      <c r="R68">
        <v>42</v>
      </c>
      <c r="S68">
        <v>206</v>
      </c>
      <c r="T68">
        <v>192</v>
      </c>
      <c r="U68">
        <v>50</v>
      </c>
      <c r="V68">
        <v>89</v>
      </c>
      <c r="W68">
        <v>0</v>
      </c>
      <c r="X68">
        <v>6</v>
      </c>
      <c r="Y68">
        <v>98</v>
      </c>
      <c r="Z68">
        <v>3</v>
      </c>
      <c r="AA68">
        <v>0</v>
      </c>
      <c r="AB68">
        <v>16</v>
      </c>
      <c r="AC68">
        <v>0</v>
      </c>
      <c r="AD68">
        <v>43</v>
      </c>
      <c r="AE68">
        <v>0</v>
      </c>
      <c r="AF68">
        <v>8</v>
      </c>
      <c r="AG68">
        <v>0</v>
      </c>
      <c r="AH68" s="1">
        <v>0</v>
      </c>
    </row>
    <row r="69" spans="1:34" x14ac:dyDescent="0.3">
      <c r="A69" t="s">
        <v>40</v>
      </c>
      <c r="B69" t="s">
        <v>58</v>
      </c>
      <c r="C69" t="s">
        <v>34</v>
      </c>
      <c r="D69" s="1">
        <v>26634</v>
      </c>
      <c r="E69" s="1">
        <v>24000</v>
      </c>
      <c r="F69">
        <v>460</v>
      </c>
      <c r="G69" s="1">
        <v>1549</v>
      </c>
      <c r="H69">
        <v>76</v>
      </c>
      <c r="I69">
        <v>344</v>
      </c>
      <c r="J69">
        <v>37</v>
      </c>
      <c r="K69">
        <v>29</v>
      </c>
      <c r="L69">
        <v>76</v>
      </c>
      <c r="M69">
        <v>4</v>
      </c>
      <c r="N69">
        <v>43</v>
      </c>
      <c r="O69">
        <v>0</v>
      </c>
      <c r="P69">
        <v>5</v>
      </c>
      <c r="Q69">
        <v>0</v>
      </c>
      <c r="R69">
        <v>0</v>
      </c>
      <c r="S69">
        <v>4</v>
      </c>
      <c r="T69">
        <v>0</v>
      </c>
      <c r="U69">
        <v>2</v>
      </c>
      <c r="V69">
        <v>0</v>
      </c>
      <c r="W69">
        <v>0</v>
      </c>
      <c r="X69">
        <v>0</v>
      </c>
      <c r="Y69">
        <v>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s="1">
        <v>0</v>
      </c>
    </row>
    <row r="70" spans="1:34" x14ac:dyDescent="0.3">
      <c r="A70" t="s">
        <v>40</v>
      </c>
      <c r="B70" t="s">
        <v>59</v>
      </c>
      <c r="C70" t="s">
        <v>32</v>
      </c>
      <c r="D70" s="1">
        <v>56788</v>
      </c>
      <c r="E70" s="1">
        <v>54526</v>
      </c>
      <c r="F70" s="1">
        <v>1566</v>
      </c>
      <c r="G70">
        <v>343</v>
      </c>
      <c r="H70">
        <v>253</v>
      </c>
      <c r="I70">
        <v>17</v>
      </c>
      <c r="J70">
        <v>26</v>
      </c>
      <c r="K70">
        <v>24</v>
      </c>
      <c r="L70">
        <v>31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s="1">
        <v>0</v>
      </c>
    </row>
    <row r="71" spans="1:34" x14ac:dyDescent="0.3">
      <c r="A71" t="s">
        <v>40</v>
      </c>
      <c r="B71" t="s">
        <v>59</v>
      </c>
      <c r="C71" t="s">
        <v>33</v>
      </c>
      <c r="D71" s="1">
        <v>36277</v>
      </c>
      <c r="E71" s="1">
        <v>35078</v>
      </c>
      <c r="F71">
        <v>862</v>
      </c>
      <c r="G71">
        <v>161</v>
      </c>
      <c r="H71">
        <v>124</v>
      </c>
      <c r="I71">
        <v>13</v>
      </c>
      <c r="J71">
        <v>8</v>
      </c>
      <c r="K71">
        <v>8</v>
      </c>
      <c r="L71">
        <v>21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s="1">
        <v>0</v>
      </c>
    </row>
    <row r="72" spans="1:34" x14ac:dyDescent="0.3">
      <c r="A72" t="s">
        <v>40</v>
      </c>
      <c r="B72" t="s">
        <v>59</v>
      </c>
      <c r="C72" t="s">
        <v>34</v>
      </c>
      <c r="D72" s="1">
        <v>20511</v>
      </c>
      <c r="E72" s="1">
        <v>19448</v>
      </c>
      <c r="F72">
        <v>704</v>
      </c>
      <c r="G72">
        <v>182</v>
      </c>
      <c r="H72">
        <v>129</v>
      </c>
      <c r="I72">
        <v>4</v>
      </c>
      <c r="J72">
        <v>18</v>
      </c>
      <c r="K72">
        <v>16</v>
      </c>
      <c r="L72">
        <v>10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s="1">
        <v>0</v>
      </c>
    </row>
    <row r="73" spans="1:34" x14ac:dyDescent="0.3">
      <c r="A73" t="s">
        <v>40</v>
      </c>
      <c r="B73" t="s">
        <v>60</v>
      </c>
      <c r="C73" t="s">
        <v>32</v>
      </c>
      <c r="D73" s="1">
        <v>52293</v>
      </c>
      <c r="E73" s="1">
        <v>44565</v>
      </c>
      <c r="F73">
        <v>414</v>
      </c>
      <c r="G73">
        <v>83</v>
      </c>
      <c r="H73">
        <v>98</v>
      </c>
      <c r="I73">
        <v>584</v>
      </c>
      <c r="J73">
        <v>36</v>
      </c>
      <c r="K73">
        <v>34</v>
      </c>
      <c r="L73" s="1">
        <v>4481</v>
      </c>
      <c r="M73">
        <v>94</v>
      </c>
      <c r="N73" s="1">
        <v>1787</v>
      </c>
      <c r="O73">
        <v>0</v>
      </c>
      <c r="P73" s="1">
        <v>0</v>
      </c>
      <c r="Q73">
        <v>0</v>
      </c>
      <c r="R73">
        <v>4</v>
      </c>
      <c r="S73">
        <v>11</v>
      </c>
      <c r="T73">
        <v>67</v>
      </c>
      <c r="U73">
        <v>0</v>
      </c>
      <c r="V73">
        <v>29</v>
      </c>
      <c r="W73">
        <v>0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3</v>
      </c>
      <c r="AG73">
        <v>0</v>
      </c>
      <c r="AH73" s="1">
        <v>0</v>
      </c>
    </row>
    <row r="74" spans="1:34" x14ac:dyDescent="0.3">
      <c r="A74" t="s">
        <v>40</v>
      </c>
      <c r="B74" t="s">
        <v>60</v>
      </c>
      <c r="C74" t="s">
        <v>33</v>
      </c>
      <c r="D74" s="1">
        <v>43760</v>
      </c>
      <c r="E74" s="1">
        <v>36255</v>
      </c>
      <c r="F74">
        <v>293</v>
      </c>
      <c r="G74">
        <v>56</v>
      </c>
      <c r="H74">
        <v>56</v>
      </c>
      <c r="I74">
        <v>577</v>
      </c>
      <c r="J74">
        <v>20</v>
      </c>
      <c r="K74">
        <v>26</v>
      </c>
      <c r="L74" s="1">
        <v>4480</v>
      </c>
      <c r="M74">
        <v>93</v>
      </c>
      <c r="N74" s="1">
        <v>1787</v>
      </c>
      <c r="O74">
        <v>0</v>
      </c>
      <c r="P74" s="1">
        <v>0</v>
      </c>
      <c r="Q74">
        <v>0</v>
      </c>
      <c r="R74">
        <v>4</v>
      </c>
      <c r="S74">
        <v>11</v>
      </c>
      <c r="T74">
        <v>67</v>
      </c>
      <c r="U74">
        <v>0</v>
      </c>
      <c r="V74">
        <v>29</v>
      </c>
      <c r="W74">
        <v>0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3</v>
      </c>
      <c r="AG74">
        <v>0</v>
      </c>
      <c r="AH74" s="1">
        <v>0</v>
      </c>
    </row>
    <row r="75" spans="1:34" x14ac:dyDescent="0.3">
      <c r="A75" t="s">
        <v>40</v>
      </c>
      <c r="B75" t="s">
        <v>60</v>
      </c>
      <c r="C75" t="s">
        <v>34</v>
      </c>
      <c r="D75" s="1">
        <v>8533</v>
      </c>
      <c r="E75" s="1">
        <v>8310</v>
      </c>
      <c r="F75">
        <v>121</v>
      </c>
      <c r="G75">
        <v>27</v>
      </c>
      <c r="H75">
        <v>42</v>
      </c>
      <c r="I75">
        <v>7</v>
      </c>
      <c r="J75">
        <v>16</v>
      </c>
      <c r="K75">
        <v>8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s="1">
        <v>0</v>
      </c>
    </row>
    <row r="76" spans="1:34" x14ac:dyDescent="0.3">
      <c r="A76" t="s">
        <v>40</v>
      </c>
      <c r="B76" t="s">
        <v>61</v>
      </c>
      <c r="C76" t="s">
        <v>32</v>
      </c>
      <c r="D76" s="1">
        <v>45575</v>
      </c>
      <c r="E76" s="1">
        <v>37469</v>
      </c>
      <c r="F76" s="1">
        <v>3200</v>
      </c>
      <c r="G76">
        <v>333</v>
      </c>
      <c r="H76" s="1">
        <v>4101</v>
      </c>
      <c r="I76">
        <v>85</v>
      </c>
      <c r="J76">
        <v>71</v>
      </c>
      <c r="K76">
        <v>141</v>
      </c>
      <c r="L76">
        <v>157</v>
      </c>
      <c r="M76">
        <v>10</v>
      </c>
      <c r="N76">
        <v>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s="1">
        <v>0</v>
      </c>
    </row>
    <row r="77" spans="1:34" x14ac:dyDescent="0.3">
      <c r="A77" t="s">
        <v>40</v>
      </c>
      <c r="B77" t="s">
        <v>61</v>
      </c>
      <c r="C77" t="s">
        <v>33</v>
      </c>
      <c r="D77" s="1">
        <v>14014</v>
      </c>
      <c r="E77" s="1">
        <v>11018</v>
      </c>
      <c r="F77" s="1">
        <v>1041</v>
      </c>
      <c r="G77">
        <v>97</v>
      </c>
      <c r="H77" s="1">
        <v>1698</v>
      </c>
      <c r="I77">
        <v>36</v>
      </c>
      <c r="J77">
        <v>13</v>
      </c>
      <c r="K77">
        <v>48</v>
      </c>
      <c r="L77">
        <v>55</v>
      </c>
      <c r="M77">
        <v>4</v>
      </c>
      <c r="N77">
        <v>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s="1">
        <v>0</v>
      </c>
    </row>
    <row r="78" spans="1:34" x14ac:dyDescent="0.3">
      <c r="A78" t="s">
        <v>40</v>
      </c>
      <c r="B78" t="s">
        <v>61</v>
      </c>
      <c r="C78" t="s">
        <v>34</v>
      </c>
      <c r="D78" s="1">
        <v>31561</v>
      </c>
      <c r="E78" s="1">
        <v>26451</v>
      </c>
      <c r="F78" s="1">
        <v>2159</v>
      </c>
      <c r="G78">
        <v>236</v>
      </c>
      <c r="H78" s="1">
        <v>2403</v>
      </c>
      <c r="I78">
        <v>49</v>
      </c>
      <c r="J78">
        <v>58</v>
      </c>
      <c r="K78">
        <v>93</v>
      </c>
      <c r="L78">
        <v>102</v>
      </c>
      <c r="M78">
        <v>6</v>
      </c>
      <c r="N78">
        <v>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s="1">
        <v>0</v>
      </c>
    </row>
    <row r="79" spans="1:34" x14ac:dyDescent="0.3">
      <c r="A79" t="s">
        <v>40</v>
      </c>
      <c r="B79" t="s">
        <v>62</v>
      </c>
      <c r="C79" t="s">
        <v>32</v>
      </c>
      <c r="D79" s="1">
        <v>30076</v>
      </c>
      <c r="E79" s="1">
        <v>21878</v>
      </c>
      <c r="F79" s="1">
        <v>2421</v>
      </c>
      <c r="G79">
        <v>39</v>
      </c>
      <c r="H79">
        <v>88</v>
      </c>
      <c r="I79" s="1">
        <v>3267</v>
      </c>
      <c r="J79">
        <v>28</v>
      </c>
      <c r="K79">
        <v>840</v>
      </c>
      <c r="L79">
        <v>542</v>
      </c>
      <c r="M79">
        <v>120</v>
      </c>
      <c r="N79">
        <v>104</v>
      </c>
      <c r="O79">
        <v>18</v>
      </c>
      <c r="P79">
        <v>85</v>
      </c>
      <c r="Q79">
        <v>31</v>
      </c>
      <c r="R79">
        <v>8</v>
      </c>
      <c r="S79">
        <v>103</v>
      </c>
      <c r="T79">
        <v>290</v>
      </c>
      <c r="U79">
        <v>12</v>
      </c>
      <c r="V79">
        <v>127</v>
      </c>
      <c r="W79">
        <v>0</v>
      </c>
      <c r="X79">
        <v>13</v>
      </c>
      <c r="Y79">
        <v>31</v>
      </c>
      <c r="Z79">
        <v>3</v>
      </c>
      <c r="AA79">
        <v>1</v>
      </c>
      <c r="AB79">
        <v>19</v>
      </c>
      <c r="AC79">
        <v>0</v>
      </c>
      <c r="AD79">
        <v>5</v>
      </c>
      <c r="AE79">
        <v>1</v>
      </c>
      <c r="AF79">
        <v>2</v>
      </c>
      <c r="AG79">
        <v>0</v>
      </c>
      <c r="AH79" s="1">
        <v>0</v>
      </c>
    </row>
    <row r="80" spans="1:34" x14ac:dyDescent="0.3">
      <c r="A80" t="s">
        <v>40</v>
      </c>
      <c r="B80" t="s">
        <v>62</v>
      </c>
      <c r="C80" t="s">
        <v>33</v>
      </c>
      <c r="D80" s="1">
        <v>26221</v>
      </c>
      <c r="E80" s="1">
        <v>18719</v>
      </c>
      <c r="F80" s="1">
        <v>1975</v>
      </c>
      <c r="G80">
        <v>31</v>
      </c>
      <c r="H80">
        <v>56</v>
      </c>
      <c r="I80" s="1">
        <v>3258</v>
      </c>
      <c r="J80">
        <v>22</v>
      </c>
      <c r="K80">
        <v>647</v>
      </c>
      <c r="L80">
        <v>541</v>
      </c>
      <c r="M80">
        <v>120</v>
      </c>
      <c r="N80">
        <v>104</v>
      </c>
      <c r="O80">
        <v>18</v>
      </c>
      <c r="P80">
        <v>85</v>
      </c>
      <c r="Q80">
        <v>30</v>
      </c>
      <c r="R80">
        <v>8</v>
      </c>
      <c r="S80">
        <v>103</v>
      </c>
      <c r="T80">
        <v>290</v>
      </c>
      <c r="U80">
        <v>12</v>
      </c>
      <c r="V80">
        <v>127</v>
      </c>
      <c r="W80">
        <v>0</v>
      </c>
      <c r="X80">
        <v>13</v>
      </c>
      <c r="Y80">
        <v>31</v>
      </c>
      <c r="Z80">
        <v>3</v>
      </c>
      <c r="AA80">
        <v>1</v>
      </c>
      <c r="AB80">
        <v>19</v>
      </c>
      <c r="AC80">
        <v>0</v>
      </c>
      <c r="AD80">
        <v>5</v>
      </c>
      <c r="AE80">
        <v>1</v>
      </c>
      <c r="AF80">
        <v>2</v>
      </c>
      <c r="AG80">
        <v>0</v>
      </c>
      <c r="AH80" s="1">
        <v>0</v>
      </c>
    </row>
    <row r="81" spans="1:34" x14ac:dyDescent="0.3">
      <c r="A81" t="s">
        <v>40</v>
      </c>
      <c r="B81" t="s">
        <v>62</v>
      </c>
      <c r="C81" t="s">
        <v>34</v>
      </c>
      <c r="D81" s="1">
        <v>3855</v>
      </c>
      <c r="E81" s="1">
        <v>3159</v>
      </c>
      <c r="F81">
        <v>446</v>
      </c>
      <c r="G81">
        <v>8</v>
      </c>
      <c r="H81">
        <v>32</v>
      </c>
      <c r="I81">
        <v>9</v>
      </c>
      <c r="J81">
        <v>6</v>
      </c>
      <c r="K81">
        <v>193</v>
      </c>
      <c r="L81">
        <v>1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s="1">
        <v>0</v>
      </c>
    </row>
    <row r="82" spans="1:34" x14ac:dyDescent="0.3">
      <c r="A82" t="s">
        <v>40</v>
      </c>
      <c r="B82" t="s">
        <v>63</v>
      </c>
      <c r="C82" t="s">
        <v>32</v>
      </c>
      <c r="D82" s="1">
        <v>29309</v>
      </c>
      <c r="E82" s="1">
        <v>23083</v>
      </c>
      <c r="F82" s="1">
        <v>5733</v>
      </c>
      <c r="G82">
        <v>25</v>
      </c>
      <c r="H82">
        <v>365</v>
      </c>
      <c r="I82">
        <v>1</v>
      </c>
      <c r="J82">
        <v>2</v>
      </c>
      <c r="K82">
        <v>18</v>
      </c>
      <c r="L82">
        <v>15</v>
      </c>
      <c r="M82">
        <v>1</v>
      </c>
      <c r="N82">
        <v>35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31</v>
      </c>
      <c r="AH82" s="1">
        <v>0</v>
      </c>
    </row>
    <row r="83" spans="1:34" x14ac:dyDescent="0.3">
      <c r="A83" t="s">
        <v>40</v>
      </c>
      <c r="B83" t="s">
        <v>63</v>
      </c>
      <c r="C83" t="s">
        <v>33</v>
      </c>
      <c r="D83" s="1">
        <v>16806</v>
      </c>
      <c r="E83" s="1">
        <v>13527</v>
      </c>
      <c r="F83" s="1">
        <v>3085</v>
      </c>
      <c r="G83">
        <v>10</v>
      </c>
      <c r="H83">
        <v>106</v>
      </c>
      <c r="I83" s="1">
        <v>0</v>
      </c>
      <c r="J83" s="1">
        <v>0</v>
      </c>
      <c r="K83">
        <v>6</v>
      </c>
      <c r="L83">
        <v>15</v>
      </c>
      <c r="M83">
        <v>1</v>
      </c>
      <c r="N83">
        <v>35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21</v>
      </c>
      <c r="AH83" s="1">
        <v>0</v>
      </c>
    </row>
    <row r="84" spans="1:34" x14ac:dyDescent="0.3">
      <c r="A84" t="s">
        <v>40</v>
      </c>
      <c r="B84" t="s">
        <v>63</v>
      </c>
      <c r="C84" t="s">
        <v>34</v>
      </c>
      <c r="D84" s="1">
        <v>12503</v>
      </c>
      <c r="E84" s="1">
        <v>9556</v>
      </c>
      <c r="F84" s="1">
        <v>2648</v>
      </c>
      <c r="G84">
        <v>15</v>
      </c>
      <c r="H84">
        <v>259</v>
      </c>
      <c r="I84">
        <v>1</v>
      </c>
      <c r="J84">
        <v>2</v>
      </c>
      <c r="K84">
        <v>12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10</v>
      </c>
      <c r="AH84" s="1">
        <v>0</v>
      </c>
    </row>
    <row r="85" spans="1:34" x14ac:dyDescent="0.3">
      <c r="A85" t="s">
        <v>40</v>
      </c>
      <c r="B85" t="s">
        <v>64</v>
      </c>
      <c r="C85" t="s">
        <v>32</v>
      </c>
      <c r="D85" s="1">
        <v>27173</v>
      </c>
      <c r="E85" s="1">
        <v>20861</v>
      </c>
      <c r="F85" s="1">
        <v>1779</v>
      </c>
      <c r="G85" s="1">
        <v>2552</v>
      </c>
      <c r="H85">
        <v>51</v>
      </c>
      <c r="I85">
        <v>592</v>
      </c>
      <c r="J85">
        <v>15</v>
      </c>
      <c r="K85">
        <v>35</v>
      </c>
      <c r="L85">
        <v>4</v>
      </c>
      <c r="M85">
        <v>71</v>
      </c>
      <c r="N85">
        <v>2</v>
      </c>
      <c r="O85">
        <v>34</v>
      </c>
      <c r="P85">
        <v>613</v>
      </c>
      <c r="Q85">
        <v>26</v>
      </c>
      <c r="R85">
        <v>102</v>
      </c>
      <c r="S85">
        <v>179</v>
      </c>
      <c r="T85">
        <v>55</v>
      </c>
      <c r="U85">
        <v>63</v>
      </c>
      <c r="V85">
        <v>42</v>
      </c>
      <c r="W85">
        <v>0</v>
      </c>
      <c r="X85">
        <v>26</v>
      </c>
      <c r="Y85">
        <v>40</v>
      </c>
      <c r="Z85">
        <v>2</v>
      </c>
      <c r="AA85">
        <v>0</v>
      </c>
      <c r="AB85">
        <v>19</v>
      </c>
      <c r="AC85">
        <v>0</v>
      </c>
      <c r="AD85">
        <v>8</v>
      </c>
      <c r="AE85">
        <v>2</v>
      </c>
      <c r="AF85">
        <v>0</v>
      </c>
      <c r="AG85">
        <v>0</v>
      </c>
      <c r="AH85" s="1">
        <v>0</v>
      </c>
    </row>
    <row r="86" spans="1:34" x14ac:dyDescent="0.3">
      <c r="A86" t="s">
        <v>40</v>
      </c>
      <c r="B86" t="s">
        <v>64</v>
      </c>
      <c r="C86" t="s">
        <v>33</v>
      </c>
      <c r="D86" s="1">
        <v>23720</v>
      </c>
      <c r="E86" s="1">
        <v>18084</v>
      </c>
      <c r="F86" s="1">
        <v>1485</v>
      </c>
      <c r="G86" s="1">
        <v>2189</v>
      </c>
      <c r="H86">
        <v>40</v>
      </c>
      <c r="I86">
        <v>590</v>
      </c>
      <c r="J86">
        <v>15</v>
      </c>
      <c r="K86">
        <v>31</v>
      </c>
      <c r="L86">
        <v>4</v>
      </c>
      <c r="M86">
        <v>71</v>
      </c>
      <c r="N86">
        <v>2</v>
      </c>
      <c r="O86">
        <v>34</v>
      </c>
      <c r="P86">
        <v>612</v>
      </c>
      <c r="Q86">
        <v>26</v>
      </c>
      <c r="R86">
        <v>102</v>
      </c>
      <c r="S86">
        <v>178</v>
      </c>
      <c r="T86">
        <v>55</v>
      </c>
      <c r="U86">
        <v>63</v>
      </c>
      <c r="V86">
        <v>42</v>
      </c>
      <c r="W86">
        <v>0</v>
      </c>
      <c r="X86">
        <v>26</v>
      </c>
      <c r="Y86">
        <v>40</v>
      </c>
      <c r="Z86">
        <v>2</v>
      </c>
      <c r="AA86">
        <v>0</v>
      </c>
      <c r="AB86">
        <v>19</v>
      </c>
      <c r="AC86">
        <v>0</v>
      </c>
      <c r="AD86">
        <v>8</v>
      </c>
      <c r="AE86">
        <v>2</v>
      </c>
      <c r="AF86">
        <v>0</v>
      </c>
      <c r="AG86">
        <v>0</v>
      </c>
      <c r="AH86" s="1">
        <v>0</v>
      </c>
    </row>
    <row r="87" spans="1:34" x14ac:dyDescent="0.3">
      <c r="A87" t="s">
        <v>40</v>
      </c>
      <c r="B87" t="s">
        <v>64</v>
      </c>
      <c r="C87" t="s">
        <v>34</v>
      </c>
      <c r="D87" s="1">
        <v>3453</v>
      </c>
      <c r="E87" s="1">
        <v>2777</v>
      </c>
      <c r="F87">
        <v>294</v>
      </c>
      <c r="G87">
        <v>363</v>
      </c>
      <c r="H87">
        <v>11</v>
      </c>
      <c r="I87">
        <v>2</v>
      </c>
      <c r="J87">
        <v>0</v>
      </c>
      <c r="K87">
        <v>4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s="1">
        <v>0</v>
      </c>
    </row>
    <row r="88" spans="1:34" x14ac:dyDescent="0.3">
      <c r="A88" t="s">
        <v>40</v>
      </c>
      <c r="B88" t="s">
        <v>65</v>
      </c>
      <c r="C88" t="s">
        <v>32</v>
      </c>
      <c r="D88" s="1">
        <v>25178</v>
      </c>
      <c r="E88" s="1">
        <v>21678</v>
      </c>
      <c r="F88" s="1">
        <v>1102</v>
      </c>
      <c r="G88">
        <v>607</v>
      </c>
      <c r="H88">
        <v>181</v>
      </c>
      <c r="I88">
        <v>782</v>
      </c>
      <c r="J88">
        <v>52</v>
      </c>
      <c r="K88">
        <v>67</v>
      </c>
      <c r="L88">
        <v>168</v>
      </c>
      <c r="M88">
        <v>88</v>
      </c>
      <c r="N88">
        <v>397</v>
      </c>
      <c r="O88">
        <v>0</v>
      </c>
      <c r="P88">
        <v>2</v>
      </c>
      <c r="Q88">
        <v>0</v>
      </c>
      <c r="R88">
        <v>0</v>
      </c>
      <c r="S88">
        <v>2</v>
      </c>
      <c r="T88">
        <v>4</v>
      </c>
      <c r="U88">
        <v>0</v>
      </c>
      <c r="V88">
        <v>0</v>
      </c>
      <c r="W88">
        <v>0</v>
      </c>
      <c r="X88">
        <v>0</v>
      </c>
      <c r="Y88">
        <v>0</v>
      </c>
      <c r="Z88">
        <v>46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</v>
      </c>
      <c r="AH88" s="1">
        <v>0</v>
      </c>
    </row>
    <row r="89" spans="1:34" x14ac:dyDescent="0.3">
      <c r="A89" t="s">
        <v>40</v>
      </c>
      <c r="B89" t="s">
        <v>65</v>
      </c>
      <c r="C89" t="s">
        <v>33</v>
      </c>
      <c r="D89" s="1">
        <v>13129</v>
      </c>
      <c r="E89" s="1">
        <v>11196</v>
      </c>
      <c r="F89">
        <v>660</v>
      </c>
      <c r="G89">
        <v>375</v>
      </c>
      <c r="H89">
        <v>97</v>
      </c>
      <c r="I89">
        <v>379</v>
      </c>
      <c r="J89">
        <v>32</v>
      </c>
      <c r="K89">
        <v>41</v>
      </c>
      <c r="L89">
        <v>84</v>
      </c>
      <c r="M89">
        <v>44</v>
      </c>
      <c r="N89">
        <v>193</v>
      </c>
      <c r="O89">
        <v>0</v>
      </c>
      <c r="P89">
        <v>1</v>
      </c>
      <c r="Q89">
        <v>0</v>
      </c>
      <c r="R89">
        <v>0</v>
      </c>
      <c r="S89">
        <v>1</v>
      </c>
      <c r="T89">
        <v>4</v>
      </c>
      <c r="U89">
        <v>0</v>
      </c>
      <c r="V89">
        <v>0</v>
      </c>
      <c r="W89">
        <v>0</v>
      </c>
      <c r="X89">
        <v>0</v>
      </c>
      <c r="Y89">
        <v>0</v>
      </c>
      <c r="Z89">
        <v>20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</v>
      </c>
      <c r="AH89" s="1">
        <v>0</v>
      </c>
    </row>
    <row r="90" spans="1:34" x14ac:dyDescent="0.3">
      <c r="A90" t="s">
        <v>40</v>
      </c>
      <c r="B90" t="s">
        <v>65</v>
      </c>
      <c r="C90" t="s">
        <v>34</v>
      </c>
      <c r="D90" s="1">
        <v>12049</v>
      </c>
      <c r="E90" s="1">
        <v>10482</v>
      </c>
      <c r="F90">
        <v>442</v>
      </c>
      <c r="G90">
        <v>232</v>
      </c>
      <c r="H90">
        <v>84</v>
      </c>
      <c r="I90">
        <v>403</v>
      </c>
      <c r="J90">
        <v>20</v>
      </c>
      <c r="K90">
        <v>26</v>
      </c>
      <c r="L90">
        <v>84</v>
      </c>
      <c r="M90">
        <v>44</v>
      </c>
      <c r="N90">
        <v>204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26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s="1">
        <v>0</v>
      </c>
    </row>
    <row r="91" spans="1:34" x14ac:dyDescent="0.3">
      <c r="A91" t="s">
        <v>40</v>
      </c>
      <c r="B91" t="s">
        <v>66</v>
      </c>
      <c r="C91" t="s">
        <v>32</v>
      </c>
      <c r="D91" s="1">
        <v>21502</v>
      </c>
      <c r="E91" s="1">
        <v>20378</v>
      </c>
      <c r="F91">
        <v>249</v>
      </c>
      <c r="G91">
        <v>611</v>
      </c>
      <c r="H91">
        <v>145</v>
      </c>
      <c r="I91">
        <v>10</v>
      </c>
      <c r="J91">
        <v>5</v>
      </c>
      <c r="K91">
        <v>10</v>
      </c>
      <c r="L91">
        <v>11</v>
      </c>
      <c r="M91">
        <v>2</v>
      </c>
      <c r="N91">
        <v>7</v>
      </c>
      <c r="O91">
        <v>0</v>
      </c>
      <c r="P91">
        <v>24</v>
      </c>
      <c r="Q91">
        <v>0</v>
      </c>
      <c r="R91">
        <v>5</v>
      </c>
      <c r="S91">
        <v>8</v>
      </c>
      <c r="T91">
        <v>0</v>
      </c>
      <c r="U91">
        <v>0</v>
      </c>
      <c r="V91">
        <v>0</v>
      </c>
      <c r="W91">
        <v>0</v>
      </c>
      <c r="X91">
        <v>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35</v>
      </c>
      <c r="AH91" s="1">
        <v>0</v>
      </c>
    </row>
    <row r="92" spans="1:34" x14ac:dyDescent="0.3">
      <c r="A92" t="s">
        <v>40</v>
      </c>
      <c r="B92" t="s">
        <v>66</v>
      </c>
      <c r="C92" t="s">
        <v>33</v>
      </c>
      <c r="D92" s="1">
        <v>11378</v>
      </c>
      <c r="E92" s="1">
        <v>10636</v>
      </c>
      <c r="F92">
        <v>184</v>
      </c>
      <c r="G92">
        <v>394</v>
      </c>
      <c r="H92">
        <v>65</v>
      </c>
      <c r="I92">
        <v>7</v>
      </c>
      <c r="J92">
        <v>4</v>
      </c>
      <c r="K92">
        <v>10</v>
      </c>
      <c r="L92">
        <v>7</v>
      </c>
      <c r="M92">
        <v>1</v>
      </c>
      <c r="N92">
        <v>3</v>
      </c>
      <c r="O92">
        <v>0</v>
      </c>
      <c r="P92">
        <v>24</v>
      </c>
      <c r="Q92">
        <v>0</v>
      </c>
      <c r="R92">
        <v>5</v>
      </c>
      <c r="S92">
        <v>8</v>
      </c>
      <c r="T92">
        <v>0</v>
      </c>
      <c r="U92">
        <v>0</v>
      </c>
      <c r="V92">
        <v>0</v>
      </c>
      <c r="W92">
        <v>0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28</v>
      </c>
      <c r="AH92" s="1">
        <v>0</v>
      </c>
    </row>
    <row r="93" spans="1:34" x14ac:dyDescent="0.3">
      <c r="A93" t="s">
        <v>40</v>
      </c>
      <c r="B93" t="s">
        <v>66</v>
      </c>
      <c r="C93" t="s">
        <v>34</v>
      </c>
      <c r="D93" s="1">
        <v>10124</v>
      </c>
      <c r="E93" s="1">
        <v>9742</v>
      </c>
      <c r="F93">
        <v>65</v>
      </c>
      <c r="G93">
        <v>217</v>
      </c>
      <c r="H93">
        <v>80</v>
      </c>
      <c r="I93">
        <v>3</v>
      </c>
      <c r="J93">
        <v>1</v>
      </c>
      <c r="K93">
        <v>0</v>
      </c>
      <c r="L93">
        <v>4</v>
      </c>
      <c r="M93">
        <v>1</v>
      </c>
      <c r="N93">
        <v>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7</v>
      </c>
      <c r="AH93" s="1">
        <v>0</v>
      </c>
    </row>
    <row r="94" spans="1:34" x14ac:dyDescent="0.3">
      <c r="A94" t="s">
        <v>40</v>
      </c>
      <c r="B94" t="s">
        <v>67</v>
      </c>
      <c r="C94" t="s">
        <v>32</v>
      </c>
      <c r="D94" s="1">
        <v>17377</v>
      </c>
      <c r="E94" s="1">
        <v>15728</v>
      </c>
      <c r="F94">
        <v>598</v>
      </c>
      <c r="G94">
        <v>159</v>
      </c>
      <c r="H94">
        <v>45</v>
      </c>
      <c r="I94">
        <v>270</v>
      </c>
      <c r="J94">
        <v>46</v>
      </c>
      <c r="K94">
        <v>103</v>
      </c>
      <c r="L94">
        <v>0</v>
      </c>
      <c r="M94">
        <v>37</v>
      </c>
      <c r="N94">
        <v>2</v>
      </c>
      <c r="O94">
        <v>8</v>
      </c>
      <c r="P94">
        <v>53</v>
      </c>
      <c r="Q94">
        <v>68</v>
      </c>
      <c r="R94">
        <v>0</v>
      </c>
      <c r="S94">
        <v>173</v>
      </c>
      <c r="T94">
        <v>28</v>
      </c>
      <c r="U94">
        <v>2</v>
      </c>
      <c r="V94">
        <v>14</v>
      </c>
      <c r="W94">
        <v>0</v>
      </c>
      <c r="X94">
        <v>1</v>
      </c>
      <c r="Y94">
        <v>13</v>
      </c>
      <c r="Z94">
        <v>0</v>
      </c>
      <c r="AA94">
        <v>14</v>
      </c>
      <c r="AB94">
        <v>0</v>
      </c>
      <c r="AC94">
        <v>0</v>
      </c>
      <c r="AD94">
        <v>15</v>
      </c>
      <c r="AE94">
        <v>0</v>
      </c>
      <c r="AF94">
        <v>0</v>
      </c>
      <c r="AG94">
        <v>0</v>
      </c>
      <c r="AH94" s="1">
        <v>0</v>
      </c>
    </row>
    <row r="95" spans="1:34" x14ac:dyDescent="0.3">
      <c r="A95" t="s">
        <v>40</v>
      </c>
      <c r="B95" t="s">
        <v>67</v>
      </c>
      <c r="C95" t="s">
        <v>33</v>
      </c>
      <c r="D95" s="1">
        <v>14545</v>
      </c>
      <c r="E95" s="1">
        <v>13023</v>
      </c>
      <c r="F95">
        <v>548</v>
      </c>
      <c r="G95">
        <v>119</v>
      </c>
      <c r="H95">
        <v>32</v>
      </c>
      <c r="I95">
        <v>269</v>
      </c>
      <c r="J95">
        <v>36</v>
      </c>
      <c r="K95">
        <v>95</v>
      </c>
      <c r="L95">
        <v>0</v>
      </c>
      <c r="M95">
        <v>33</v>
      </c>
      <c r="N95">
        <v>1</v>
      </c>
      <c r="O95">
        <v>8</v>
      </c>
      <c r="P95">
        <v>53</v>
      </c>
      <c r="Q95">
        <v>68</v>
      </c>
      <c r="R95">
        <v>0</v>
      </c>
      <c r="S95">
        <v>173</v>
      </c>
      <c r="T95">
        <v>28</v>
      </c>
      <c r="U95">
        <v>2</v>
      </c>
      <c r="V95">
        <v>14</v>
      </c>
      <c r="W95">
        <v>0</v>
      </c>
      <c r="X95">
        <v>1</v>
      </c>
      <c r="Y95">
        <v>13</v>
      </c>
      <c r="Z95">
        <v>0</v>
      </c>
      <c r="AA95">
        <v>14</v>
      </c>
      <c r="AB95">
        <v>0</v>
      </c>
      <c r="AC95">
        <v>0</v>
      </c>
      <c r="AD95">
        <v>15</v>
      </c>
      <c r="AE95">
        <v>0</v>
      </c>
      <c r="AF95">
        <v>0</v>
      </c>
      <c r="AG95">
        <v>0</v>
      </c>
      <c r="AH95" s="1">
        <v>0</v>
      </c>
    </row>
    <row r="96" spans="1:34" x14ac:dyDescent="0.3">
      <c r="A96" t="s">
        <v>40</v>
      </c>
      <c r="B96" t="s">
        <v>67</v>
      </c>
      <c r="C96" t="s">
        <v>34</v>
      </c>
      <c r="D96" s="1">
        <v>2832</v>
      </c>
      <c r="E96" s="1">
        <v>2705</v>
      </c>
      <c r="F96">
        <v>50</v>
      </c>
      <c r="G96">
        <v>40</v>
      </c>
      <c r="H96">
        <v>13</v>
      </c>
      <c r="I96">
        <v>1</v>
      </c>
      <c r="J96">
        <v>10</v>
      </c>
      <c r="K96">
        <v>8</v>
      </c>
      <c r="L96">
        <v>0</v>
      </c>
      <c r="M96">
        <v>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s="1">
        <v>0</v>
      </c>
    </row>
    <row r="97" spans="1:34" x14ac:dyDescent="0.3">
      <c r="A97" t="s">
        <v>40</v>
      </c>
      <c r="B97" t="s">
        <v>68</v>
      </c>
      <c r="C97" t="s">
        <v>32</v>
      </c>
      <c r="D97" s="1">
        <v>13946</v>
      </c>
      <c r="E97" s="1">
        <v>12924</v>
      </c>
      <c r="F97">
        <v>191</v>
      </c>
      <c r="G97">
        <v>231</v>
      </c>
      <c r="H97">
        <v>3</v>
      </c>
      <c r="I97">
        <v>305</v>
      </c>
      <c r="J97">
        <v>29</v>
      </c>
      <c r="K97">
        <v>7</v>
      </c>
      <c r="L97">
        <v>152</v>
      </c>
      <c r="M97">
        <v>33</v>
      </c>
      <c r="N97">
        <v>46</v>
      </c>
      <c r="O97">
        <v>0</v>
      </c>
      <c r="P97">
        <v>4</v>
      </c>
      <c r="Q97">
        <v>0</v>
      </c>
      <c r="R97">
        <v>0</v>
      </c>
      <c r="S97">
        <v>0</v>
      </c>
      <c r="T97">
        <v>0</v>
      </c>
      <c r="U97">
        <v>21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s="1">
        <v>0</v>
      </c>
    </row>
    <row r="98" spans="1:34" x14ac:dyDescent="0.3">
      <c r="A98" t="s">
        <v>40</v>
      </c>
      <c r="B98" t="s">
        <v>68</v>
      </c>
      <c r="C98" t="s">
        <v>33</v>
      </c>
      <c r="D98" s="1">
        <v>7962</v>
      </c>
      <c r="E98" s="1">
        <v>7336</v>
      </c>
      <c r="F98">
        <v>109</v>
      </c>
      <c r="G98">
        <v>138</v>
      </c>
      <c r="H98">
        <v>2</v>
      </c>
      <c r="I98">
        <v>197</v>
      </c>
      <c r="J98">
        <v>6</v>
      </c>
      <c r="K98">
        <v>4</v>
      </c>
      <c r="L98">
        <v>94</v>
      </c>
      <c r="M98">
        <v>33</v>
      </c>
      <c r="N98">
        <v>24</v>
      </c>
      <c r="O98">
        <v>0</v>
      </c>
      <c r="P98">
        <v>4</v>
      </c>
      <c r="Q98">
        <v>0</v>
      </c>
      <c r="R98">
        <v>0</v>
      </c>
      <c r="S98">
        <v>0</v>
      </c>
      <c r="T98">
        <v>0</v>
      </c>
      <c r="U98">
        <v>15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s="1">
        <v>0</v>
      </c>
    </row>
    <row r="99" spans="1:34" x14ac:dyDescent="0.3">
      <c r="A99" t="s">
        <v>40</v>
      </c>
      <c r="B99" t="s">
        <v>68</v>
      </c>
      <c r="C99" t="s">
        <v>34</v>
      </c>
      <c r="D99" s="1">
        <v>5984</v>
      </c>
      <c r="E99" s="1">
        <v>5588</v>
      </c>
      <c r="F99">
        <v>82</v>
      </c>
      <c r="G99">
        <v>93</v>
      </c>
      <c r="H99">
        <v>1</v>
      </c>
      <c r="I99">
        <v>108</v>
      </c>
      <c r="J99">
        <v>23</v>
      </c>
      <c r="K99">
        <v>3</v>
      </c>
      <c r="L99">
        <v>58</v>
      </c>
      <c r="M99">
        <v>0</v>
      </c>
      <c r="N99">
        <v>22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s="1">
        <v>0</v>
      </c>
    </row>
    <row r="100" spans="1:34" x14ac:dyDescent="0.3">
      <c r="A100" t="s">
        <v>40</v>
      </c>
      <c r="B100" t="s">
        <v>69</v>
      </c>
      <c r="C100" t="s">
        <v>32</v>
      </c>
      <c r="D100" s="1">
        <v>9408</v>
      </c>
      <c r="E100" s="1">
        <v>8986</v>
      </c>
      <c r="F100">
        <v>156</v>
      </c>
      <c r="G100">
        <v>192</v>
      </c>
      <c r="H100">
        <v>20</v>
      </c>
      <c r="I100">
        <v>15</v>
      </c>
      <c r="J100">
        <v>1</v>
      </c>
      <c r="K100">
        <v>0</v>
      </c>
      <c r="L100">
        <v>2</v>
      </c>
      <c r="M100">
        <v>5</v>
      </c>
      <c r="N100">
        <v>6</v>
      </c>
      <c r="O100">
        <v>0</v>
      </c>
      <c r="P100">
        <v>5</v>
      </c>
      <c r="Q100">
        <v>0</v>
      </c>
      <c r="R100">
        <v>3</v>
      </c>
      <c r="S100">
        <v>13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4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s="1">
        <v>0</v>
      </c>
    </row>
    <row r="101" spans="1:34" x14ac:dyDescent="0.3">
      <c r="A101" t="s">
        <v>40</v>
      </c>
      <c r="B101" t="s">
        <v>69</v>
      </c>
      <c r="C101" t="s">
        <v>33</v>
      </c>
      <c r="D101" s="1">
        <v>4859</v>
      </c>
      <c r="E101" s="1">
        <v>4561</v>
      </c>
      <c r="F101">
        <v>125</v>
      </c>
      <c r="G101">
        <v>124</v>
      </c>
      <c r="H101">
        <v>13</v>
      </c>
      <c r="I101">
        <v>6</v>
      </c>
      <c r="J101">
        <v>0</v>
      </c>
      <c r="K101">
        <v>0</v>
      </c>
      <c r="L101">
        <v>1</v>
      </c>
      <c r="M101">
        <v>0</v>
      </c>
      <c r="N101">
        <v>4</v>
      </c>
      <c r="O101">
        <v>0</v>
      </c>
      <c r="P101">
        <v>5</v>
      </c>
      <c r="Q101">
        <v>0</v>
      </c>
      <c r="R101">
        <v>3</v>
      </c>
      <c r="S101">
        <v>13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s="1">
        <v>0</v>
      </c>
    </row>
    <row r="102" spans="1:34" x14ac:dyDescent="0.3">
      <c r="A102" t="s">
        <v>40</v>
      </c>
      <c r="B102" t="s">
        <v>69</v>
      </c>
      <c r="C102" t="s">
        <v>34</v>
      </c>
      <c r="D102" s="1">
        <v>4549</v>
      </c>
      <c r="E102" s="1">
        <v>4425</v>
      </c>
      <c r="F102">
        <v>31</v>
      </c>
      <c r="G102">
        <v>68</v>
      </c>
      <c r="H102">
        <v>7</v>
      </c>
      <c r="I102">
        <v>9</v>
      </c>
      <c r="J102">
        <v>1</v>
      </c>
      <c r="K102">
        <v>0</v>
      </c>
      <c r="L102">
        <v>1</v>
      </c>
      <c r="M102">
        <v>5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s="1">
        <v>0</v>
      </c>
    </row>
    <row r="103" spans="1:34" x14ac:dyDescent="0.3">
      <c r="A103" t="s">
        <v>40</v>
      </c>
      <c r="B103" t="s">
        <v>70</v>
      </c>
      <c r="C103" t="s">
        <v>32</v>
      </c>
      <c r="D103" s="1">
        <v>8181</v>
      </c>
      <c r="E103" s="1">
        <v>7873</v>
      </c>
      <c r="F103">
        <v>211</v>
      </c>
      <c r="G103">
        <v>16</v>
      </c>
      <c r="H103">
        <v>29</v>
      </c>
      <c r="I103">
        <v>7</v>
      </c>
      <c r="J103">
        <v>7</v>
      </c>
      <c r="K103">
        <v>2</v>
      </c>
      <c r="L103">
        <v>8</v>
      </c>
      <c r="M103">
        <v>13</v>
      </c>
      <c r="N103">
        <v>0</v>
      </c>
      <c r="O103">
        <v>13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s="1">
        <v>0</v>
      </c>
    </row>
    <row r="104" spans="1:34" x14ac:dyDescent="0.3">
      <c r="A104" t="s">
        <v>40</v>
      </c>
      <c r="B104" t="s">
        <v>70</v>
      </c>
      <c r="C104" t="s">
        <v>33</v>
      </c>
      <c r="D104" s="1">
        <v>4073</v>
      </c>
      <c r="E104" s="1">
        <v>3898</v>
      </c>
      <c r="F104">
        <v>116</v>
      </c>
      <c r="G104">
        <v>12</v>
      </c>
      <c r="H104">
        <v>8</v>
      </c>
      <c r="I104">
        <v>3</v>
      </c>
      <c r="J104">
        <v>2</v>
      </c>
      <c r="K104">
        <v>1</v>
      </c>
      <c r="L104">
        <v>5</v>
      </c>
      <c r="M104">
        <v>13</v>
      </c>
      <c r="N104">
        <v>0</v>
      </c>
      <c r="O104">
        <v>13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s="1">
        <v>0</v>
      </c>
    </row>
    <row r="105" spans="1:34" x14ac:dyDescent="0.3">
      <c r="A105" t="s">
        <v>40</v>
      </c>
      <c r="B105" t="s">
        <v>70</v>
      </c>
      <c r="C105" t="s">
        <v>34</v>
      </c>
      <c r="D105" s="1">
        <v>4108</v>
      </c>
      <c r="E105" s="1">
        <v>3975</v>
      </c>
      <c r="F105">
        <v>95</v>
      </c>
      <c r="G105">
        <v>4</v>
      </c>
      <c r="H105">
        <v>21</v>
      </c>
      <c r="I105">
        <v>4</v>
      </c>
      <c r="J105">
        <v>5</v>
      </c>
      <c r="K105">
        <v>1</v>
      </c>
      <c r="L105">
        <v>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s="1">
        <v>0</v>
      </c>
    </row>
    <row r="106" spans="1:34" x14ac:dyDescent="0.3">
      <c r="A106" t="s">
        <v>40</v>
      </c>
      <c r="B106" t="s">
        <v>71</v>
      </c>
      <c r="C106" t="s">
        <v>32</v>
      </c>
      <c r="D106" s="1">
        <v>7011</v>
      </c>
      <c r="E106" s="1">
        <v>6777</v>
      </c>
      <c r="F106">
        <v>73</v>
      </c>
      <c r="G106">
        <v>128</v>
      </c>
      <c r="H106">
        <v>2</v>
      </c>
      <c r="I106">
        <v>6</v>
      </c>
      <c r="J106">
        <v>2</v>
      </c>
      <c r="K106">
        <v>11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s="1">
        <v>0</v>
      </c>
    </row>
    <row r="107" spans="1:34" x14ac:dyDescent="0.3">
      <c r="A107" t="s">
        <v>40</v>
      </c>
      <c r="B107" t="s">
        <v>71</v>
      </c>
      <c r="C107" t="s">
        <v>33</v>
      </c>
      <c r="D107" s="1">
        <v>6227</v>
      </c>
      <c r="E107" s="1">
        <v>6045</v>
      </c>
      <c r="F107">
        <v>59</v>
      </c>
      <c r="G107">
        <v>91</v>
      </c>
      <c r="H107">
        <v>2</v>
      </c>
      <c r="I107">
        <v>6</v>
      </c>
      <c r="J107">
        <v>2</v>
      </c>
      <c r="K107">
        <v>11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s="1">
        <v>0</v>
      </c>
    </row>
    <row r="108" spans="1:34" x14ac:dyDescent="0.3">
      <c r="A108" t="s">
        <v>40</v>
      </c>
      <c r="B108" t="s">
        <v>71</v>
      </c>
      <c r="C108" t="s">
        <v>34</v>
      </c>
      <c r="D108">
        <v>784</v>
      </c>
      <c r="E108">
        <v>732</v>
      </c>
      <c r="F108">
        <v>14</v>
      </c>
      <c r="G108">
        <v>37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s="1">
        <v>0</v>
      </c>
    </row>
    <row r="109" spans="1:34" x14ac:dyDescent="0.3">
      <c r="A109" t="s">
        <v>40</v>
      </c>
      <c r="B109" t="s">
        <v>72</v>
      </c>
      <c r="C109" t="s">
        <v>32</v>
      </c>
      <c r="D109" s="1">
        <v>4432</v>
      </c>
      <c r="E109" s="1">
        <v>4163</v>
      </c>
      <c r="F109">
        <v>67</v>
      </c>
      <c r="G109">
        <v>162</v>
      </c>
      <c r="H109">
        <v>10</v>
      </c>
      <c r="I109">
        <v>13</v>
      </c>
      <c r="J109">
        <v>0</v>
      </c>
      <c r="K109">
        <v>0</v>
      </c>
      <c r="L109">
        <v>5</v>
      </c>
      <c r="M109">
        <v>3</v>
      </c>
      <c r="N109">
        <v>3</v>
      </c>
      <c r="O109">
        <v>0</v>
      </c>
      <c r="P109">
        <v>3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s="1">
        <v>0</v>
      </c>
    </row>
    <row r="110" spans="1:34" x14ac:dyDescent="0.3">
      <c r="A110" t="s">
        <v>40</v>
      </c>
      <c r="B110" t="s">
        <v>72</v>
      </c>
      <c r="C110" t="s">
        <v>33</v>
      </c>
      <c r="D110" s="1">
        <v>2050</v>
      </c>
      <c r="E110" s="1">
        <v>1910</v>
      </c>
      <c r="F110">
        <v>26</v>
      </c>
      <c r="G110">
        <v>86</v>
      </c>
      <c r="H110">
        <v>9</v>
      </c>
      <c r="I110">
        <v>9</v>
      </c>
      <c r="J110">
        <v>0</v>
      </c>
      <c r="K110">
        <v>0</v>
      </c>
      <c r="L110">
        <v>1</v>
      </c>
      <c r="M110">
        <v>2</v>
      </c>
      <c r="N110">
        <v>1</v>
      </c>
      <c r="O110">
        <v>0</v>
      </c>
      <c r="P110">
        <v>3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s="1">
        <v>0</v>
      </c>
    </row>
    <row r="111" spans="1:34" x14ac:dyDescent="0.3">
      <c r="A111" t="s">
        <v>40</v>
      </c>
      <c r="B111" t="s">
        <v>72</v>
      </c>
      <c r="C111" t="s">
        <v>34</v>
      </c>
      <c r="D111" s="1">
        <v>2382</v>
      </c>
      <c r="E111" s="1">
        <v>2253</v>
      </c>
      <c r="F111">
        <v>41</v>
      </c>
      <c r="G111">
        <v>76</v>
      </c>
      <c r="H111">
        <v>1</v>
      </c>
      <c r="I111">
        <v>4</v>
      </c>
      <c r="J111">
        <v>0</v>
      </c>
      <c r="K111">
        <v>0</v>
      </c>
      <c r="L111">
        <v>4</v>
      </c>
      <c r="M111">
        <v>1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s="1">
        <v>0</v>
      </c>
    </row>
    <row r="112" spans="1:34" x14ac:dyDescent="0.3">
      <c r="A112" t="s">
        <v>40</v>
      </c>
      <c r="B112" t="s">
        <v>73</v>
      </c>
      <c r="C112" t="s">
        <v>32</v>
      </c>
      <c r="D112" s="1">
        <v>4360</v>
      </c>
      <c r="E112" s="1">
        <v>4015</v>
      </c>
      <c r="F112">
        <v>159</v>
      </c>
      <c r="G112">
        <v>67</v>
      </c>
      <c r="H112">
        <v>28</v>
      </c>
      <c r="I112">
        <v>70</v>
      </c>
      <c r="J112">
        <v>0</v>
      </c>
      <c r="K112">
        <v>1</v>
      </c>
      <c r="L112">
        <v>0</v>
      </c>
      <c r="M112">
        <v>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s="1">
        <v>0</v>
      </c>
    </row>
    <row r="113" spans="1:34" x14ac:dyDescent="0.3">
      <c r="A113" t="s">
        <v>40</v>
      </c>
      <c r="B113" t="s">
        <v>73</v>
      </c>
      <c r="C113" t="s">
        <v>33</v>
      </c>
      <c r="D113" s="1">
        <v>2381</v>
      </c>
      <c r="E113" s="1">
        <v>2109</v>
      </c>
      <c r="F113">
        <v>121</v>
      </c>
      <c r="G113">
        <v>47</v>
      </c>
      <c r="H113">
        <v>17</v>
      </c>
      <c r="I113">
        <v>69</v>
      </c>
      <c r="J113">
        <v>0</v>
      </c>
      <c r="K113">
        <v>0</v>
      </c>
      <c r="L113">
        <v>0</v>
      </c>
      <c r="M113">
        <v>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s="1">
        <v>0</v>
      </c>
    </row>
    <row r="114" spans="1:34" x14ac:dyDescent="0.3">
      <c r="A114" t="s">
        <v>40</v>
      </c>
      <c r="B114" t="s">
        <v>73</v>
      </c>
      <c r="C114" t="s">
        <v>34</v>
      </c>
      <c r="D114" s="1">
        <v>1979</v>
      </c>
      <c r="E114" s="1">
        <v>1906</v>
      </c>
      <c r="F114">
        <v>38</v>
      </c>
      <c r="G114">
        <v>20</v>
      </c>
      <c r="H114">
        <v>11</v>
      </c>
      <c r="I114">
        <v>1</v>
      </c>
      <c r="J114">
        <v>0</v>
      </c>
      <c r="K114">
        <v>1</v>
      </c>
      <c r="L114">
        <v>0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s="1">
        <v>0</v>
      </c>
    </row>
    <row r="115" spans="1:34" x14ac:dyDescent="0.3">
      <c r="A115" t="s">
        <v>40</v>
      </c>
      <c r="B115" t="s">
        <v>74</v>
      </c>
      <c r="C115" t="s">
        <v>32</v>
      </c>
      <c r="D115" s="1">
        <v>2807</v>
      </c>
      <c r="E115" s="1">
        <v>2783</v>
      </c>
      <c r="F115">
        <v>12</v>
      </c>
      <c r="G115">
        <v>9</v>
      </c>
      <c r="H115">
        <v>0</v>
      </c>
      <c r="I115">
        <v>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s="1">
        <v>0</v>
      </c>
    </row>
    <row r="116" spans="1:34" x14ac:dyDescent="0.3">
      <c r="A116" t="s">
        <v>40</v>
      </c>
      <c r="B116" t="s">
        <v>74</v>
      </c>
      <c r="C116" t="s">
        <v>33</v>
      </c>
      <c r="D116" s="1">
        <v>2396</v>
      </c>
      <c r="E116" s="1">
        <v>2379</v>
      </c>
      <c r="F116">
        <v>8</v>
      </c>
      <c r="G116">
        <v>6</v>
      </c>
      <c r="H116">
        <v>0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s="1">
        <v>0</v>
      </c>
    </row>
    <row r="117" spans="1:34" x14ac:dyDescent="0.3">
      <c r="A117" t="s">
        <v>40</v>
      </c>
      <c r="B117" t="s">
        <v>74</v>
      </c>
      <c r="C117" t="s">
        <v>34</v>
      </c>
      <c r="D117">
        <v>411</v>
      </c>
      <c r="E117">
        <v>404</v>
      </c>
      <c r="F117">
        <v>4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s="1">
        <v>0</v>
      </c>
    </row>
    <row r="118" spans="1:34" x14ac:dyDescent="0.3">
      <c r="A118" t="s">
        <v>40</v>
      </c>
      <c r="B118" t="s">
        <v>75</v>
      </c>
      <c r="C118" t="s">
        <v>32</v>
      </c>
      <c r="D118" s="1">
        <v>2737</v>
      </c>
      <c r="E118" s="1">
        <v>2531</v>
      </c>
      <c r="F118">
        <v>87</v>
      </c>
      <c r="G118">
        <v>14</v>
      </c>
      <c r="H118">
        <v>12</v>
      </c>
      <c r="I118">
        <v>60</v>
      </c>
      <c r="J118">
        <v>1</v>
      </c>
      <c r="K118">
        <v>4</v>
      </c>
      <c r="L118">
        <v>1</v>
      </c>
      <c r="M118">
        <v>2</v>
      </c>
      <c r="N118">
        <v>10</v>
      </c>
      <c r="O118">
        <v>2</v>
      </c>
      <c r="P118">
        <v>2</v>
      </c>
      <c r="Q118">
        <v>2</v>
      </c>
      <c r="R118">
        <v>1</v>
      </c>
      <c r="S118">
        <v>3</v>
      </c>
      <c r="T118">
        <v>0</v>
      </c>
      <c r="U118">
        <v>2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 s="1">
        <v>0</v>
      </c>
    </row>
    <row r="119" spans="1:34" x14ac:dyDescent="0.3">
      <c r="A119" t="s">
        <v>40</v>
      </c>
      <c r="B119" t="s">
        <v>75</v>
      </c>
      <c r="C119" t="s">
        <v>33</v>
      </c>
      <c r="D119" s="1">
        <v>2226</v>
      </c>
      <c r="E119" s="1">
        <v>2045</v>
      </c>
      <c r="F119">
        <v>76</v>
      </c>
      <c r="G119">
        <v>9</v>
      </c>
      <c r="H119">
        <v>8</v>
      </c>
      <c r="I119">
        <v>60</v>
      </c>
      <c r="J119">
        <v>1</v>
      </c>
      <c r="K119">
        <v>3</v>
      </c>
      <c r="L119">
        <v>1</v>
      </c>
      <c r="M119">
        <v>2</v>
      </c>
      <c r="N119">
        <v>6</v>
      </c>
      <c r="O119">
        <v>2</v>
      </c>
      <c r="P119">
        <v>2</v>
      </c>
      <c r="Q119">
        <v>2</v>
      </c>
      <c r="R119">
        <v>1</v>
      </c>
      <c r="S119">
        <v>3</v>
      </c>
      <c r="T119">
        <v>0</v>
      </c>
      <c r="U119">
        <v>2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 s="1">
        <v>0</v>
      </c>
    </row>
    <row r="120" spans="1:34" x14ac:dyDescent="0.3">
      <c r="A120" t="s">
        <v>40</v>
      </c>
      <c r="B120" t="s">
        <v>75</v>
      </c>
      <c r="C120" t="s">
        <v>34</v>
      </c>
      <c r="D120">
        <v>511</v>
      </c>
      <c r="E120">
        <v>486</v>
      </c>
      <c r="F120">
        <v>11</v>
      </c>
      <c r="G120">
        <v>5</v>
      </c>
      <c r="H120">
        <v>4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s="1">
        <v>0</v>
      </c>
    </row>
    <row r="121" spans="1:34" x14ac:dyDescent="0.3">
      <c r="A121" t="s">
        <v>40</v>
      </c>
      <c r="B121" t="s">
        <v>76</v>
      </c>
      <c r="C121" t="s">
        <v>32</v>
      </c>
      <c r="D121" s="1">
        <v>2668</v>
      </c>
      <c r="E121" s="1">
        <v>2317</v>
      </c>
      <c r="F121">
        <v>58</v>
      </c>
      <c r="G121">
        <v>7</v>
      </c>
      <c r="H121">
        <v>1</v>
      </c>
      <c r="I121">
        <v>15</v>
      </c>
      <c r="J121">
        <v>0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6</v>
      </c>
      <c r="Q121">
        <v>0</v>
      </c>
      <c r="R121">
        <v>85</v>
      </c>
      <c r="S121">
        <v>52</v>
      </c>
      <c r="T121">
        <v>55</v>
      </c>
      <c r="U121">
        <v>6</v>
      </c>
      <c r="V121">
        <v>43</v>
      </c>
      <c r="W121">
        <v>0</v>
      </c>
      <c r="X121">
        <v>12</v>
      </c>
      <c r="Y121">
        <v>9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s="1">
        <v>0</v>
      </c>
    </row>
    <row r="122" spans="1:34" x14ac:dyDescent="0.3">
      <c r="A122" t="s">
        <v>40</v>
      </c>
      <c r="B122" t="s">
        <v>76</v>
      </c>
      <c r="C122" t="s">
        <v>33</v>
      </c>
      <c r="D122" s="1">
        <v>2230</v>
      </c>
      <c r="E122" s="1">
        <v>1888</v>
      </c>
      <c r="F122">
        <v>51</v>
      </c>
      <c r="G122">
        <v>6</v>
      </c>
      <c r="H122">
        <v>0</v>
      </c>
      <c r="I122">
        <v>15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6</v>
      </c>
      <c r="Q122">
        <v>0</v>
      </c>
      <c r="R122">
        <v>85</v>
      </c>
      <c r="S122">
        <v>52</v>
      </c>
      <c r="T122">
        <v>55</v>
      </c>
      <c r="U122">
        <v>6</v>
      </c>
      <c r="V122">
        <v>43</v>
      </c>
      <c r="W122">
        <v>0</v>
      </c>
      <c r="X122">
        <v>12</v>
      </c>
      <c r="Y122">
        <v>9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s="1">
        <v>0</v>
      </c>
    </row>
    <row r="123" spans="1:34" x14ac:dyDescent="0.3">
      <c r="A123" t="s">
        <v>40</v>
      </c>
      <c r="B123" t="s">
        <v>76</v>
      </c>
      <c r="C123" t="s">
        <v>34</v>
      </c>
      <c r="D123">
        <v>438</v>
      </c>
      <c r="E123">
        <v>429</v>
      </c>
      <c r="F123">
        <v>7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s="1">
        <v>0</v>
      </c>
    </row>
    <row r="124" spans="1:34" x14ac:dyDescent="0.3">
      <c r="A124" t="s">
        <v>40</v>
      </c>
      <c r="B124" t="s">
        <v>77</v>
      </c>
      <c r="C124" t="s">
        <v>32</v>
      </c>
      <c r="D124" s="1">
        <v>2247</v>
      </c>
      <c r="E124" s="1">
        <v>2071</v>
      </c>
      <c r="F124">
        <v>73</v>
      </c>
      <c r="G124">
        <v>92</v>
      </c>
      <c r="H124">
        <v>0</v>
      </c>
      <c r="I124">
        <v>5</v>
      </c>
      <c r="J124">
        <v>0</v>
      </c>
      <c r="K124">
        <v>2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s="1">
        <v>0</v>
      </c>
    </row>
    <row r="125" spans="1:34" x14ac:dyDescent="0.3">
      <c r="A125" t="s">
        <v>40</v>
      </c>
      <c r="B125" t="s">
        <v>77</v>
      </c>
      <c r="C125" t="s">
        <v>33</v>
      </c>
      <c r="D125" s="1">
        <v>1277</v>
      </c>
      <c r="E125" s="1">
        <v>1162</v>
      </c>
      <c r="F125">
        <v>64</v>
      </c>
      <c r="G125">
        <v>46</v>
      </c>
      <c r="H125">
        <v>0</v>
      </c>
      <c r="I125">
        <v>1</v>
      </c>
      <c r="J125">
        <v>0</v>
      </c>
      <c r="K125">
        <v>2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s="1">
        <v>0</v>
      </c>
    </row>
    <row r="126" spans="1:34" x14ac:dyDescent="0.3">
      <c r="A126" t="s">
        <v>40</v>
      </c>
      <c r="B126" t="s">
        <v>77</v>
      </c>
      <c r="C126" t="s">
        <v>34</v>
      </c>
      <c r="D126">
        <v>970</v>
      </c>
      <c r="E126">
        <v>909</v>
      </c>
      <c r="F126">
        <v>9</v>
      </c>
      <c r="G126">
        <v>46</v>
      </c>
      <c r="H126">
        <v>0</v>
      </c>
      <c r="I126">
        <v>4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s="1">
        <v>0</v>
      </c>
    </row>
    <row r="127" spans="1:34" x14ac:dyDescent="0.3">
      <c r="A127" t="s">
        <v>40</v>
      </c>
      <c r="B127" t="s">
        <v>78</v>
      </c>
      <c r="C127" t="s">
        <v>32</v>
      </c>
      <c r="D127" s="1">
        <v>2159</v>
      </c>
      <c r="E127" s="1">
        <v>1993</v>
      </c>
      <c r="F127">
        <v>55</v>
      </c>
      <c r="G127">
        <v>43</v>
      </c>
      <c r="H127">
        <v>5</v>
      </c>
      <c r="I127">
        <v>5</v>
      </c>
      <c r="J127">
        <v>1</v>
      </c>
      <c r="K127">
        <v>1</v>
      </c>
      <c r="L127">
        <v>10</v>
      </c>
      <c r="M127">
        <v>4</v>
      </c>
      <c r="N127">
        <v>1</v>
      </c>
      <c r="O127">
        <v>7</v>
      </c>
      <c r="P127">
        <v>5</v>
      </c>
      <c r="Q127">
        <v>0</v>
      </c>
      <c r="R127">
        <v>0</v>
      </c>
      <c r="S127">
        <v>1</v>
      </c>
      <c r="T127">
        <v>14</v>
      </c>
      <c r="U127">
        <v>14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s="1">
        <v>0</v>
      </c>
    </row>
    <row r="128" spans="1:34" x14ac:dyDescent="0.3">
      <c r="A128" t="s">
        <v>40</v>
      </c>
      <c r="B128" t="s">
        <v>78</v>
      </c>
      <c r="C128" t="s">
        <v>33</v>
      </c>
      <c r="D128" s="1">
        <v>1402</v>
      </c>
      <c r="E128" s="1">
        <v>1280</v>
      </c>
      <c r="F128">
        <v>44</v>
      </c>
      <c r="G128">
        <v>17</v>
      </c>
      <c r="H128">
        <v>2</v>
      </c>
      <c r="I128">
        <v>2</v>
      </c>
      <c r="J128">
        <v>1</v>
      </c>
      <c r="K128">
        <v>1</v>
      </c>
      <c r="L128">
        <v>9</v>
      </c>
      <c r="M128">
        <v>4</v>
      </c>
      <c r="N128">
        <v>1</v>
      </c>
      <c r="O128">
        <v>7</v>
      </c>
      <c r="P128">
        <v>5</v>
      </c>
      <c r="Q128">
        <v>0</v>
      </c>
      <c r="R128">
        <v>0</v>
      </c>
      <c r="S128">
        <v>1</v>
      </c>
      <c r="T128">
        <v>14</v>
      </c>
      <c r="U128">
        <v>14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s="1">
        <v>0</v>
      </c>
    </row>
    <row r="129" spans="1:34" x14ac:dyDescent="0.3">
      <c r="A129" t="s">
        <v>40</v>
      </c>
      <c r="B129" t="s">
        <v>78</v>
      </c>
      <c r="C129" t="s">
        <v>34</v>
      </c>
      <c r="D129">
        <v>757</v>
      </c>
      <c r="E129">
        <v>713</v>
      </c>
      <c r="F129">
        <v>11</v>
      </c>
      <c r="G129">
        <v>26</v>
      </c>
      <c r="H129">
        <v>3</v>
      </c>
      <c r="I129">
        <v>3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s="1">
        <v>0</v>
      </c>
    </row>
    <row r="130" spans="1:34" x14ac:dyDescent="0.3">
      <c r="A130" t="s">
        <v>40</v>
      </c>
      <c r="B130" t="s">
        <v>79</v>
      </c>
      <c r="C130" t="s">
        <v>32</v>
      </c>
      <c r="D130" s="1">
        <v>1942</v>
      </c>
      <c r="E130" s="1">
        <v>1860</v>
      </c>
      <c r="F130">
        <v>66</v>
      </c>
      <c r="G130">
        <v>0</v>
      </c>
      <c r="H130">
        <v>12</v>
      </c>
      <c r="I130">
        <v>0</v>
      </c>
      <c r="J130">
        <v>3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s="1">
        <v>0</v>
      </c>
    </row>
    <row r="131" spans="1:34" x14ac:dyDescent="0.3">
      <c r="A131" t="s">
        <v>40</v>
      </c>
      <c r="B131" t="s">
        <v>79</v>
      </c>
      <c r="C131" t="s">
        <v>33</v>
      </c>
      <c r="D131" s="1">
        <v>1693</v>
      </c>
      <c r="E131" s="1">
        <v>1628</v>
      </c>
      <c r="F131">
        <v>51</v>
      </c>
      <c r="G131">
        <v>0</v>
      </c>
      <c r="H131">
        <v>12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s="1">
        <v>0</v>
      </c>
    </row>
    <row r="132" spans="1:34" x14ac:dyDescent="0.3">
      <c r="A132" t="s">
        <v>40</v>
      </c>
      <c r="B132" t="s">
        <v>79</v>
      </c>
      <c r="C132" t="s">
        <v>34</v>
      </c>
      <c r="D132">
        <v>249</v>
      </c>
      <c r="E132">
        <v>232</v>
      </c>
      <c r="F132">
        <v>15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s="1">
        <v>0</v>
      </c>
    </row>
    <row r="133" spans="1:34" x14ac:dyDescent="0.3">
      <c r="A133" t="s">
        <v>40</v>
      </c>
      <c r="B133" t="s">
        <v>80</v>
      </c>
      <c r="C133" t="s">
        <v>32</v>
      </c>
      <c r="D133" s="1">
        <v>1848</v>
      </c>
      <c r="E133" s="1">
        <v>1655</v>
      </c>
      <c r="F133">
        <v>36</v>
      </c>
      <c r="G133">
        <v>41</v>
      </c>
      <c r="H133">
        <v>31</v>
      </c>
      <c r="I133">
        <v>4</v>
      </c>
      <c r="J133">
        <v>3</v>
      </c>
      <c r="K133">
        <v>1</v>
      </c>
      <c r="L133">
        <v>23</v>
      </c>
      <c r="M133">
        <v>1</v>
      </c>
      <c r="N133">
        <v>51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s="1">
        <v>0</v>
      </c>
    </row>
    <row r="134" spans="1:34" x14ac:dyDescent="0.3">
      <c r="A134" t="s">
        <v>40</v>
      </c>
      <c r="B134" t="s">
        <v>80</v>
      </c>
      <c r="C134" t="s">
        <v>33</v>
      </c>
      <c r="D134" s="1">
        <v>1196</v>
      </c>
      <c r="E134" s="1">
        <v>1059</v>
      </c>
      <c r="F134">
        <v>22</v>
      </c>
      <c r="G134">
        <v>24</v>
      </c>
      <c r="H134">
        <v>27</v>
      </c>
      <c r="I134">
        <v>3</v>
      </c>
      <c r="J134">
        <v>3</v>
      </c>
      <c r="K134">
        <v>1</v>
      </c>
      <c r="L134">
        <v>19</v>
      </c>
      <c r="M134">
        <v>1</v>
      </c>
      <c r="N134">
        <v>35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s="1">
        <v>0</v>
      </c>
    </row>
    <row r="135" spans="1:34" x14ac:dyDescent="0.3">
      <c r="A135" t="s">
        <v>40</v>
      </c>
      <c r="B135" t="s">
        <v>80</v>
      </c>
      <c r="C135" t="s">
        <v>34</v>
      </c>
      <c r="D135">
        <v>652</v>
      </c>
      <c r="E135">
        <v>596</v>
      </c>
      <c r="F135">
        <v>14</v>
      </c>
      <c r="G135">
        <v>17</v>
      </c>
      <c r="H135">
        <v>4</v>
      </c>
      <c r="I135">
        <v>1</v>
      </c>
      <c r="J135">
        <v>0</v>
      </c>
      <c r="K135">
        <v>0</v>
      </c>
      <c r="L135">
        <v>4</v>
      </c>
      <c r="M135">
        <v>0</v>
      </c>
      <c r="N135">
        <v>16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s="1">
        <v>0</v>
      </c>
    </row>
    <row r="136" spans="1:34" x14ac:dyDescent="0.3">
      <c r="A136" t="s">
        <v>40</v>
      </c>
      <c r="B136" t="s">
        <v>81</v>
      </c>
      <c r="C136" t="s">
        <v>32</v>
      </c>
      <c r="D136" s="1">
        <v>1525</v>
      </c>
      <c r="E136" s="1">
        <v>1205</v>
      </c>
      <c r="F136">
        <v>70</v>
      </c>
      <c r="G136">
        <v>92</v>
      </c>
      <c r="H136">
        <v>19</v>
      </c>
      <c r="I136">
        <v>30</v>
      </c>
      <c r="J136">
        <v>0</v>
      </c>
      <c r="K136">
        <v>2</v>
      </c>
      <c r="L136">
        <v>40</v>
      </c>
      <c r="M136">
        <v>20</v>
      </c>
      <c r="N136">
        <v>10</v>
      </c>
      <c r="O136">
        <v>0</v>
      </c>
      <c r="P136">
        <v>2</v>
      </c>
      <c r="Q136">
        <v>3</v>
      </c>
      <c r="R136">
        <v>0</v>
      </c>
      <c r="S136">
        <v>6</v>
      </c>
      <c r="T136">
        <v>7</v>
      </c>
      <c r="U136">
        <v>2</v>
      </c>
      <c r="V136">
        <v>1</v>
      </c>
      <c r="W136">
        <v>0</v>
      </c>
      <c r="X136">
        <v>1</v>
      </c>
      <c r="Y136">
        <v>4</v>
      </c>
      <c r="Z136">
        <v>0</v>
      </c>
      <c r="AA136">
        <v>4</v>
      </c>
      <c r="AB136">
        <v>3</v>
      </c>
      <c r="AC136">
        <v>0</v>
      </c>
      <c r="AD136">
        <v>0</v>
      </c>
      <c r="AE136">
        <v>0</v>
      </c>
      <c r="AF136">
        <v>3</v>
      </c>
      <c r="AG136">
        <v>1</v>
      </c>
      <c r="AH136" s="1">
        <v>0</v>
      </c>
    </row>
    <row r="137" spans="1:34" x14ac:dyDescent="0.3">
      <c r="A137" t="s">
        <v>40</v>
      </c>
      <c r="B137" t="s">
        <v>81</v>
      </c>
      <c r="C137" t="s">
        <v>33</v>
      </c>
      <c r="D137">
        <v>832</v>
      </c>
      <c r="E137">
        <v>620</v>
      </c>
      <c r="F137">
        <v>42</v>
      </c>
      <c r="G137">
        <v>49</v>
      </c>
      <c r="H137">
        <v>12</v>
      </c>
      <c r="I137">
        <v>20</v>
      </c>
      <c r="J137">
        <v>0</v>
      </c>
      <c r="K137">
        <v>2</v>
      </c>
      <c r="L137">
        <v>33</v>
      </c>
      <c r="M137">
        <v>13</v>
      </c>
      <c r="N137">
        <v>7</v>
      </c>
      <c r="O137">
        <v>0</v>
      </c>
      <c r="P137">
        <v>2</v>
      </c>
      <c r="Q137">
        <v>3</v>
      </c>
      <c r="R137">
        <v>0</v>
      </c>
      <c r="S137">
        <v>6</v>
      </c>
      <c r="T137">
        <v>7</v>
      </c>
      <c r="U137">
        <v>1</v>
      </c>
      <c r="V137">
        <v>1</v>
      </c>
      <c r="W137">
        <v>0</v>
      </c>
      <c r="X137">
        <v>1</v>
      </c>
      <c r="Y137">
        <v>4</v>
      </c>
      <c r="Z137">
        <v>0</v>
      </c>
      <c r="AA137">
        <v>3</v>
      </c>
      <c r="AB137">
        <v>2</v>
      </c>
      <c r="AC137">
        <v>0</v>
      </c>
      <c r="AD137">
        <v>0</v>
      </c>
      <c r="AE137">
        <v>0</v>
      </c>
      <c r="AF137">
        <v>3</v>
      </c>
      <c r="AG137">
        <v>1</v>
      </c>
      <c r="AH137" s="1">
        <v>0</v>
      </c>
    </row>
    <row r="138" spans="1:34" x14ac:dyDescent="0.3">
      <c r="A138" t="s">
        <v>40</v>
      </c>
      <c r="B138" t="s">
        <v>81</v>
      </c>
      <c r="C138" t="s">
        <v>34</v>
      </c>
      <c r="D138">
        <v>693</v>
      </c>
      <c r="E138">
        <v>585</v>
      </c>
      <c r="F138">
        <v>28</v>
      </c>
      <c r="G138">
        <v>43</v>
      </c>
      <c r="H138">
        <v>7</v>
      </c>
      <c r="I138">
        <v>10</v>
      </c>
      <c r="J138">
        <v>0</v>
      </c>
      <c r="K138">
        <v>0</v>
      </c>
      <c r="L138">
        <v>7</v>
      </c>
      <c r="M138">
        <v>7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 s="1">
        <v>0</v>
      </c>
    </row>
    <row r="139" spans="1:34" x14ac:dyDescent="0.3">
      <c r="A139" t="s">
        <v>40</v>
      </c>
      <c r="B139" t="s">
        <v>82</v>
      </c>
      <c r="C139" t="s">
        <v>32</v>
      </c>
      <c r="D139" s="1">
        <v>1171</v>
      </c>
      <c r="E139" s="1">
        <v>1042</v>
      </c>
      <c r="F139">
        <v>39</v>
      </c>
      <c r="G139">
        <v>14</v>
      </c>
      <c r="H139">
        <v>2</v>
      </c>
      <c r="I139">
        <v>35</v>
      </c>
      <c r="J139">
        <v>0</v>
      </c>
      <c r="K139">
        <v>3</v>
      </c>
      <c r="L139">
        <v>0</v>
      </c>
      <c r="M139">
        <v>5</v>
      </c>
      <c r="N139">
        <v>0</v>
      </c>
      <c r="O139">
        <v>5</v>
      </c>
      <c r="P139">
        <v>8</v>
      </c>
      <c r="Q139">
        <v>0</v>
      </c>
      <c r="R139">
        <v>3</v>
      </c>
      <c r="S139">
        <v>0</v>
      </c>
      <c r="T139">
        <v>9</v>
      </c>
      <c r="U139">
        <v>6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s="1">
        <v>0</v>
      </c>
    </row>
    <row r="140" spans="1:34" x14ac:dyDescent="0.3">
      <c r="A140" t="s">
        <v>40</v>
      </c>
      <c r="B140" t="s">
        <v>82</v>
      </c>
      <c r="C140" t="s">
        <v>33</v>
      </c>
      <c r="D140">
        <v>881</v>
      </c>
      <c r="E140">
        <v>764</v>
      </c>
      <c r="F140">
        <v>31</v>
      </c>
      <c r="G140">
        <v>12</v>
      </c>
      <c r="H140">
        <v>2</v>
      </c>
      <c r="I140">
        <v>33</v>
      </c>
      <c r="J140">
        <v>0</v>
      </c>
      <c r="K140">
        <v>3</v>
      </c>
      <c r="L140">
        <v>0</v>
      </c>
      <c r="M140">
        <v>5</v>
      </c>
      <c r="N140">
        <v>0</v>
      </c>
      <c r="O140">
        <v>5</v>
      </c>
      <c r="P140">
        <v>8</v>
      </c>
      <c r="Q140">
        <v>0</v>
      </c>
      <c r="R140">
        <v>3</v>
      </c>
      <c r="S140">
        <v>0</v>
      </c>
      <c r="T140">
        <v>9</v>
      </c>
      <c r="U140">
        <v>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s="1">
        <v>0</v>
      </c>
    </row>
    <row r="141" spans="1:34" x14ac:dyDescent="0.3">
      <c r="A141" t="s">
        <v>40</v>
      </c>
      <c r="B141" t="s">
        <v>82</v>
      </c>
      <c r="C141" t="s">
        <v>34</v>
      </c>
      <c r="D141">
        <v>290</v>
      </c>
      <c r="E141">
        <v>278</v>
      </c>
      <c r="F141">
        <v>8</v>
      </c>
      <c r="G141">
        <v>2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s="1">
        <v>0</v>
      </c>
    </row>
    <row r="142" spans="1:34" x14ac:dyDescent="0.3">
      <c r="A142" t="s">
        <v>40</v>
      </c>
      <c r="B142" t="s">
        <v>83</v>
      </c>
      <c r="C142" t="s">
        <v>32</v>
      </c>
      <c r="D142" s="1">
        <v>1166</v>
      </c>
      <c r="E142" s="1">
        <v>1082</v>
      </c>
      <c r="F142">
        <v>29</v>
      </c>
      <c r="G142">
        <v>12</v>
      </c>
      <c r="H142">
        <v>11</v>
      </c>
      <c r="I142">
        <v>12</v>
      </c>
      <c r="J142">
        <v>0</v>
      </c>
      <c r="K142">
        <v>7</v>
      </c>
      <c r="L142">
        <v>0</v>
      </c>
      <c r="M142">
        <v>0</v>
      </c>
      <c r="N142">
        <v>4</v>
      </c>
      <c r="O142">
        <v>4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s="1">
        <v>0</v>
      </c>
    </row>
    <row r="143" spans="1:34" x14ac:dyDescent="0.3">
      <c r="A143" t="s">
        <v>40</v>
      </c>
      <c r="B143" t="s">
        <v>83</v>
      </c>
      <c r="C143" t="s">
        <v>33</v>
      </c>
      <c r="D143">
        <v>962</v>
      </c>
      <c r="E143">
        <v>886</v>
      </c>
      <c r="F143">
        <v>28</v>
      </c>
      <c r="G143">
        <v>11</v>
      </c>
      <c r="H143">
        <v>8</v>
      </c>
      <c r="I143">
        <v>12</v>
      </c>
      <c r="J143">
        <v>0</v>
      </c>
      <c r="K143">
        <v>7</v>
      </c>
      <c r="L143">
        <v>0</v>
      </c>
      <c r="M143">
        <v>0</v>
      </c>
      <c r="N143">
        <v>1</v>
      </c>
      <c r="O143">
        <v>4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s="1">
        <v>0</v>
      </c>
    </row>
    <row r="144" spans="1:34" x14ac:dyDescent="0.3">
      <c r="A144" t="s">
        <v>40</v>
      </c>
      <c r="B144" t="s">
        <v>83</v>
      </c>
      <c r="C144" t="s">
        <v>34</v>
      </c>
      <c r="D144">
        <v>204</v>
      </c>
      <c r="E144">
        <v>196</v>
      </c>
      <c r="F144">
        <v>1</v>
      </c>
      <c r="G144">
        <v>1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s="1">
        <v>0</v>
      </c>
    </row>
    <row r="145" spans="1:34" x14ac:dyDescent="0.3">
      <c r="A145" t="s">
        <v>40</v>
      </c>
      <c r="B145" t="s">
        <v>84</v>
      </c>
      <c r="C145" t="s">
        <v>32</v>
      </c>
      <c r="D145" s="1">
        <v>1076</v>
      </c>
      <c r="E145">
        <v>995</v>
      </c>
      <c r="F145">
        <v>16</v>
      </c>
      <c r="G145">
        <v>31</v>
      </c>
      <c r="H145">
        <v>14</v>
      </c>
      <c r="I145">
        <v>15</v>
      </c>
      <c r="J145">
        <v>0</v>
      </c>
      <c r="K145">
        <v>0</v>
      </c>
      <c r="L145">
        <v>0</v>
      </c>
      <c r="M145">
        <v>0</v>
      </c>
      <c r="N145">
        <v>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s="1">
        <v>0</v>
      </c>
    </row>
    <row r="146" spans="1:34" x14ac:dyDescent="0.3">
      <c r="A146" t="s">
        <v>40</v>
      </c>
      <c r="B146" t="s">
        <v>84</v>
      </c>
      <c r="C146" t="s">
        <v>33</v>
      </c>
      <c r="D146">
        <v>557</v>
      </c>
      <c r="E146">
        <v>515</v>
      </c>
      <c r="F146">
        <v>9</v>
      </c>
      <c r="G146">
        <v>16</v>
      </c>
      <c r="H146">
        <v>5</v>
      </c>
      <c r="I146">
        <v>9</v>
      </c>
      <c r="J146">
        <v>0</v>
      </c>
      <c r="K146">
        <v>0</v>
      </c>
      <c r="L146">
        <v>0</v>
      </c>
      <c r="M146">
        <v>0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s="1">
        <v>0</v>
      </c>
    </row>
    <row r="147" spans="1:34" x14ac:dyDescent="0.3">
      <c r="A147" t="s">
        <v>40</v>
      </c>
      <c r="B147" t="s">
        <v>84</v>
      </c>
      <c r="C147" t="s">
        <v>34</v>
      </c>
      <c r="D147">
        <v>519</v>
      </c>
      <c r="E147">
        <v>480</v>
      </c>
      <c r="F147">
        <v>7</v>
      </c>
      <c r="G147">
        <v>15</v>
      </c>
      <c r="H147">
        <v>9</v>
      </c>
      <c r="I147">
        <v>6</v>
      </c>
      <c r="J147">
        <v>0</v>
      </c>
      <c r="K147">
        <v>0</v>
      </c>
      <c r="L147">
        <v>0</v>
      </c>
      <c r="M147">
        <v>0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s="1">
        <v>0</v>
      </c>
    </row>
    <row r="148" spans="1:34" x14ac:dyDescent="0.3">
      <c r="A148" t="s">
        <v>40</v>
      </c>
      <c r="B148" t="s">
        <v>85</v>
      </c>
      <c r="C148" t="s">
        <v>32</v>
      </c>
      <c r="D148">
        <v>554</v>
      </c>
      <c r="E148">
        <v>472</v>
      </c>
      <c r="F148">
        <v>47</v>
      </c>
      <c r="G148">
        <v>1</v>
      </c>
      <c r="H148">
        <v>3</v>
      </c>
      <c r="I148">
        <v>12</v>
      </c>
      <c r="J148">
        <v>0</v>
      </c>
      <c r="K148">
        <v>7</v>
      </c>
      <c r="L148">
        <v>8</v>
      </c>
      <c r="M148">
        <v>2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s="1">
        <v>0</v>
      </c>
    </row>
    <row r="149" spans="1:34" x14ac:dyDescent="0.3">
      <c r="A149" t="s">
        <v>40</v>
      </c>
      <c r="B149" t="s">
        <v>85</v>
      </c>
      <c r="C149" t="s">
        <v>33</v>
      </c>
      <c r="D149">
        <v>324</v>
      </c>
      <c r="E149">
        <v>253</v>
      </c>
      <c r="F149">
        <v>38</v>
      </c>
      <c r="G149">
        <v>1</v>
      </c>
      <c r="H149">
        <v>3</v>
      </c>
      <c r="I149">
        <v>11</v>
      </c>
      <c r="J149">
        <v>0</v>
      </c>
      <c r="K149">
        <v>6</v>
      </c>
      <c r="L149">
        <v>8</v>
      </c>
      <c r="M149">
        <v>2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s="1">
        <v>0</v>
      </c>
    </row>
    <row r="150" spans="1:34" x14ac:dyDescent="0.3">
      <c r="A150" t="s">
        <v>40</v>
      </c>
      <c r="B150" t="s">
        <v>85</v>
      </c>
      <c r="C150" t="s">
        <v>34</v>
      </c>
      <c r="D150">
        <v>230</v>
      </c>
      <c r="E150">
        <v>219</v>
      </c>
      <c r="F150">
        <v>9</v>
      </c>
      <c r="G150">
        <v>0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s="1">
        <v>0</v>
      </c>
    </row>
    <row r="151" spans="1:34" x14ac:dyDescent="0.3">
      <c r="A151" t="s">
        <v>40</v>
      </c>
      <c r="B151" t="s">
        <v>86</v>
      </c>
      <c r="C151" t="s">
        <v>32</v>
      </c>
      <c r="D151">
        <v>306</v>
      </c>
      <c r="E151">
        <v>301</v>
      </c>
      <c r="F151">
        <v>4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s="1">
        <v>0</v>
      </c>
    </row>
    <row r="152" spans="1:34" x14ac:dyDescent="0.3">
      <c r="A152" t="s">
        <v>40</v>
      </c>
      <c r="B152" t="s">
        <v>86</v>
      </c>
      <c r="C152" t="s">
        <v>33</v>
      </c>
      <c r="D152">
        <v>241</v>
      </c>
      <c r="E152">
        <v>236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s="1">
        <v>0</v>
      </c>
    </row>
    <row r="153" spans="1:34" x14ac:dyDescent="0.3">
      <c r="A153" t="s">
        <v>40</v>
      </c>
      <c r="B153" t="s">
        <v>86</v>
      </c>
      <c r="C153" t="s">
        <v>34</v>
      </c>
      <c r="D153">
        <v>65</v>
      </c>
      <c r="E153">
        <v>65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s="1">
        <v>0</v>
      </c>
    </row>
    <row r="154" spans="1:34" x14ac:dyDescent="0.3">
      <c r="A154" t="s">
        <v>40</v>
      </c>
      <c r="B154" t="s">
        <v>87</v>
      </c>
      <c r="C154" t="s">
        <v>32</v>
      </c>
      <c r="D154">
        <v>266</v>
      </c>
      <c r="E154">
        <v>257</v>
      </c>
      <c r="F154">
        <v>4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s="1">
        <v>0</v>
      </c>
    </row>
    <row r="155" spans="1:34" x14ac:dyDescent="0.3">
      <c r="A155" t="s">
        <v>40</v>
      </c>
      <c r="B155" t="s">
        <v>87</v>
      </c>
      <c r="C155" t="s">
        <v>33</v>
      </c>
      <c r="D155">
        <v>180</v>
      </c>
      <c r="E155">
        <v>176</v>
      </c>
      <c r="F155">
        <v>1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s="1">
        <v>0</v>
      </c>
    </row>
    <row r="156" spans="1:34" x14ac:dyDescent="0.3">
      <c r="A156" t="s">
        <v>40</v>
      </c>
      <c r="B156" t="s">
        <v>87</v>
      </c>
      <c r="C156" t="s">
        <v>34</v>
      </c>
      <c r="D156">
        <v>86</v>
      </c>
      <c r="E156">
        <v>81</v>
      </c>
      <c r="F156">
        <v>3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s="1">
        <v>0</v>
      </c>
    </row>
    <row r="157" spans="1:34" x14ac:dyDescent="0.3">
      <c r="A157" t="s">
        <v>40</v>
      </c>
      <c r="B157" t="s">
        <v>88</v>
      </c>
      <c r="C157" t="s">
        <v>32</v>
      </c>
      <c r="D157">
        <v>262</v>
      </c>
      <c r="E157">
        <v>221</v>
      </c>
      <c r="F157">
        <v>20</v>
      </c>
      <c r="G157">
        <v>2</v>
      </c>
      <c r="H157">
        <v>3</v>
      </c>
      <c r="I157">
        <v>2</v>
      </c>
      <c r="J157">
        <v>0</v>
      </c>
      <c r="K157">
        <v>0</v>
      </c>
      <c r="L157">
        <v>2</v>
      </c>
      <c r="M157">
        <v>0</v>
      </c>
      <c r="N157">
        <v>0</v>
      </c>
      <c r="O157">
        <v>0</v>
      </c>
      <c r="P157">
        <v>2</v>
      </c>
      <c r="Q157">
        <v>0</v>
      </c>
      <c r="R157">
        <v>0</v>
      </c>
      <c r="S157">
        <v>4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5</v>
      </c>
      <c r="AC157">
        <v>0</v>
      </c>
      <c r="AD157">
        <v>0</v>
      </c>
      <c r="AE157">
        <v>0</v>
      </c>
      <c r="AF157">
        <v>0</v>
      </c>
      <c r="AG157">
        <v>0</v>
      </c>
      <c r="AH157" s="1">
        <v>0</v>
      </c>
    </row>
    <row r="158" spans="1:34" x14ac:dyDescent="0.3">
      <c r="A158" t="s">
        <v>40</v>
      </c>
      <c r="B158" t="s">
        <v>88</v>
      </c>
      <c r="C158" t="s">
        <v>33</v>
      </c>
      <c r="D158">
        <v>151</v>
      </c>
      <c r="E158">
        <v>116</v>
      </c>
      <c r="F158">
        <v>17</v>
      </c>
      <c r="G158">
        <v>2</v>
      </c>
      <c r="H158">
        <v>1</v>
      </c>
      <c r="I158">
        <v>2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2</v>
      </c>
      <c r="Q158">
        <v>0</v>
      </c>
      <c r="R158">
        <v>0</v>
      </c>
      <c r="S158">
        <v>4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5</v>
      </c>
      <c r="AC158">
        <v>0</v>
      </c>
      <c r="AD158">
        <v>0</v>
      </c>
      <c r="AE158">
        <v>0</v>
      </c>
      <c r="AF158">
        <v>0</v>
      </c>
      <c r="AG158">
        <v>0</v>
      </c>
      <c r="AH158" s="1">
        <v>0</v>
      </c>
    </row>
    <row r="159" spans="1:34" x14ac:dyDescent="0.3">
      <c r="A159" t="s">
        <v>40</v>
      </c>
      <c r="B159" t="s">
        <v>88</v>
      </c>
      <c r="C159" t="s">
        <v>34</v>
      </c>
      <c r="D159">
        <v>111</v>
      </c>
      <c r="E159">
        <v>105</v>
      </c>
      <c r="F159">
        <v>3</v>
      </c>
      <c r="G159">
        <v>0</v>
      </c>
      <c r="H159">
        <v>2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s="1">
        <v>0</v>
      </c>
    </row>
    <row r="160" spans="1:34" x14ac:dyDescent="0.3">
      <c r="A160" t="s">
        <v>40</v>
      </c>
      <c r="B160" t="s">
        <v>89</v>
      </c>
      <c r="C160" t="s">
        <v>32</v>
      </c>
      <c r="D160">
        <v>4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s="1">
        <v>0</v>
      </c>
    </row>
    <row r="161" spans="1:34" x14ac:dyDescent="0.3">
      <c r="A161" t="s">
        <v>40</v>
      </c>
      <c r="B161" t="s">
        <v>89</v>
      </c>
      <c r="C161" t="s">
        <v>33</v>
      </c>
      <c r="D161">
        <v>2</v>
      </c>
      <c r="E161">
        <v>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s="1">
        <v>0</v>
      </c>
    </row>
    <row r="162" spans="1:34" x14ac:dyDescent="0.3">
      <c r="A162" t="s">
        <v>40</v>
      </c>
      <c r="B162" t="s">
        <v>89</v>
      </c>
      <c r="C162" t="s">
        <v>34</v>
      </c>
      <c r="D162">
        <v>2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s="1">
        <v>0</v>
      </c>
    </row>
    <row r="163" spans="1:34" x14ac:dyDescent="0.3">
      <c r="A163" t="s">
        <v>90</v>
      </c>
      <c r="B163" s="3" t="s">
        <v>252</v>
      </c>
      <c r="C163" t="s">
        <v>32</v>
      </c>
      <c r="D163" s="1">
        <v>1864534</v>
      </c>
      <c r="E163" s="1">
        <v>1584497</v>
      </c>
      <c r="F163" s="1">
        <v>62751</v>
      </c>
      <c r="G163" s="1">
        <v>69304</v>
      </c>
      <c r="H163" s="1">
        <v>13017</v>
      </c>
      <c r="I163" s="1">
        <v>60276</v>
      </c>
      <c r="J163" s="1">
        <v>3164</v>
      </c>
      <c r="K163" s="1">
        <v>6569</v>
      </c>
      <c r="L163" s="1">
        <v>8765</v>
      </c>
      <c r="M163" s="1">
        <v>3778</v>
      </c>
      <c r="N163" s="1">
        <v>18208</v>
      </c>
      <c r="O163">
        <v>288</v>
      </c>
      <c r="P163" s="1">
        <v>1701</v>
      </c>
      <c r="Q163">
        <v>109</v>
      </c>
      <c r="R163" s="1">
        <v>1243</v>
      </c>
      <c r="S163">
        <v>567</v>
      </c>
      <c r="T163">
        <v>753</v>
      </c>
      <c r="U163">
        <v>22</v>
      </c>
      <c r="V163" s="1">
        <v>4891</v>
      </c>
      <c r="W163" s="1">
        <v>19490</v>
      </c>
      <c r="X163" s="1">
        <v>2573</v>
      </c>
      <c r="Y163">
        <v>1</v>
      </c>
      <c r="Z163" s="1">
        <v>2209</v>
      </c>
      <c r="AA163">
        <v>21</v>
      </c>
      <c r="AB163" s="1">
        <v>0</v>
      </c>
      <c r="AC163">
        <v>34</v>
      </c>
      <c r="AD163">
        <v>88</v>
      </c>
      <c r="AE163">
        <v>117</v>
      </c>
      <c r="AF163">
        <v>0</v>
      </c>
      <c r="AG163">
        <v>2</v>
      </c>
      <c r="AH163">
        <v>96</v>
      </c>
    </row>
    <row r="164" spans="1:34" x14ac:dyDescent="0.3">
      <c r="A164" t="s">
        <v>90</v>
      </c>
      <c r="B164" s="3" t="s">
        <v>252</v>
      </c>
      <c r="C164" t="s">
        <v>33</v>
      </c>
      <c r="D164" s="1">
        <f>D168+D172</f>
        <v>1007165</v>
      </c>
      <c r="E164" s="1">
        <f t="shared" ref="E164:AH164" si="5">E168+E172</f>
        <v>848590</v>
      </c>
      <c r="F164" s="1">
        <f t="shared" si="5"/>
        <v>35255</v>
      </c>
      <c r="G164" s="1">
        <f t="shared" si="5"/>
        <v>37793</v>
      </c>
      <c r="H164" s="1">
        <f t="shared" si="5"/>
        <v>6504</v>
      </c>
      <c r="I164" s="1">
        <f t="shared" si="5"/>
        <v>31203</v>
      </c>
      <c r="J164" s="1">
        <f t="shared" si="5"/>
        <v>1703</v>
      </c>
      <c r="K164" s="1">
        <f t="shared" si="5"/>
        <v>3626</v>
      </c>
      <c r="L164" s="1">
        <f t="shared" si="5"/>
        <v>4180</v>
      </c>
      <c r="M164" s="1">
        <f t="shared" si="5"/>
        <v>1966</v>
      </c>
      <c r="N164" s="1">
        <f t="shared" si="5"/>
        <v>8203</v>
      </c>
      <c r="O164" s="1">
        <f t="shared" si="5"/>
        <v>261</v>
      </c>
      <c r="P164" s="1">
        <f t="shared" si="5"/>
        <v>1594</v>
      </c>
      <c r="Q164" s="1">
        <f t="shared" si="5"/>
        <v>106</v>
      </c>
      <c r="R164" s="1">
        <f t="shared" si="5"/>
        <v>1121</v>
      </c>
      <c r="S164" s="1">
        <f t="shared" si="5"/>
        <v>499</v>
      </c>
      <c r="T164" s="1">
        <f t="shared" si="5"/>
        <v>743</v>
      </c>
      <c r="U164" s="1">
        <f t="shared" si="5"/>
        <v>14</v>
      </c>
      <c r="V164" s="1">
        <f t="shared" si="5"/>
        <v>4601</v>
      </c>
      <c r="W164" s="1">
        <f t="shared" si="5"/>
        <v>15395</v>
      </c>
      <c r="X164" s="1">
        <f t="shared" si="5"/>
        <v>2468</v>
      </c>
      <c r="Y164" s="1">
        <f t="shared" si="5"/>
        <v>0</v>
      </c>
      <c r="Z164" s="1">
        <f t="shared" si="5"/>
        <v>1023</v>
      </c>
      <c r="AA164" s="1">
        <f t="shared" si="5"/>
        <v>21</v>
      </c>
      <c r="AB164" s="1">
        <f t="shared" si="5"/>
        <v>0</v>
      </c>
      <c r="AC164" s="1">
        <f t="shared" si="5"/>
        <v>17</v>
      </c>
      <c r="AD164" s="1">
        <f t="shared" si="5"/>
        <v>88</v>
      </c>
      <c r="AE164" s="1">
        <f t="shared" si="5"/>
        <v>99</v>
      </c>
      <c r="AF164" s="1">
        <f t="shared" si="5"/>
        <v>0</v>
      </c>
      <c r="AG164" s="1">
        <f t="shared" si="5"/>
        <v>0</v>
      </c>
      <c r="AH164" s="1">
        <f t="shared" si="5"/>
        <v>92</v>
      </c>
    </row>
    <row r="165" spans="1:34" x14ac:dyDescent="0.3">
      <c r="A165" t="s">
        <v>90</v>
      </c>
      <c r="B165" s="3" t="s">
        <v>252</v>
      </c>
      <c r="C165" t="s">
        <v>34</v>
      </c>
      <c r="D165" s="1">
        <f>D169+D173</f>
        <v>857128</v>
      </c>
      <c r="E165" s="1">
        <f t="shared" ref="E165:AH165" si="6">E169+E173</f>
        <v>735697</v>
      </c>
      <c r="F165" s="1">
        <f t="shared" si="6"/>
        <v>27488</v>
      </c>
      <c r="G165" s="1">
        <f t="shared" si="6"/>
        <v>31499</v>
      </c>
      <c r="H165" s="1">
        <f t="shared" si="6"/>
        <v>6510</v>
      </c>
      <c r="I165" s="1">
        <f t="shared" si="6"/>
        <v>29069</v>
      </c>
      <c r="J165" s="1">
        <f t="shared" si="6"/>
        <v>1461</v>
      </c>
      <c r="K165" s="1">
        <f t="shared" si="6"/>
        <v>2943</v>
      </c>
      <c r="L165" s="1">
        <f t="shared" si="6"/>
        <v>4584</v>
      </c>
      <c r="M165" s="1">
        <f t="shared" si="6"/>
        <v>1812</v>
      </c>
      <c r="N165" s="1">
        <f t="shared" si="6"/>
        <v>10002</v>
      </c>
      <c r="O165" s="1">
        <f t="shared" si="6"/>
        <v>27</v>
      </c>
      <c r="P165" s="1">
        <f t="shared" si="6"/>
        <v>107</v>
      </c>
      <c r="Q165" s="1">
        <f t="shared" si="6"/>
        <v>3</v>
      </c>
      <c r="R165" s="1">
        <f t="shared" si="6"/>
        <v>122</v>
      </c>
      <c r="S165" s="1">
        <f t="shared" si="6"/>
        <v>68</v>
      </c>
      <c r="T165" s="1">
        <f t="shared" si="6"/>
        <v>10</v>
      </c>
      <c r="U165" s="1">
        <f t="shared" si="6"/>
        <v>8</v>
      </c>
      <c r="V165" s="1">
        <f t="shared" si="6"/>
        <v>290</v>
      </c>
      <c r="W165" s="1">
        <f t="shared" si="6"/>
        <v>4095</v>
      </c>
      <c r="X165" s="1">
        <f t="shared" si="6"/>
        <v>105</v>
      </c>
      <c r="Y165" s="1">
        <f t="shared" si="6"/>
        <v>1</v>
      </c>
      <c r="Z165" s="1">
        <f t="shared" si="6"/>
        <v>1186</v>
      </c>
      <c r="AA165" s="1">
        <f t="shared" si="6"/>
        <v>0</v>
      </c>
      <c r="AB165" s="1">
        <f t="shared" si="6"/>
        <v>0</v>
      </c>
      <c r="AC165" s="1">
        <f t="shared" si="6"/>
        <v>17</v>
      </c>
      <c r="AD165" s="1">
        <f t="shared" si="6"/>
        <v>0</v>
      </c>
      <c r="AE165" s="1">
        <f t="shared" si="6"/>
        <v>18</v>
      </c>
      <c r="AF165" s="1">
        <f t="shared" si="6"/>
        <v>0</v>
      </c>
      <c r="AG165" s="1">
        <f t="shared" si="6"/>
        <v>2</v>
      </c>
      <c r="AH165" s="1">
        <f t="shared" si="6"/>
        <v>4</v>
      </c>
    </row>
    <row r="166" spans="1:34" x14ac:dyDescent="0.3">
      <c r="A166" t="s">
        <v>90</v>
      </c>
      <c r="B166" s="3" t="s">
        <v>252</v>
      </c>
      <c r="C166" t="s">
        <v>35</v>
      </c>
      <c r="D166" s="1">
        <f>D170+D174</f>
        <v>241</v>
      </c>
      <c r="E166" s="1">
        <f t="shared" ref="E166:AH166" si="7">E170+E174</f>
        <v>210</v>
      </c>
      <c r="F166" s="1">
        <f t="shared" si="7"/>
        <v>8</v>
      </c>
      <c r="G166" s="1">
        <f t="shared" si="7"/>
        <v>12</v>
      </c>
      <c r="H166" s="1">
        <f t="shared" si="7"/>
        <v>3</v>
      </c>
      <c r="I166" s="1">
        <f t="shared" si="7"/>
        <v>4</v>
      </c>
      <c r="J166" s="1">
        <f t="shared" si="7"/>
        <v>0</v>
      </c>
      <c r="K166" s="1">
        <f t="shared" si="7"/>
        <v>0</v>
      </c>
      <c r="L166" s="1">
        <f t="shared" si="7"/>
        <v>1</v>
      </c>
      <c r="M166" s="1">
        <f t="shared" si="7"/>
        <v>0</v>
      </c>
      <c r="N166" s="1">
        <f t="shared" si="7"/>
        <v>3</v>
      </c>
      <c r="O166" s="1">
        <f t="shared" si="7"/>
        <v>0</v>
      </c>
      <c r="P166" s="1">
        <f t="shared" si="7"/>
        <v>0</v>
      </c>
      <c r="Q166" s="1">
        <f t="shared" si="7"/>
        <v>0</v>
      </c>
      <c r="R166" s="1">
        <f t="shared" si="7"/>
        <v>0</v>
      </c>
      <c r="S166" s="1">
        <f t="shared" si="7"/>
        <v>0</v>
      </c>
      <c r="T166" s="1">
        <f t="shared" si="7"/>
        <v>0</v>
      </c>
      <c r="U166" s="1">
        <f t="shared" si="7"/>
        <v>0</v>
      </c>
      <c r="V166" s="1">
        <f t="shared" si="7"/>
        <v>0</v>
      </c>
      <c r="W166" s="1">
        <f t="shared" si="7"/>
        <v>0</v>
      </c>
      <c r="X166" s="1">
        <f t="shared" si="7"/>
        <v>0</v>
      </c>
      <c r="Y166" s="1">
        <f t="shared" si="7"/>
        <v>0</v>
      </c>
      <c r="Z166" s="1">
        <f t="shared" si="7"/>
        <v>0</v>
      </c>
      <c r="AA166" s="1">
        <f t="shared" si="7"/>
        <v>0</v>
      </c>
      <c r="AB166" s="1">
        <f t="shared" si="7"/>
        <v>0</v>
      </c>
      <c r="AC166" s="1">
        <f t="shared" si="7"/>
        <v>0</v>
      </c>
      <c r="AD166" s="1">
        <f t="shared" si="7"/>
        <v>0</v>
      </c>
      <c r="AE166" s="1">
        <f t="shared" si="7"/>
        <v>0</v>
      </c>
      <c r="AF166" s="1">
        <f t="shared" si="7"/>
        <v>0</v>
      </c>
      <c r="AG166" s="1">
        <f t="shared" si="7"/>
        <v>0</v>
      </c>
      <c r="AH166" s="1">
        <f t="shared" si="7"/>
        <v>0</v>
      </c>
    </row>
    <row r="167" spans="1:34" x14ac:dyDescent="0.3">
      <c r="A167" t="s">
        <v>90</v>
      </c>
      <c r="B167" t="s">
        <v>91</v>
      </c>
      <c r="C167" t="s">
        <v>32</v>
      </c>
      <c r="D167" s="1">
        <v>1577117</v>
      </c>
      <c r="E167" s="1">
        <v>1338396</v>
      </c>
      <c r="F167" s="1">
        <v>52877</v>
      </c>
      <c r="G167" s="1">
        <v>60465</v>
      </c>
      <c r="H167" s="1">
        <v>9819</v>
      </c>
      <c r="I167" s="1">
        <v>49616</v>
      </c>
      <c r="J167" s="1">
        <v>2642</v>
      </c>
      <c r="K167" s="1">
        <v>5877</v>
      </c>
      <c r="L167" s="1">
        <v>6613</v>
      </c>
      <c r="M167" s="1">
        <v>3104</v>
      </c>
      <c r="N167" s="1">
        <v>14172</v>
      </c>
      <c r="O167">
        <v>275</v>
      </c>
      <c r="P167" s="1">
        <v>1637</v>
      </c>
      <c r="Q167">
        <v>109</v>
      </c>
      <c r="R167" s="1">
        <v>1242</v>
      </c>
      <c r="S167">
        <v>535</v>
      </c>
      <c r="T167">
        <v>753</v>
      </c>
      <c r="U167">
        <v>17</v>
      </c>
      <c r="V167" s="1">
        <v>4890</v>
      </c>
      <c r="W167" s="1">
        <v>19488</v>
      </c>
      <c r="X167" s="1">
        <v>2571</v>
      </c>
      <c r="Y167">
        <v>1</v>
      </c>
      <c r="Z167" s="1">
        <v>1665</v>
      </c>
      <c r="AA167">
        <v>21</v>
      </c>
      <c r="AB167" s="1">
        <v>0</v>
      </c>
      <c r="AC167">
        <v>33</v>
      </c>
      <c r="AD167">
        <v>84</v>
      </c>
      <c r="AE167">
        <v>117</v>
      </c>
      <c r="AF167">
        <v>0</v>
      </c>
      <c r="AG167">
        <v>2</v>
      </c>
      <c r="AH167">
        <v>96</v>
      </c>
    </row>
    <row r="168" spans="1:34" x14ac:dyDescent="0.3">
      <c r="A168" t="s">
        <v>90</v>
      </c>
      <c r="B168" t="s">
        <v>91</v>
      </c>
      <c r="C168" t="s">
        <v>33</v>
      </c>
      <c r="D168" s="1">
        <v>859469</v>
      </c>
      <c r="E168" s="1">
        <v>721577</v>
      </c>
      <c r="F168" s="1">
        <v>29881</v>
      </c>
      <c r="G168" s="1">
        <v>33161</v>
      </c>
      <c r="H168" s="1">
        <v>4961</v>
      </c>
      <c r="I168" s="1">
        <v>26159</v>
      </c>
      <c r="J168" s="1">
        <v>1406</v>
      </c>
      <c r="K168" s="1">
        <v>3265</v>
      </c>
      <c r="L168" s="1">
        <v>3177</v>
      </c>
      <c r="M168" s="1">
        <v>1640</v>
      </c>
      <c r="N168" s="1">
        <v>6412</v>
      </c>
      <c r="O168">
        <v>255</v>
      </c>
      <c r="P168" s="1">
        <v>1569</v>
      </c>
      <c r="Q168">
        <v>106</v>
      </c>
      <c r="R168" s="1">
        <v>1121</v>
      </c>
      <c r="S168">
        <v>483</v>
      </c>
      <c r="T168">
        <v>743</v>
      </c>
      <c r="U168">
        <v>9</v>
      </c>
      <c r="V168" s="1">
        <v>4600</v>
      </c>
      <c r="W168" s="1">
        <v>15395</v>
      </c>
      <c r="X168" s="1">
        <v>2466</v>
      </c>
      <c r="Y168" s="1">
        <v>0</v>
      </c>
      <c r="Z168">
        <v>771</v>
      </c>
      <c r="AA168">
        <v>21</v>
      </c>
      <c r="AB168" s="1">
        <v>0</v>
      </c>
      <c r="AC168">
        <v>16</v>
      </c>
      <c r="AD168">
        <v>84</v>
      </c>
      <c r="AE168">
        <v>99</v>
      </c>
      <c r="AF168">
        <v>0</v>
      </c>
      <c r="AG168">
        <v>0</v>
      </c>
      <c r="AH168">
        <v>92</v>
      </c>
    </row>
    <row r="169" spans="1:34" x14ac:dyDescent="0.3">
      <c r="A169" t="s">
        <v>90</v>
      </c>
      <c r="B169" t="s">
        <v>91</v>
      </c>
      <c r="C169" t="s">
        <v>34</v>
      </c>
      <c r="D169" s="1">
        <v>717416</v>
      </c>
      <c r="E169" s="1">
        <v>616617</v>
      </c>
      <c r="F169" s="1">
        <v>22988</v>
      </c>
      <c r="G169" s="1">
        <v>27292</v>
      </c>
      <c r="H169" s="1">
        <v>4855</v>
      </c>
      <c r="I169" s="1">
        <v>23454</v>
      </c>
      <c r="J169" s="1">
        <v>1236</v>
      </c>
      <c r="K169" s="1">
        <v>2612</v>
      </c>
      <c r="L169" s="1">
        <v>3435</v>
      </c>
      <c r="M169" s="1">
        <v>1464</v>
      </c>
      <c r="N169" s="1">
        <v>7757</v>
      </c>
      <c r="O169">
        <v>20</v>
      </c>
      <c r="P169">
        <v>68</v>
      </c>
      <c r="Q169">
        <v>3</v>
      </c>
      <c r="R169">
        <v>121</v>
      </c>
      <c r="S169">
        <v>52</v>
      </c>
      <c r="T169">
        <v>10</v>
      </c>
      <c r="U169">
        <v>8</v>
      </c>
      <c r="V169">
        <v>290</v>
      </c>
      <c r="W169" s="1">
        <v>4093</v>
      </c>
      <c r="X169">
        <v>105</v>
      </c>
      <c r="Y169">
        <v>1</v>
      </c>
      <c r="Z169">
        <v>894</v>
      </c>
      <c r="AA169">
        <v>0</v>
      </c>
      <c r="AB169">
        <v>0</v>
      </c>
      <c r="AC169">
        <v>17</v>
      </c>
      <c r="AD169">
        <v>0</v>
      </c>
      <c r="AE169">
        <v>18</v>
      </c>
      <c r="AF169">
        <v>0</v>
      </c>
      <c r="AG169">
        <v>2</v>
      </c>
      <c r="AH169">
        <v>4</v>
      </c>
    </row>
    <row r="170" spans="1:34" x14ac:dyDescent="0.3">
      <c r="A170" t="s">
        <v>90</v>
      </c>
      <c r="B170" t="s">
        <v>91</v>
      </c>
      <c r="C170" t="s">
        <v>35</v>
      </c>
      <c r="D170">
        <v>232</v>
      </c>
      <c r="E170">
        <v>202</v>
      </c>
      <c r="F170">
        <v>8</v>
      </c>
      <c r="G170">
        <v>12</v>
      </c>
      <c r="H170">
        <v>3</v>
      </c>
      <c r="I170">
        <v>3</v>
      </c>
      <c r="J170" s="1">
        <v>0</v>
      </c>
      <c r="K170" s="1">
        <v>0</v>
      </c>
      <c r="L170">
        <v>1</v>
      </c>
      <c r="M170" s="1">
        <v>0</v>
      </c>
      <c r="N170">
        <v>3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</row>
    <row r="171" spans="1:34" x14ac:dyDescent="0.3">
      <c r="A171" t="s">
        <v>90</v>
      </c>
      <c r="B171" t="s">
        <v>92</v>
      </c>
      <c r="C171" t="s">
        <v>32</v>
      </c>
      <c r="D171" s="1">
        <v>287417</v>
      </c>
      <c r="E171" s="1">
        <v>246101</v>
      </c>
      <c r="F171" s="1">
        <v>9874</v>
      </c>
      <c r="G171" s="1">
        <v>8839</v>
      </c>
      <c r="H171" s="1">
        <v>3198</v>
      </c>
      <c r="I171" s="1">
        <v>10660</v>
      </c>
      <c r="J171">
        <v>522</v>
      </c>
      <c r="K171">
        <v>692</v>
      </c>
      <c r="L171" s="1">
        <v>2152</v>
      </c>
      <c r="M171">
        <v>674</v>
      </c>
      <c r="N171" s="1">
        <v>4036</v>
      </c>
      <c r="O171">
        <v>13</v>
      </c>
      <c r="P171">
        <v>64</v>
      </c>
      <c r="Q171">
        <v>0</v>
      </c>
      <c r="R171">
        <v>1</v>
      </c>
      <c r="S171">
        <v>32</v>
      </c>
      <c r="T171">
        <v>0</v>
      </c>
      <c r="U171">
        <v>5</v>
      </c>
      <c r="V171">
        <v>1</v>
      </c>
      <c r="W171">
        <v>2</v>
      </c>
      <c r="X171">
        <v>2</v>
      </c>
      <c r="Y171">
        <v>0</v>
      </c>
      <c r="Z171">
        <v>544</v>
      </c>
      <c r="AA171">
        <v>0</v>
      </c>
      <c r="AB171" s="1">
        <v>0</v>
      </c>
      <c r="AC171">
        <v>1</v>
      </c>
      <c r="AD171">
        <v>4</v>
      </c>
      <c r="AE171">
        <v>0</v>
      </c>
      <c r="AF171">
        <v>0</v>
      </c>
      <c r="AG171">
        <v>0</v>
      </c>
      <c r="AH171">
        <v>0</v>
      </c>
    </row>
    <row r="172" spans="1:34" x14ac:dyDescent="0.3">
      <c r="A172" t="s">
        <v>90</v>
      </c>
      <c r="B172" t="s">
        <v>92</v>
      </c>
      <c r="C172" t="s">
        <v>33</v>
      </c>
      <c r="D172" s="1">
        <v>147696</v>
      </c>
      <c r="E172" s="1">
        <v>127013</v>
      </c>
      <c r="F172" s="1">
        <v>5374</v>
      </c>
      <c r="G172" s="1">
        <v>4632</v>
      </c>
      <c r="H172" s="1">
        <v>1543</v>
      </c>
      <c r="I172" s="1">
        <v>5044</v>
      </c>
      <c r="J172">
        <v>297</v>
      </c>
      <c r="K172">
        <v>361</v>
      </c>
      <c r="L172" s="1">
        <v>1003</v>
      </c>
      <c r="M172">
        <v>326</v>
      </c>
      <c r="N172" s="1">
        <v>1791</v>
      </c>
      <c r="O172">
        <v>6</v>
      </c>
      <c r="P172">
        <v>25</v>
      </c>
      <c r="Q172">
        <v>0</v>
      </c>
      <c r="R172" s="1">
        <v>0</v>
      </c>
      <c r="S172">
        <v>16</v>
      </c>
      <c r="T172">
        <v>0</v>
      </c>
      <c r="U172">
        <v>5</v>
      </c>
      <c r="V172">
        <v>1</v>
      </c>
      <c r="W172" s="1">
        <v>0</v>
      </c>
      <c r="X172">
        <v>2</v>
      </c>
      <c r="Y172" s="1">
        <v>0</v>
      </c>
      <c r="Z172">
        <v>252</v>
      </c>
      <c r="AA172" s="1">
        <v>0</v>
      </c>
      <c r="AB172" s="1">
        <v>0</v>
      </c>
      <c r="AC172">
        <v>1</v>
      </c>
      <c r="AD172">
        <v>4</v>
      </c>
      <c r="AE172">
        <v>0</v>
      </c>
      <c r="AF172">
        <v>0</v>
      </c>
      <c r="AG172">
        <v>0</v>
      </c>
      <c r="AH172">
        <v>0</v>
      </c>
    </row>
    <row r="173" spans="1:34" x14ac:dyDescent="0.3">
      <c r="A173" t="s">
        <v>90</v>
      </c>
      <c r="B173" t="s">
        <v>92</v>
      </c>
      <c r="C173" t="s">
        <v>34</v>
      </c>
      <c r="D173" s="1">
        <v>139712</v>
      </c>
      <c r="E173" s="1">
        <v>119080</v>
      </c>
      <c r="F173" s="1">
        <v>4500</v>
      </c>
      <c r="G173" s="1">
        <v>4207</v>
      </c>
      <c r="H173" s="1">
        <v>1655</v>
      </c>
      <c r="I173" s="1">
        <v>5615</v>
      </c>
      <c r="J173">
        <v>225</v>
      </c>
      <c r="K173">
        <v>331</v>
      </c>
      <c r="L173" s="1">
        <v>1149</v>
      </c>
      <c r="M173">
        <v>348</v>
      </c>
      <c r="N173" s="1">
        <v>2245</v>
      </c>
      <c r="O173">
        <v>7</v>
      </c>
      <c r="P173">
        <v>39</v>
      </c>
      <c r="Q173">
        <v>0</v>
      </c>
      <c r="R173">
        <v>1</v>
      </c>
      <c r="S173">
        <v>16</v>
      </c>
      <c r="T173">
        <v>0</v>
      </c>
      <c r="U173">
        <v>0</v>
      </c>
      <c r="V173">
        <v>0</v>
      </c>
      <c r="W173">
        <v>2</v>
      </c>
      <c r="X173">
        <v>0</v>
      </c>
      <c r="Y173">
        <v>0</v>
      </c>
      <c r="Z173">
        <v>292</v>
      </c>
      <c r="AA173">
        <v>0</v>
      </c>
      <c r="AB173" s="1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3">
      <c r="A174" t="s">
        <v>90</v>
      </c>
      <c r="B174" t="s">
        <v>92</v>
      </c>
      <c r="C174" t="s">
        <v>35</v>
      </c>
      <c r="D174">
        <v>9</v>
      </c>
      <c r="E174">
        <v>8</v>
      </c>
      <c r="F174" s="1">
        <v>0</v>
      </c>
      <c r="G174" s="1">
        <v>0</v>
      </c>
      <c r="H174" s="1">
        <v>0</v>
      </c>
      <c r="I174">
        <v>1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</row>
    <row r="175" spans="1:34" x14ac:dyDescent="0.3">
      <c r="A175" t="s">
        <v>93</v>
      </c>
      <c r="B175" t="s">
        <v>252</v>
      </c>
      <c r="C175" t="s">
        <v>32</v>
      </c>
      <c r="D175" s="1">
        <v>199002</v>
      </c>
      <c r="E175" s="1">
        <v>161206</v>
      </c>
      <c r="F175" s="1">
        <v>8014</v>
      </c>
      <c r="G175" s="1">
        <v>7871</v>
      </c>
      <c r="H175" s="1">
        <v>1121</v>
      </c>
      <c r="I175" s="1">
        <v>9518</v>
      </c>
      <c r="J175">
        <v>271</v>
      </c>
      <c r="K175">
        <v>311</v>
      </c>
      <c r="L175" s="1">
        <v>3535</v>
      </c>
      <c r="M175" s="1">
        <v>1949</v>
      </c>
      <c r="N175" s="1">
        <v>4604</v>
      </c>
      <c r="O175">
        <v>10</v>
      </c>
      <c r="P175">
        <v>141</v>
      </c>
      <c r="Q175">
        <v>3</v>
      </c>
      <c r="R175">
        <v>8</v>
      </c>
      <c r="S175">
        <v>195</v>
      </c>
      <c r="T175">
        <v>75</v>
      </c>
      <c r="U175">
        <v>3</v>
      </c>
      <c r="V175">
        <v>22</v>
      </c>
      <c r="W175">
        <v>15</v>
      </c>
      <c r="X175">
        <v>39</v>
      </c>
      <c r="Y175">
        <v>36</v>
      </c>
      <c r="Z175">
        <v>44</v>
      </c>
      <c r="AA175">
        <v>2</v>
      </c>
      <c r="AB175">
        <v>2</v>
      </c>
      <c r="AC175">
        <v>0</v>
      </c>
      <c r="AD175">
        <v>4</v>
      </c>
      <c r="AE175">
        <v>0</v>
      </c>
      <c r="AF175">
        <v>0</v>
      </c>
      <c r="AG175">
        <v>3</v>
      </c>
      <c r="AH175">
        <v>0</v>
      </c>
    </row>
    <row r="176" spans="1:34" x14ac:dyDescent="0.3">
      <c r="A176" t="s">
        <v>93</v>
      </c>
      <c r="B176" t="s">
        <v>252</v>
      </c>
      <c r="C176" t="s">
        <v>253</v>
      </c>
      <c r="D176" s="1">
        <f>D179+D182+D185+D188+D191+D194+D197+D200+D203+D206+D209+D212+D215+D218+D221+D224+D227+D230+D233+D236+D239+D242+D245+D248+D251+D254+D257+D260+D263+D266+D269+D272+D275+D278</f>
        <v>102441</v>
      </c>
      <c r="E176" s="1">
        <f t="shared" ref="E176:AH176" si="8">E179+E182+E185+E188+E191+E194+E197+E200+E203+E206+E209+E212+E215+E218+E221+E224+E227+E230+E233+E236+E239+E242+E245+E248+E251+E254+E257+E260+E263+E266+E269+E272+E275+E278</f>
        <v>78058</v>
      </c>
      <c r="F176" s="1">
        <f t="shared" si="8"/>
        <v>4110</v>
      </c>
      <c r="G176" s="1">
        <f t="shared" si="8"/>
        <v>3745</v>
      </c>
      <c r="H176" s="1">
        <f t="shared" si="8"/>
        <v>525</v>
      </c>
      <c r="I176" s="1">
        <f t="shared" si="8"/>
        <v>6994</v>
      </c>
      <c r="J176" s="1">
        <f t="shared" si="8"/>
        <v>112</v>
      </c>
      <c r="K176" s="1">
        <f t="shared" si="8"/>
        <v>188</v>
      </c>
      <c r="L176" s="1">
        <f t="shared" si="8"/>
        <v>3083</v>
      </c>
      <c r="M176" s="1">
        <f t="shared" si="8"/>
        <v>1662</v>
      </c>
      <c r="N176" s="1">
        <f t="shared" si="8"/>
        <v>3394</v>
      </c>
      <c r="O176" s="1">
        <f t="shared" si="8"/>
        <v>10</v>
      </c>
      <c r="P176" s="1">
        <f t="shared" si="8"/>
        <v>140</v>
      </c>
      <c r="Q176" s="1">
        <f t="shared" si="8"/>
        <v>3</v>
      </c>
      <c r="R176" s="1">
        <f t="shared" si="8"/>
        <v>8</v>
      </c>
      <c r="S176" s="1">
        <f t="shared" si="8"/>
        <v>188</v>
      </c>
      <c r="T176" s="1">
        <f t="shared" si="8"/>
        <v>72</v>
      </c>
      <c r="U176" s="1">
        <f t="shared" si="8"/>
        <v>3</v>
      </c>
      <c r="V176" s="1">
        <f t="shared" si="8"/>
        <v>22</v>
      </c>
      <c r="W176" s="1">
        <f t="shared" si="8"/>
        <v>3</v>
      </c>
      <c r="X176" s="1">
        <f t="shared" si="8"/>
        <v>39</v>
      </c>
      <c r="Y176" s="1">
        <f t="shared" si="8"/>
        <v>36</v>
      </c>
      <c r="Z176" s="1">
        <f t="shared" si="8"/>
        <v>37</v>
      </c>
      <c r="AA176" s="1">
        <f t="shared" si="8"/>
        <v>2</v>
      </c>
      <c r="AB176" s="1">
        <f t="shared" si="8"/>
        <v>1</v>
      </c>
      <c r="AC176" s="1">
        <f t="shared" si="8"/>
        <v>0</v>
      </c>
      <c r="AD176" s="1">
        <f t="shared" si="8"/>
        <v>4</v>
      </c>
      <c r="AE176" s="1">
        <f t="shared" si="8"/>
        <v>0</v>
      </c>
      <c r="AF176" s="1">
        <f t="shared" si="8"/>
        <v>0</v>
      </c>
      <c r="AG176" s="1">
        <f t="shared" si="8"/>
        <v>2</v>
      </c>
      <c r="AH176" s="1">
        <f t="shared" si="8"/>
        <v>0</v>
      </c>
    </row>
    <row r="177" spans="1:34" x14ac:dyDescent="0.3">
      <c r="A177" t="s">
        <v>93</v>
      </c>
      <c r="B177" t="s">
        <v>252</v>
      </c>
      <c r="C177" t="s">
        <v>254</v>
      </c>
      <c r="D177" s="1">
        <f>D180+D183+D186+D189+D192+D195+D198+D201+D204+D207+D210+D213+D216+D219+D222+D225+D228+D231+D234+D237+D240+D243+D246+D249+D252+D255+D258+D261+D264+D267+D270+D273+D276</f>
        <v>96561</v>
      </c>
      <c r="E177" s="1">
        <f t="shared" ref="E177:AH177" si="9">E180+E183+E186+E189+E192+E195+E198+E201+E204+E207+E210+E213+E216+E219+E222+E225+E228+E231+E234+E237+E240+E243+E246+E249+E252+E255+E258+E261+E264+E267+E270+E273+E276</f>
        <v>83148</v>
      </c>
      <c r="F177" s="1">
        <f t="shared" si="9"/>
        <v>3904</v>
      </c>
      <c r="G177" s="1">
        <f t="shared" si="9"/>
        <v>4126</v>
      </c>
      <c r="H177" s="1">
        <f t="shared" si="9"/>
        <v>596</v>
      </c>
      <c r="I177" s="1">
        <f t="shared" si="9"/>
        <v>2524</v>
      </c>
      <c r="J177" s="1">
        <f t="shared" si="9"/>
        <v>159</v>
      </c>
      <c r="K177" s="1">
        <f t="shared" si="9"/>
        <v>123</v>
      </c>
      <c r="L177" s="1">
        <f t="shared" si="9"/>
        <v>452</v>
      </c>
      <c r="M177" s="1">
        <f t="shared" si="9"/>
        <v>287</v>
      </c>
      <c r="N177" s="1">
        <f t="shared" si="9"/>
        <v>1210</v>
      </c>
      <c r="O177" s="1">
        <f t="shared" si="9"/>
        <v>0</v>
      </c>
      <c r="P177" s="1">
        <f t="shared" si="9"/>
        <v>1</v>
      </c>
      <c r="Q177" s="1">
        <f t="shared" si="9"/>
        <v>0</v>
      </c>
      <c r="R177" s="1">
        <f t="shared" si="9"/>
        <v>0</v>
      </c>
      <c r="S177" s="1">
        <f t="shared" si="9"/>
        <v>7</v>
      </c>
      <c r="T177" s="1">
        <f t="shared" si="9"/>
        <v>3</v>
      </c>
      <c r="U177" s="1">
        <f t="shared" si="9"/>
        <v>0</v>
      </c>
      <c r="V177" s="1">
        <f t="shared" si="9"/>
        <v>0</v>
      </c>
      <c r="W177" s="1">
        <f t="shared" si="9"/>
        <v>12</v>
      </c>
      <c r="X177" s="1">
        <f t="shared" si="9"/>
        <v>0</v>
      </c>
      <c r="Y177" s="1">
        <f t="shared" si="9"/>
        <v>0</v>
      </c>
      <c r="Z177" s="1">
        <f t="shared" si="9"/>
        <v>7</v>
      </c>
      <c r="AA177" s="1">
        <f t="shared" si="9"/>
        <v>0</v>
      </c>
      <c r="AB177" s="1">
        <f t="shared" si="9"/>
        <v>1</v>
      </c>
      <c r="AC177" s="1">
        <f t="shared" si="9"/>
        <v>0</v>
      </c>
      <c r="AD177" s="1">
        <f t="shared" si="9"/>
        <v>0</v>
      </c>
      <c r="AE177" s="1">
        <f t="shared" si="9"/>
        <v>0</v>
      </c>
      <c r="AF177" s="1">
        <f t="shared" si="9"/>
        <v>0</v>
      </c>
      <c r="AG177" s="1">
        <f t="shared" si="9"/>
        <v>1</v>
      </c>
      <c r="AH177" s="1">
        <f t="shared" si="9"/>
        <v>0</v>
      </c>
    </row>
    <row r="178" spans="1:34" x14ac:dyDescent="0.3">
      <c r="A178" t="s">
        <v>93</v>
      </c>
      <c r="B178" t="s">
        <v>94</v>
      </c>
      <c r="C178" t="s">
        <v>32</v>
      </c>
      <c r="D178" s="1">
        <v>86095</v>
      </c>
      <c r="E178" s="1">
        <v>74602</v>
      </c>
      <c r="F178" s="1">
        <v>2888</v>
      </c>
      <c r="G178" s="1">
        <v>2427</v>
      </c>
      <c r="H178">
        <v>282</v>
      </c>
      <c r="I178" s="1">
        <v>3045</v>
      </c>
      <c r="J178">
        <v>68</v>
      </c>
      <c r="K178">
        <v>89</v>
      </c>
      <c r="L178">
        <v>603</v>
      </c>
      <c r="M178">
        <v>380</v>
      </c>
      <c r="N178" s="1">
        <v>1592</v>
      </c>
      <c r="O178">
        <v>7</v>
      </c>
      <c r="P178">
        <v>37</v>
      </c>
      <c r="Q178" s="1">
        <v>0</v>
      </c>
      <c r="R178">
        <v>6</v>
      </c>
      <c r="S178">
        <v>4</v>
      </c>
      <c r="T178">
        <v>25</v>
      </c>
      <c r="U178" s="1">
        <v>0</v>
      </c>
      <c r="V178">
        <v>1</v>
      </c>
      <c r="W178">
        <v>4</v>
      </c>
      <c r="X178">
        <v>20</v>
      </c>
      <c r="Y178" s="1">
        <v>0</v>
      </c>
      <c r="Z178">
        <v>11</v>
      </c>
      <c r="AA178" s="1">
        <v>0</v>
      </c>
      <c r="AB178" s="1">
        <v>0</v>
      </c>
      <c r="AC178" s="1">
        <v>0</v>
      </c>
      <c r="AD178">
        <v>4</v>
      </c>
      <c r="AE178" s="1">
        <v>0</v>
      </c>
      <c r="AF178" s="1">
        <v>0</v>
      </c>
      <c r="AG178" s="1">
        <v>0</v>
      </c>
      <c r="AH178" s="1">
        <v>0</v>
      </c>
    </row>
    <row r="179" spans="1:34" x14ac:dyDescent="0.3">
      <c r="A179" t="s">
        <v>93</v>
      </c>
      <c r="B179" t="s">
        <v>94</v>
      </c>
      <c r="C179" t="s">
        <v>33</v>
      </c>
      <c r="D179" s="1">
        <v>42272</v>
      </c>
      <c r="E179" s="1">
        <v>36472</v>
      </c>
      <c r="F179" s="1">
        <v>1160</v>
      </c>
      <c r="G179" s="1">
        <v>1138</v>
      </c>
      <c r="H179">
        <v>130</v>
      </c>
      <c r="I179" s="1">
        <v>1684</v>
      </c>
      <c r="J179">
        <v>24</v>
      </c>
      <c r="K179">
        <v>49</v>
      </c>
      <c r="L179">
        <v>399</v>
      </c>
      <c r="M179">
        <v>275</v>
      </c>
      <c r="N179">
        <v>833</v>
      </c>
      <c r="O179">
        <v>7</v>
      </c>
      <c r="P179">
        <v>36</v>
      </c>
      <c r="Q179" s="1">
        <v>0</v>
      </c>
      <c r="R179">
        <v>6</v>
      </c>
      <c r="S179">
        <v>2</v>
      </c>
      <c r="T179">
        <v>25</v>
      </c>
      <c r="U179" s="1">
        <v>0</v>
      </c>
      <c r="V179">
        <v>1</v>
      </c>
      <c r="W179" s="1">
        <v>0</v>
      </c>
      <c r="X179">
        <v>20</v>
      </c>
      <c r="Y179" s="1">
        <v>0</v>
      </c>
      <c r="Z179">
        <v>7</v>
      </c>
      <c r="AA179" s="1">
        <v>0</v>
      </c>
      <c r="AB179" s="1">
        <v>0</v>
      </c>
      <c r="AC179" s="1">
        <v>0</v>
      </c>
      <c r="AD179">
        <v>4</v>
      </c>
      <c r="AE179" s="1">
        <v>0</v>
      </c>
      <c r="AF179" s="1">
        <v>0</v>
      </c>
      <c r="AG179" s="1">
        <v>0</v>
      </c>
      <c r="AH179" s="1">
        <v>0</v>
      </c>
    </row>
    <row r="180" spans="1:34" x14ac:dyDescent="0.3">
      <c r="A180" t="s">
        <v>93</v>
      </c>
      <c r="B180" t="s">
        <v>94</v>
      </c>
      <c r="C180" t="s">
        <v>34</v>
      </c>
      <c r="D180" s="1">
        <v>43823</v>
      </c>
      <c r="E180" s="1">
        <v>38130</v>
      </c>
      <c r="F180" s="1">
        <v>1728</v>
      </c>
      <c r="G180" s="1">
        <v>1289</v>
      </c>
      <c r="H180">
        <v>152</v>
      </c>
      <c r="I180" s="1">
        <v>1361</v>
      </c>
      <c r="J180">
        <v>44</v>
      </c>
      <c r="K180">
        <v>40</v>
      </c>
      <c r="L180">
        <v>204</v>
      </c>
      <c r="M180">
        <v>105</v>
      </c>
      <c r="N180">
        <v>759</v>
      </c>
      <c r="O180">
        <v>0</v>
      </c>
      <c r="P180">
        <v>1</v>
      </c>
      <c r="Q180" s="1">
        <v>0</v>
      </c>
      <c r="R180">
        <v>0</v>
      </c>
      <c r="S180">
        <v>2</v>
      </c>
      <c r="T180">
        <v>0</v>
      </c>
      <c r="U180" s="1">
        <v>0</v>
      </c>
      <c r="V180">
        <v>0</v>
      </c>
      <c r="W180">
        <v>4</v>
      </c>
      <c r="X180">
        <v>0</v>
      </c>
      <c r="Y180" s="1">
        <v>0</v>
      </c>
      <c r="Z180">
        <v>4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</row>
    <row r="181" spans="1:34" x14ac:dyDescent="0.3">
      <c r="A181" t="s">
        <v>93</v>
      </c>
      <c r="B181" t="s">
        <v>95</v>
      </c>
      <c r="C181" t="s">
        <v>32</v>
      </c>
      <c r="D181" s="1">
        <v>42380</v>
      </c>
      <c r="E181" s="1">
        <v>33523</v>
      </c>
      <c r="F181" s="1">
        <v>2355</v>
      </c>
      <c r="G181" s="1">
        <v>2463</v>
      </c>
      <c r="H181">
        <v>309</v>
      </c>
      <c r="I181" s="1">
        <v>1470</v>
      </c>
      <c r="J181">
        <v>100</v>
      </c>
      <c r="K181">
        <v>108</v>
      </c>
      <c r="L181">
        <v>713</v>
      </c>
      <c r="M181">
        <v>387</v>
      </c>
      <c r="N181">
        <v>911</v>
      </c>
      <c r="O181">
        <v>0</v>
      </c>
      <c r="P181">
        <v>0</v>
      </c>
      <c r="Q181" s="1">
        <v>0</v>
      </c>
      <c r="R181">
        <v>0</v>
      </c>
      <c r="S181">
        <v>19</v>
      </c>
      <c r="T181">
        <v>2</v>
      </c>
      <c r="U181" s="1">
        <v>0</v>
      </c>
      <c r="V181">
        <v>4</v>
      </c>
      <c r="W181" s="1">
        <v>0</v>
      </c>
      <c r="X181">
        <v>0</v>
      </c>
      <c r="Y181">
        <v>4</v>
      </c>
      <c r="Z181">
        <v>10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>
        <v>2</v>
      </c>
      <c r="AH181" s="1">
        <v>0</v>
      </c>
    </row>
    <row r="182" spans="1:34" x14ac:dyDescent="0.3">
      <c r="A182" t="s">
        <v>93</v>
      </c>
      <c r="B182" t="s">
        <v>95</v>
      </c>
      <c r="C182" t="s">
        <v>33</v>
      </c>
      <c r="D182" s="1">
        <v>21885</v>
      </c>
      <c r="E182" s="1">
        <v>16286</v>
      </c>
      <c r="F182" s="1">
        <v>1452</v>
      </c>
      <c r="G182" s="1">
        <v>1143</v>
      </c>
      <c r="H182">
        <v>150</v>
      </c>
      <c r="I182" s="1">
        <v>1040</v>
      </c>
      <c r="J182">
        <v>44</v>
      </c>
      <c r="K182">
        <v>68</v>
      </c>
      <c r="L182">
        <v>652</v>
      </c>
      <c r="M182">
        <v>305</v>
      </c>
      <c r="N182">
        <v>708</v>
      </c>
      <c r="O182">
        <v>0</v>
      </c>
      <c r="P182">
        <v>0</v>
      </c>
      <c r="Q182" s="1">
        <v>0</v>
      </c>
      <c r="R182">
        <v>0</v>
      </c>
      <c r="S182">
        <v>18</v>
      </c>
      <c r="T182">
        <v>2</v>
      </c>
      <c r="U182" s="1">
        <v>0</v>
      </c>
      <c r="V182">
        <v>4</v>
      </c>
      <c r="W182">
        <v>0</v>
      </c>
      <c r="X182">
        <v>0</v>
      </c>
      <c r="Y182">
        <v>4</v>
      </c>
      <c r="Z182">
        <v>8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>
        <v>1</v>
      </c>
      <c r="AH182" s="1">
        <v>0</v>
      </c>
    </row>
    <row r="183" spans="1:34" x14ac:dyDescent="0.3">
      <c r="A183" t="s">
        <v>93</v>
      </c>
      <c r="B183" t="s">
        <v>95</v>
      </c>
      <c r="C183" t="s">
        <v>34</v>
      </c>
      <c r="D183" s="1">
        <v>20495</v>
      </c>
      <c r="E183" s="1">
        <v>17237</v>
      </c>
      <c r="F183">
        <v>903</v>
      </c>
      <c r="G183" s="1">
        <v>1320</v>
      </c>
      <c r="H183">
        <v>159</v>
      </c>
      <c r="I183">
        <v>430</v>
      </c>
      <c r="J183">
        <v>56</v>
      </c>
      <c r="K183">
        <v>40</v>
      </c>
      <c r="L183">
        <v>61</v>
      </c>
      <c r="M183">
        <v>82</v>
      </c>
      <c r="N183">
        <v>203</v>
      </c>
      <c r="O183">
        <v>0</v>
      </c>
      <c r="P183">
        <v>0</v>
      </c>
      <c r="Q183" s="1">
        <v>0</v>
      </c>
      <c r="R183">
        <v>0</v>
      </c>
      <c r="S183">
        <v>1</v>
      </c>
      <c r="T183">
        <v>0</v>
      </c>
      <c r="U183" s="1">
        <v>0</v>
      </c>
      <c r="V183">
        <v>0</v>
      </c>
      <c r="W183" s="1">
        <v>0</v>
      </c>
      <c r="X183">
        <v>0</v>
      </c>
      <c r="Y183" s="1">
        <v>0</v>
      </c>
      <c r="Z183">
        <v>2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>
        <v>1</v>
      </c>
      <c r="AH183" s="1">
        <v>0</v>
      </c>
    </row>
    <row r="184" spans="1:34" x14ac:dyDescent="0.3">
      <c r="A184" t="s">
        <v>93</v>
      </c>
      <c r="B184" t="s">
        <v>96</v>
      </c>
      <c r="C184" t="s">
        <v>32</v>
      </c>
      <c r="D184" s="1">
        <v>16264</v>
      </c>
      <c r="E184" s="1">
        <v>12430</v>
      </c>
      <c r="F184">
        <v>664</v>
      </c>
      <c r="G184">
        <v>604</v>
      </c>
      <c r="H184">
        <v>94</v>
      </c>
      <c r="I184" s="1">
        <v>1081</v>
      </c>
      <c r="J184">
        <v>4</v>
      </c>
      <c r="K184">
        <v>19</v>
      </c>
      <c r="L184">
        <v>668</v>
      </c>
      <c r="M184">
        <v>187</v>
      </c>
      <c r="N184">
        <v>439</v>
      </c>
      <c r="O184">
        <v>0</v>
      </c>
      <c r="P184">
        <v>11</v>
      </c>
      <c r="Q184" s="1">
        <v>0</v>
      </c>
      <c r="R184">
        <v>0</v>
      </c>
      <c r="S184">
        <v>39</v>
      </c>
      <c r="T184">
        <v>19</v>
      </c>
      <c r="U184" s="1">
        <v>0</v>
      </c>
      <c r="V184">
        <v>1</v>
      </c>
      <c r="W184">
        <v>1</v>
      </c>
      <c r="X184">
        <v>0</v>
      </c>
      <c r="Y184" s="1">
        <v>0</v>
      </c>
      <c r="Z184">
        <v>3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</row>
    <row r="185" spans="1:34" x14ac:dyDescent="0.3">
      <c r="A185" t="s">
        <v>93</v>
      </c>
      <c r="B185" t="s">
        <v>96</v>
      </c>
      <c r="C185" t="s">
        <v>33</v>
      </c>
      <c r="D185" s="1">
        <v>8691</v>
      </c>
      <c r="E185" s="1">
        <v>5804</v>
      </c>
      <c r="F185">
        <v>344</v>
      </c>
      <c r="G185">
        <v>284</v>
      </c>
      <c r="H185">
        <v>39</v>
      </c>
      <c r="I185">
        <v>968</v>
      </c>
      <c r="J185">
        <v>0</v>
      </c>
      <c r="K185">
        <v>8</v>
      </c>
      <c r="L185">
        <v>656</v>
      </c>
      <c r="M185">
        <v>172</v>
      </c>
      <c r="N185">
        <v>346</v>
      </c>
      <c r="O185">
        <v>0</v>
      </c>
      <c r="P185">
        <v>11</v>
      </c>
      <c r="Q185" s="1">
        <v>0</v>
      </c>
      <c r="R185">
        <v>0</v>
      </c>
      <c r="S185">
        <v>36</v>
      </c>
      <c r="T185">
        <v>19</v>
      </c>
      <c r="U185" s="1">
        <v>0</v>
      </c>
      <c r="V185">
        <v>1</v>
      </c>
      <c r="W185" s="1">
        <v>0</v>
      </c>
      <c r="X185">
        <v>0</v>
      </c>
      <c r="Y185" s="1">
        <v>0</v>
      </c>
      <c r="Z185">
        <v>3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</row>
    <row r="186" spans="1:34" x14ac:dyDescent="0.3">
      <c r="A186" t="s">
        <v>93</v>
      </c>
      <c r="B186" t="s">
        <v>96</v>
      </c>
      <c r="C186" t="s">
        <v>34</v>
      </c>
      <c r="D186" s="1">
        <v>7573</v>
      </c>
      <c r="E186" s="1">
        <v>6626</v>
      </c>
      <c r="F186">
        <v>320</v>
      </c>
      <c r="G186">
        <v>320</v>
      </c>
      <c r="H186">
        <v>55</v>
      </c>
      <c r="I186">
        <v>113</v>
      </c>
      <c r="J186">
        <v>4</v>
      </c>
      <c r="K186">
        <v>11</v>
      </c>
      <c r="L186">
        <v>12</v>
      </c>
      <c r="M186">
        <v>15</v>
      </c>
      <c r="N186">
        <v>93</v>
      </c>
      <c r="O186">
        <v>0</v>
      </c>
      <c r="P186">
        <v>0</v>
      </c>
      <c r="Q186" s="1">
        <v>0</v>
      </c>
      <c r="R186">
        <v>0</v>
      </c>
      <c r="S186">
        <v>3</v>
      </c>
      <c r="T186">
        <v>0</v>
      </c>
      <c r="U186" s="1">
        <v>0</v>
      </c>
      <c r="V186">
        <v>0</v>
      </c>
      <c r="W186">
        <v>1</v>
      </c>
      <c r="X186">
        <v>0</v>
      </c>
      <c r="Y186" s="1">
        <v>0</v>
      </c>
      <c r="Z186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</row>
    <row r="187" spans="1:34" x14ac:dyDescent="0.3">
      <c r="A187" t="s">
        <v>93</v>
      </c>
      <c r="B187" t="s">
        <v>97</v>
      </c>
      <c r="C187" t="s">
        <v>32</v>
      </c>
      <c r="D187" s="1">
        <v>10046</v>
      </c>
      <c r="E187" s="1">
        <v>7676</v>
      </c>
      <c r="F187">
        <v>379</v>
      </c>
      <c r="G187">
        <v>521</v>
      </c>
      <c r="H187">
        <v>66</v>
      </c>
      <c r="I187">
        <v>685</v>
      </c>
      <c r="J187">
        <v>10</v>
      </c>
      <c r="K187">
        <v>12</v>
      </c>
      <c r="L187">
        <v>233</v>
      </c>
      <c r="M187">
        <v>152</v>
      </c>
      <c r="N187">
        <v>286</v>
      </c>
      <c r="O187">
        <v>0</v>
      </c>
      <c r="P187">
        <v>0</v>
      </c>
      <c r="Q187" s="1">
        <v>0</v>
      </c>
      <c r="R187">
        <v>0</v>
      </c>
      <c r="S187">
        <v>13</v>
      </c>
      <c r="T187">
        <v>4</v>
      </c>
      <c r="U187" s="1">
        <v>0</v>
      </c>
      <c r="V187">
        <v>0</v>
      </c>
      <c r="W187" s="1">
        <v>0</v>
      </c>
      <c r="X187">
        <v>3</v>
      </c>
      <c r="Y187">
        <v>3</v>
      </c>
      <c r="Z187">
        <v>3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</row>
    <row r="188" spans="1:34" x14ac:dyDescent="0.3">
      <c r="A188" t="s">
        <v>93</v>
      </c>
      <c r="B188" t="s">
        <v>97</v>
      </c>
      <c r="C188" t="s">
        <v>33</v>
      </c>
      <c r="D188" s="1">
        <v>5530</v>
      </c>
      <c r="E188" s="1">
        <v>3822</v>
      </c>
      <c r="F188">
        <v>199</v>
      </c>
      <c r="G188">
        <v>264</v>
      </c>
      <c r="H188">
        <v>37</v>
      </c>
      <c r="I188">
        <v>565</v>
      </c>
      <c r="J188">
        <v>5</v>
      </c>
      <c r="K188">
        <v>8</v>
      </c>
      <c r="L188">
        <v>217</v>
      </c>
      <c r="M188">
        <v>141</v>
      </c>
      <c r="N188">
        <v>247</v>
      </c>
      <c r="O188">
        <v>0</v>
      </c>
      <c r="P188">
        <v>0</v>
      </c>
      <c r="Q188" s="1">
        <v>0</v>
      </c>
      <c r="R188">
        <v>0</v>
      </c>
      <c r="S188">
        <v>13</v>
      </c>
      <c r="T188">
        <v>4</v>
      </c>
      <c r="U188" s="1">
        <v>0</v>
      </c>
      <c r="V188">
        <v>0</v>
      </c>
      <c r="W188">
        <v>0</v>
      </c>
      <c r="X188">
        <v>3</v>
      </c>
      <c r="Y188">
        <v>3</v>
      </c>
      <c r="Z188">
        <v>2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</row>
    <row r="189" spans="1:34" x14ac:dyDescent="0.3">
      <c r="A189" t="s">
        <v>93</v>
      </c>
      <c r="B189" t="s">
        <v>97</v>
      </c>
      <c r="C189" t="s">
        <v>34</v>
      </c>
      <c r="D189" s="1">
        <v>4516</v>
      </c>
      <c r="E189" s="1">
        <v>3854</v>
      </c>
      <c r="F189">
        <v>180</v>
      </c>
      <c r="G189">
        <v>257</v>
      </c>
      <c r="H189">
        <v>29</v>
      </c>
      <c r="I189">
        <v>120</v>
      </c>
      <c r="J189">
        <v>5</v>
      </c>
      <c r="K189">
        <v>4</v>
      </c>
      <c r="L189">
        <v>16</v>
      </c>
      <c r="M189">
        <v>11</v>
      </c>
      <c r="N189">
        <v>39</v>
      </c>
      <c r="O189">
        <v>0</v>
      </c>
      <c r="P189">
        <v>0</v>
      </c>
      <c r="Q189" s="1">
        <v>0</v>
      </c>
      <c r="R189">
        <v>0</v>
      </c>
      <c r="S189">
        <v>0</v>
      </c>
      <c r="T189">
        <v>0</v>
      </c>
      <c r="U189" s="1">
        <v>0</v>
      </c>
      <c r="V189">
        <v>0</v>
      </c>
      <c r="W189" s="1">
        <v>0</v>
      </c>
      <c r="X189">
        <v>0</v>
      </c>
      <c r="Y189" s="1">
        <v>0</v>
      </c>
      <c r="Z189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</row>
    <row r="190" spans="1:34" x14ac:dyDescent="0.3">
      <c r="A190" t="s">
        <v>93</v>
      </c>
      <c r="B190" t="s">
        <v>98</v>
      </c>
      <c r="C190" t="s">
        <v>32</v>
      </c>
      <c r="D190" s="1">
        <v>9027</v>
      </c>
      <c r="E190" s="1">
        <v>7051</v>
      </c>
      <c r="F190">
        <v>455</v>
      </c>
      <c r="G190">
        <v>598</v>
      </c>
      <c r="H190">
        <v>82</v>
      </c>
      <c r="I190">
        <v>474</v>
      </c>
      <c r="J190">
        <v>29</v>
      </c>
      <c r="K190">
        <v>22</v>
      </c>
      <c r="L190">
        <v>89</v>
      </c>
      <c r="M190">
        <v>85</v>
      </c>
      <c r="N190">
        <v>132</v>
      </c>
      <c r="O190">
        <v>0</v>
      </c>
      <c r="P190">
        <v>0</v>
      </c>
      <c r="Q190" s="1">
        <v>0</v>
      </c>
      <c r="R190">
        <v>2</v>
      </c>
      <c r="S190">
        <v>6</v>
      </c>
      <c r="T190">
        <v>0</v>
      </c>
      <c r="U190" s="1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</row>
    <row r="191" spans="1:34" x14ac:dyDescent="0.3">
      <c r="A191" t="s">
        <v>93</v>
      </c>
      <c r="B191" t="s">
        <v>98</v>
      </c>
      <c r="C191" t="s">
        <v>33</v>
      </c>
      <c r="D191" s="1">
        <v>4430</v>
      </c>
      <c r="E191" s="1">
        <v>3229</v>
      </c>
      <c r="F191">
        <v>206</v>
      </c>
      <c r="G191">
        <v>321</v>
      </c>
      <c r="H191">
        <v>39</v>
      </c>
      <c r="I191">
        <v>347</v>
      </c>
      <c r="J191">
        <v>14</v>
      </c>
      <c r="K191">
        <v>14</v>
      </c>
      <c r="L191">
        <v>83</v>
      </c>
      <c r="M191">
        <v>62</v>
      </c>
      <c r="N191">
        <v>105</v>
      </c>
      <c r="O191">
        <v>0</v>
      </c>
      <c r="P191">
        <v>0</v>
      </c>
      <c r="Q191" s="1">
        <v>0</v>
      </c>
      <c r="R191">
        <v>2</v>
      </c>
      <c r="S191">
        <v>6</v>
      </c>
      <c r="T191">
        <v>0</v>
      </c>
      <c r="U191" s="1">
        <v>0</v>
      </c>
      <c r="V191">
        <v>0</v>
      </c>
      <c r="W191" s="1">
        <v>0</v>
      </c>
      <c r="X191">
        <v>0</v>
      </c>
      <c r="Y191">
        <v>1</v>
      </c>
      <c r="Z191">
        <v>1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</row>
    <row r="192" spans="1:34" x14ac:dyDescent="0.3">
      <c r="A192" t="s">
        <v>93</v>
      </c>
      <c r="B192" t="s">
        <v>98</v>
      </c>
      <c r="C192" t="s">
        <v>34</v>
      </c>
      <c r="D192" s="1">
        <v>4597</v>
      </c>
      <c r="E192" s="1">
        <v>3822</v>
      </c>
      <c r="F192">
        <v>249</v>
      </c>
      <c r="G192">
        <v>277</v>
      </c>
      <c r="H192">
        <v>43</v>
      </c>
      <c r="I192">
        <v>127</v>
      </c>
      <c r="J192">
        <v>15</v>
      </c>
      <c r="K192">
        <v>8</v>
      </c>
      <c r="L192">
        <v>6</v>
      </c>
      <c r="M192">
        <v>23</v>
      </c>
      <c r="N192">
        <v>27</v>
      </c>
      <c r="O192">
        <v>0</v>
      </c>
      <c r="P192">
        <v>0</v>
      </c>
      <c r="Q192" s="1">
        <v>0</v>
      </c>
      <c r="R192">
        <v>0</v>
      </c>
      <c r="S192">
        <v>0</v>
      </c>
      <c r="T192">
        <v>0</v>
      </c>
      <c r="U192" s="1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</row>
    <row r="193" spans="1:34" x14ac:dyDescent="0.3">
      <c r="A193" t="s">
        <v>93</v>
      </c>
      <c r="B193" t="s">
        <v>99</v>
      </c>
      <c r="C193" t="s">
        <v>32</v>
      </c>
      <c r="D193" s="1">
        <v>7828</v>
      </c>
      <c r="E193" s="1">
        <v>5931</v>
      </c>
      <c r="F193">
        <v>325</v>
      </c>
      <c r="G193">
        <v>322</v>
      </c>
      <c r="H193">
        <v>53</v>
      </c>
      <c r="I193">
        <v>567</v>
      </c>
      <c r="J193">
        <v>14</v>
      </c>
      <c r="K193">
        <v>17</v>
      </c>
      <c r="L193">
        <v>151</v>
      </c>
      <c r="M193">
        <v>165</v>
      </c>
      <c r="N193">
        <v>203</v>
      </c>
      <c r="O193">
        <v>1</v>
      </c>
      <c r="P193">
        <v>5</v>
      </c>
      <c r="Q193" s="1">
        <v>0</v>
      </c>
      <c r="R193">
        <v>0</v>
      </c>
      <c r="S193">
        <v>46</v>
      </c>
      <c r="T193">
        <v>2</v>
      </c>
      <c r="U193">
        <v>1</v>
      </c>
      <c r="V193">
        <v>4</v>
      </c>
      <c r="W193">
        <v>2</v>
      </c>
      <c r="X193">
        <v>3</v>
      </c>
      <c r="Y193">
        <v>7</v>
      </c>
      <c r="Z193">
        <v>7</v>
      </c>
      <c r="AA193" s="1">
        <v>0</v>
      </c>
      <c r="AB193">
        <v>2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</row>
    <row r="194" spans="1:34" x14ac:dyDescent="0.3">
      <c r="A194" t="s">
        <v>93</v>
      </c>
      <c r="B194" t="s">
        <v>99</v>
      </c>
      <c r="C194" t="s">
        <v>33</v>
      </c>
      <c r="D194" s="1">
        <v>3768</v>
      </c>
      <c r="E194" s="1">
        <v>2372</v>
      </c>
      <c r="F194">
        <v>171</v>
      </c>
      <c r="G194">
        <v>129</v>
      </c>
      <c r="H194">
        <v>18</v>
      </c>
      <c r="I194">
        <v>509</v>
      </c>
      <c r="J194">
        <v>4</v>
      </c>
      <c r="K194">
        <v>7</v>
      </c>
      <c r="L194">
        <v>141</v>
      </c>
      <c r="M194">
        <v>156</v>
      </c>
      <c r="N194">
        <v>184</v>
      </c>
      <c r="O194">
        <v>1</v>
      </c>
      <c r="P194">
        <v>5</v>
      </c>
      <c r="Q194" s="1">
        <v>0</v>
      </c>
      <c r="R194">
        <v>0</v>
      </c>
      <c r="S194">
        <v>46</v>
      </c>
      <c r="T194">
        <v>2</v>
      </c>
      <c r="U194">
        <v>1</v>
      </c>
      <c r="V194">
        <v>4</v>
      </c>
      <c r="W194">
        <v>0</v>
      </c>
      <c r="X194">
        <v>3</v>
      </c>
      <c r="Y194">
        <v>7</v>
      </c>
      <c r="Z194">
        <v>7</v>
      </c>
      <c r="AA194" s="1">
        <v>0</v>
      </c>
      <c r="AB194">
        <v>1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</row>
    <row r="195" spans="1:34" x14ac:dyDescent="0.3">
      <c r="A195" t="s">
        <v>93</v>
      </c>
      <c r="B195" t="s">
        <v>99</v>
      </c>
      <c r="C195" t="s">
        <v>34</v>
      </c>
      <c r="D195" s="1">
        <v>4060</v>
      </c>
      <c r="E195" s="1">
        <v>3559</v>
      </c>
      <c r="F195">
        <v>154</v>
      </c>
      <c r="G195">
        <v>193</v>
      </c>
      <c r="H195">
        <v>35</v>
      </c>
      <c r="I195">
        <v>58</v>
      </c>
      <c r="J195">
        <v>10</v>
      </c>
      <c r="K195">
        <v>10</v>
      </c>
      <c r="L195">
        <v>10</v>
      </c>
      <c r="M195">
        <v>9</v>
      </c>
      <c r="N195">
        <v>19</v>
      </c>
      <c r="O195">
        <v>0</v>
      </c>
      <c r="P195">
        <v>0</v>
      </c>
      <c r="Q195" s="1">
        <v>0</v>
      </c>
      <c r="R195">
        <v>0</v>
      </c>
      <c r="S195">
        <v>0</v>
      </c>
      <c r="T195">
        <v>0</v>
      </c>
      <c r="U195" s="1">
        <v>0</v>
      </c>
      <c r="V195">
        <v>0</v>
      </c>
      <c r="W195">
        <v>2</v>
      </c>
      <c r="X195">
        <v>0</v>
      </c>
      <c r="Y195">
        <v>0</v>
      </c>
      <c r="Z195">
        <v>0</v>
      </c>
      <c r="AA195" s="1">
        <v>0</v>
      </c>
      <c r="AB195">
        <v>1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</row>
    <row r="196" spans="1:34" x14ac:dyDescent="0.3">
      <c r="A196" t="s">
        <v>93</v>
      </c>
      <c r="B196" t="s">
        <v>100</v>
      </c>
      <c r="C196" t="s">
        <v>32</v>
      </c>
      <c r="D196" s="1">
        <v>3475</v>
      </c>
      <c r="E196" s="1">
        <v>3000</v>
      </c>
      <c r="F196">
        <v>120</v>
      </c>
      <c r="G196">
        <v>100</v>
      </c>
      <c r="H196">
        <v>23</v>
      </c>
      <c r="I196">
        <v>122</v>
      </c>
      <c r="J196">
        <v>7</v>
      </c>
      <c r="K196">
        <v>5</v>
      </c>
      <c r="L196">
        <v>23</v>
      </c>
      <c r="M196">
        <v>29</v>
      </c>
      <c r="N196">
        <v>45</v>
      </c>
      <c r="O196">
        <v>0</v>
      </c>
      <c r="P196">
        <v>0</v>
      </c>
      <c r="Q196" s="1">
        <v>0</v>
      </c>
      <c r="R196">
        <v>0</v>
      </c>
      <c r="S196">
        <v>1</v>
      </c>
      <c r="T196">
        <v>0</v>
      </c>
      <c r="U196" s="1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s="1">
        <v>0</v>
      </c>
      <c r="AB196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</row>
    <row r="197" spans="1:34" x14ac:dyDescent="0.3">
      <c r="A197" t="s">
        <v>93</v>
      </c>
      <c r="B197" t="s">
        <v>100</v>
      </c>
      <c r="C197" t="s">
        <v>33</v>
      </c>
      <c r="D197" s="1">
        <v>1814</v>
      </c>
      <c r="E197" s="1">
        <v>1464</v>
      </c>
      <c r="F197">
        <v>78</v>
      </c>
      <c r="G197">
        <v>45</v>
      </c>
      <c r="H197">
        <v>12</v>
      </c>
      <c r="I197">
        <v>112</v>
      </c>
      <c r="J197">
        <v>5</v>
      </c>
      <c r="K197">
        <v>5</v>
      </c>
      <c r="L197">
        <v>21</v>
      </c>
      <c r="M197">
        <v>28</v>
      </c>
      <c r="N197">
        <v>43</v>
      </c>
      <c r="O197">
        <v>0</v>
      </c>
      <c r="P197">
        <v>0</v>
      </c>
      <c r="Q197" s="1">
        <v>0</v>
      </c>
      <c r="R197">
        <v>0</v>
      </c>
      <c r="S197">
        <v>1</v>
      </c>
      <c r="T197">
        <v>0</v>
      </c>
      <c r="U197" s="1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s="1">
        <v>0</v>
      </c>
      <c r="AB197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</row>
    <row r="198" spans="1:34" x14ac:dyDescent="0.3">
      <c r="A198" t="s">
        <v>93</v>
      </c>
      <c r="B198" t="s">
        <v>100</v>
      </c>
      <c r="C198" t="s">
        <v>34</v>
      </c>
      <c r="D198" s="1">
        <v>1661</v>
      </c>
      <c r="E198" s="1">
        <v>1536</v>
      </c>
      <c r="F198">
        <v>42</v>
      </c>
      <c r="G198">
        <v>55</v>
      </c>
      <c r="H198">
        <v>11</v>
      </c>
      <c r="I198">
        <v>10</v>
      </c>
      <c r="J198">
        <v>2</v>
      </c>
      <c r="K198">
        <v>0</v>
      </c>
      <c r="L198">
        <v>2</v>
      </c>
      <c r="M198">
        <v>1</v>
      </c>
      <c r="N198">
        <v>2</v>
      </c>
      <c r="O198">
        <v>0</v>
      </c>
      <c r="P198">
        <v>0</v>
      </c>
      <c r="Q198" s="1">
        <v>0</v>
      </c>
      <c r="R198">
        <v>0</v>
      </c>
      <c r="S198">
        <v>0</v>
      </c>
      <c r="T198">
        <v>0</v>
      </c>
      <c r="U198" s="1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s="1">
        <v>0</v>
      </c>
      <c r="AB198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</row>
    <row r="199" spans="1:34" x14ac:dyDescent="0.3">
      <c r="A199" t="s">
        <v>93</v>
      </c>
      <c r="B199" t="s">
        <v>101</v>
      </c>
      <c r="C199" t="s">
        <v>32</v>
      </c>
      <c r="D199" s="1">
        <v>3011</v>
      </c>
      <c r="E199" s="1">
        <v>2476</v>
      </c>
      <c r="F199">
        <v>119</v>
      </c>
      <c r="G199">
        <v>128</v>
      </c>
      <c r="H199">
        <v>48</v>
      </c>
      <c r="I199">
        <v>147</v>
      </c>
      <c r="J199">
        <v>2</v>
      </c>
      <c r="K199">
        <v>4</v>
      </c>
      <c r="L199">
        <v>19</v>
      </c>
      <c r="M199">
        <v>34</v>
      </c>
      <c r="N199">
        <v>32</v>
      </c>
      <c r="O199">
        <v>0</v>
      </c>
      <c r="P199">
        <v>0</v>
      </c>
      <c r="Q199" s="1">
        <v>0</v>
      </c>
      <c r="R199">
        <v>0</v>
      </c>
      <c r="S199">
        <v>1</v>
      </c>
      <c r="T199">
        <v>0</v>
      </c>
      <c r="U199" s="1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 s="1">
        <v>0</v>
      </c>
      <c r="AB199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</row>
    <row r="200" spans="1:34" x14ac:dyDescent="0.3">
      <c r="A200" t="s">
        <v>93</v>
      </c>
      <c r="B200" t="s">
        <v>101</v>
      </c>
      <c r="C200" t="s">
        <v>33</v>
      </c>
      <c r="D200" s="1">
        <v>1485</v>
      </c>
      <c r="E200" s="1">
        <v>1203</v>
      </c>
      <c r="F200">
        <v>71</v>
      </c>
      <c r="G200">
        <v>57</v>
      </c>
      <c r="H200">
        <v>15</v>
      </c>
      <c r="I200">
        <v>80</v>
      </c>
      <c r="J200">
        <v>1</v>
      </c>
      <c r="K200">
        <v>2</v>
      </c>
      <c r="L200">
        <v>16</v>
      </c>
      <c r="M200">
        <v>18</v>
      </c>
      <c r="N200">
        <v>20</v>
      </c>
      <c r="O200">
        <v>0</v>
      </c>
      <c r="P200">
        <v>0</v>
      </c>
      <c r="Q200" s="1">
        <v>0</v>
      </c>
      <c r="R200">
        <v>0</v>
      </c>
      <c r="S200">
        <v>1</v>
      </c>
      <c r="T200">
        <v>0</v>
      </c>
      <c r="U200" s="1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 s="1">
        <v>0</v>
      </c>
      <c r="AB200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</row>
    <row r="201" spans="1:34" x14ac:dyDescent="0.3">
      <c r="A201" t="s">
        <v>93</v>
      </c>
      <c r="B201" t="s">
        <v>101</v>
      </c>
      <c r="C201" t="s">
        <v>34</v>
      </c>
      <c r="D201" s="1">
        <v>1526</v>
      </c>
      <c r="E201" s="1">
        <v>1273</v>
      </c>
      <c r="F201">
        <v>48</v>
      </c>
      <c r="G201">
        <v>71</v>
      </c>
      <c r="H201">
        <v>33</v>
      </c>
      <c r="I201">
        <v>67</v>
      </c>
      <c r="J201">
        <v>1</v>
      </c>
      <c r="K201">
        <v>2</v>
      </c>
      <c r="L201">
        <v>3</v>
      </c>
      <c r="M201">
        <v>16</v>
      </c>
      <c r="N201">
        <v>12</v>
      </c>
      <c r="O201">
        <v>0</v>
      </c>
      <c r="P201">
        <v>0</v>
      </c>
      <c r="Q201" s="1">
        <v>0</v>
      </c>
      <c r="R201">
        <v>0</v>
      </c>
      <c r="S201">
        <v>0</v>
      </c>
      <c r="T201">
        <v>0</v>
      </c>
      <c r="U201" s="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s="1">
        <v>0</v>
      </c>
      <c r="AB20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</row>
    <row r="202" spans="1:34" x14ac:dyDescent="0.3">
      <c r="A202" t="s">
        <v>93</v>
      </c>
      <c r="B202" t="s">
        <v>102</v>
      </c>
      <c r="C202" t="s">
        <v>32</v>
      </c>
      <c r="D202" s="1">
        <v>2330</v>
      </c>
      <c r="E202" s="1">
        <v>1874</v>
      </c>
      <c r="F202">
        <v>88</v>
      </c>
      <c r="G202">
        <v>83</v>
      </c>
      <c r="H202">
        <v>28</v>
      </c>
      <c r="I202">
        <v>90</v>
      </c>
      <c r="J202">
        <v>5</v>
      </c>
      <c r="K202">
        <v>4</v>
      </c>
      <c r="L202">
        <v>65</v>
      </c>
      <c r="M202">
        <v>19</v>
      </c>
      <c r="N202">
        <v>62</v>
      </c>
      <c r="O202">
        <v>0</v>
      </c>
      <c r="P202">
        <v>3</v>
      </c>
      <c r="Q202" s="1">
        <v>0</v>
      </c>
      <c r="R202">
        <v>0</v>
      </c>
      <c r="S202">
        <v>2</v>
      </c>
      <c r="T202">
        <v>0</v>
      </c>
      <c r="U202" s="1">
        <v>0</v>
      </c>
      <c r="V202">
        <v>0</v>
      </c>
      <c r="W202">
        <v>1</v>
      </c>
      <c r="X202">
        <v>0</v>
      </c>
      <c r="Y202">
        <v>5</v>
      </c>
      <c r="Z202">
        <v>0</v>
      </c>
      <c r="AA202" s="1">
        <v>0</v>
      </c>
      <c r="AB202">
        <v>0</v>
      </c>
      <c r="AC202" s="1">
        <v>0</v>
      </c>
      <c r="AD202" s="1">
        <v>0</v>
      </c>
      <c r="AE202" s="1">
        <v>0</v>
      </c>
      <c r="AF202" s="1">
        <v>0</v>
      </c>
      <c r="AG202">
        <v>1</v>
      </c>
      <c r="AH202" s="1">
        <v>0</v>
      </c>
    </row>
    <row r="203" spans="1:34" x14ac:dyDescent="0.3">
      <c r="A203" t="s">
        <v>93</v>
      </c>
      <c r="B203" t="s">
        <v>102</v>
      </c>
      <c r="C203" t="s">
        <v>33</v>
      </c>
      <c r="D203" s="1">
        <v>1224</v>
      </c>
      <c r="E203">
        <v>897</v>
      </c>
      <c r="F203">
        <v>52</v>
      </c>
      <c r="G203">
        <v>39</v>
      </c>
      <c r="H203">
        <v>12</v>
      </c>
      <c r="I203">
        <v>78</v>
      </c>
      <c r="J203">
        <v>1</v>
      </c>
      <c r="K203">
        <v>4</v>
      </c>
      <c r="L203">
        <v>59</v>
      </c>
      <c r="M203">
        <v>16</v>
      </c>
      <c r="N203">
        <v>56</v>
      </c>
      <c r="O203">
        <v>0</v>
      </c>
      <c r="P203">
        <v>3</v>
      </c>
      <c r="Q203" s="1">
        <v>0</v>
      </c>
      <c r="R203">
        <v>0</v>
      </c>
      <c r="S203">
        <v>1</v>
      </c>
      <c r="T203">
        <v>0</v>
      </c>
      <c r="U203" s="1">
        <v>0</v>
      </c>
      <c r="V203">
        <v>0</v>
      </c>
      <c r="W203">
        <v>0</v>
      </c>
      <c r="X203">
        <v>0</v>
      </c>
      <c r="Y203">
        <v>5</v>
      </c>
      <c r="Z203">
        <v>0</v>
      </c>
      <c r="AA203" s="1">
        <v>0</v>
      </c>
      <c r="AB203">
        <v>0</v>
      </c>
      <c r="AC203" s="1">
        <v>0</v>
      </c>
      <c r="AD203" s="1">
        <v>0</v>
      </c>
      <c r="AE203" s="1">
        <v>0</v>
      </c>
      <c r="AF203" s="1">
        <v>0</v>
      </c>
      <c r="AG203">
        <v>1</v>
      </c>
      <c r="AH203" s="1">
        <v>0</v>
      </c>
    </row>
    <row r="204" spans="1:34" x14ac:dyDescent="0.3">
      <c r="A204" t="s">
        <v>93</v>
      </c>
      <c r="B204" t="s">
        <v>102</v>
      </c>
      <c r="C204" t="s">
        <v>34</v>
      </c>
      <c r="D204" s="1">
        <v>1106</v>
      </c>
      <c r="E204">
        <v>977</v>
      </c>
      <c r="F204">
        <v>36</v>
      </c>
      <c r="G204">
        <v>44</v>
      </c>
      <c r="H204">
        <v>16</v>
      </c>
      <c r="I204">
        <v>12</v>
      </c>
      <c r="J204">
        <v>4</v>
      </c>
      <c r="K204">
        <v>0</v>
      </c>
      <c r="L204">
        <v>6</v>
      </c>
      <c r="M204">
        <v>3</v>
      </c>
      <c r="N204">
        <v>6</v>
      </c>
      <c r="O204">
        <v>0</v>
      </c>
      <c r="P204">
        <v>0</v>
      </c>
      <c r="Q204" s="1">
        <v>0</v>
      </c>
      <c r="R204">
        <v>0</v>
      </c>
      <c r="S204">
        <v>1</v>
      </c>
      <c r="T204">
        <v>0</v>
      </c>
      <c r="U204" s="1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 s="1">
        <v>0</v>
      </c>
      <c r="AB204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</row>
    <row r="205" spans="1:34" x14ac:dyDescent="0.3">
      <c r="A205" t="s">
        <v>93</v>
      </c>
      <c r="B205" t="s">
        <v>103</v>
      </c>
      <c r="C205" t="s">
        <v>32</v>
      </c>
      <c r="D205" s="1">
        <v>2080</v>
      </c>
      <c r="E205" s="1">
        <v>1358</v>
      </c>
      <c r="F205">
        <v>71</v>
      </c>
      <c r="G205">
        <v>71</v>
      </c>
      <c r="H205">
        <v>15</v>
      </c>
      <c r="I205">
        <v>298</v>
      </c>
      <c r="J205">
        <v>1</v>
      </c>
      <c r="K205">
        <v>4</v>
      </c>
      <c r="L205">
        <v>30</v>
      </c>
      <c r="M205">
        <v>69</v>
      </c>
      <c r="N205">
        <v>101</v>
      </c>
      <c r="O205">
        <v>0</v>
      </c>
      <c r="P205">
        <v>13</v>
      </c>
      <c r="Q205">
        <v>3</v>
      </c>
      <c r="R205">
        <v>0</v>
      </c>
      <c r="S205">
        <v>21</v>
      </c>
      <c r="T205">
        <v>8</v>
      </c>
      <c r="U205" s="1">
        <v>0</v>
      </c>
      <c r="V205">
        <v>3</v>
      </c>
      <c r="W205">
        <v>0</v>
      </c>
      <c r="X205">
        <v>6</v>
      </c>
      <c r="Y205">
        <v>4</v>
      </c>
      <c r="Z205">
        <v>2</v>
      </c>
      <c r="AA205">
        <v>2</v>
      </c>
      <c r="AB205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</row>
    <row r="206" spans="1:34" x14ac:dyDescent="0.3">
      <c r="A206" t="s">
        <v>93</v>
      </c>
      <c r="B206" t="s">
        <v>103</v>
      </c>
      <c r="C206" t="s">
        <v>33</v>
      </c>
      <c r="D206" s="1">
        <v>1117</v>
      </c>
      <c r="E206">
        <v>600</v>
      </c>
      <c r="F206">
        <v>38</v>
      </c>
      <c r="G206">
        <v>37</v>
      </c>
      <c r="H206">
        <v>4</v>
      </c>
      <c r="I206">
        <v>196</v>
      </c>
      <c r="J206">
        <v>0</v>
      </c>
      <c r="K206">
        <v>2</v>
      </c>
      <c r="L206">
        <v>26</v>
      </c>
      <c r="M206">
        <v>67</v>
      </c>
      <c r="N206">
        <v>88</v>
      </c>
      <c r="O206">
        <v>0</v>
      </c>
      <c r="P206">
        <v>13</v>
      </c>
      <c r="Q206">
        <v>3</v>
      </c>
      <c r="R206">
        <v>0</v>
      </c>
      <c r="S206">
        <v>21</v>
      </c>
      <c r="T206">
        <v>5</v>
      </c>
      <c r="U206" s="1">
        <v>0</v>
      </c>
      <c r="V206">
        <v>3</v>
      </c>
      <c r="W206">
        <v>0</v>
      </c>
      <c r="X206">
        <v>6</v>
      </c>
      <c r="Y206">
        <v>4</v>
      </c>
      <c r="Z206">
        <v>2</v>
      </c>
      <c r="AA206">
        <v>2</v>
      </c>
      <c r="AB206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</row>
    <row r="207" spans="1:34" x14ac:dyDescent="0.3">
      <c r="A207" t="s">
        <v>93</v>
      </c>
      <c r="B207" t="s">
        <v>103</v>
      </c>
      <c r="C207" t="s">
        <v>34</v>
      </c>
      <c r="D207">
        <v>963</v>
      </c>
      <c r="E207">
        <v>758</v>
      </c>
      <c r="F207">
        <v>33</v>
      </c>
      <c r="G207">
        <v>34</v>
      </c>
      <c r="H207">
        <v>11</v>
      </c>
      <c r="I207">
        <v>102</v>
      </c>
      <c r="J207">
        <v>1</v>
      </c>
      <c r="K207">
        <v>2</v>
      </c>
      <c r="L207">
        <v>4</v>
      </c>
      <c r="M207">
        <v>2</v>
      </c>
      <c r="N207">
        <v>13</v>
      </c>
      <c r="O207">
        <v>0</v>
      </c>
      <c r="P207">
        <v>0</v>
      </c>
      <c r="Q207" s="1">
        <v>0</v>
      </c>
      <c r="R207">
        <v>0</v>
      </c>
      <c r="S207">
        <v>0</v>
      </c>
      <c r="T207">
        <v>3</v>
      </c>
      <c r="U207" s="1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s="1">
        <v>0</v>
      </c>
      <c r="AB207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</row>
    <row r="208" spans="1:34" x14ac:dyDescent="0.3">
      <c r="A208" t="s">
        <v>93</v>
      </c>
      <c r="B208" t="s">
        <v>104</v>
      </c>
      <c r="C208" t="s">
        <v>32</v>
      </c>
      <c r="D208" s="1">
        <v>1982</v>
      </c>
      <c r="E208" s="1">
        <v>1584</v>
      </c>
      <c r="F208">
        <v>49</v>
      </c>
      <c r="G208">
        <v>81</v>
      </c>
      <c r="H208">
        <v>15</v>
      </c>
      <c r="I208">
        <v>125</v>
      </c>
      <c r="J208">
        <v>5</v>
      </c>
      <c r="K208">
        <v>0</v>
      </c>
      <c r="L208">
        <v>68</v>
      </c>
      <c r="M208">
        <v>11</v>
      </c>
      <c r="N208">
        <v>40</v>
      </c>
      <c r="O208">
        <v>0</v>
      </c>
      <c r="P208">
        <v>0</v>
      </c>
      <c r="Q208" s="1">
        <v>0</v>
      </c>
      <c r="R208">
        <v>0</v>
      </c>
      <c r="S208">
        <v>0</v>
      </c>
      <c r="T208">
        <v>0</v>
      </c>
      <c r="U208" s="1">
        <v>0</v>
      </c>
      <c r="V208">
        <v>0</v>
      </c>
      <c r="W208">
        <v>0</v>
      </c>
      <c r="X208">
        <v>2</v>
      </c>
      <c r="Y208">
        <v>2</v>
      </c>
      <c r="Z208">
        <v>0</v>
      </c>
      <c r="AA208" s="1">
        <v>0</v>
      </c>
      <c r="AB208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</row>
    <row r="209" spans="1:34" x14ac:dyDescent="0.3">
      <c r="A209" t="s">
        <v>93</v>
      </c>
      <c r="B209" t="s">
        <v>104</v>
      </c>
      <c r="C209" t="s">
        <v>33</v>
      </c>
      <c r="D209" s="1">
        <v>1126</v>
      </c>
      <c r="E209">
        <v>836</v>
      </c>
      <c r="F209">
        <v>24</v>
      </c>
      <c r="G209">
        <v>49</v>
      </c>
      <c r="H209">
        <v>7</v>
      </c>
      <c r="I209">
        <v>97</v>
      </c>
      <c r="J209">
        <v>1</v>
      </c>
      <c r="K209">
        <v>0</v>
      </c>
      <c r="L209">
        <v>64</v>
      </c>
      <c r="M209">
        <v>10</v>
      </c>
      <c r="N209">
        <v>34</v>
      </c>
      <c r="O209">
        <v>0</v>
      </c>
      <c r="P209">
        <v>0</v>
      </c>
      <c r="Q209" s="1">
        <v>0</v>
      </c>
      <c r="R209">
        <v>0</v>
      </c>
      <c r="S209">
        <v>0</v>
      </c>
      <c r="T209">
        <v>0</v>
      </c>
      <c r="U209" s="1">
        <v>0</v>
      </c>
      <c r="V209">
        <v>0</v>
      </c>
      <c r="W209">
        <v>0</v>
      </c>
      <c r="X209">
        <v>2</v>
      </c>
      <c r="Y209">
        <v>2</v>
      </c>
      <c r="Z209">
        <v>0</v>
      </c>
      <c r="AA209" s="1">
        <v>0</v>
      </c>
      <c r="AB209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</row>
    <row r="210" spans="1:34" x14ac:dyDescent="0.3">
      <c r="A210" t="s">
        <v>93</v>
      </c>
      <c r="B210" t="s">
        <v>104</v>
      </c>
      <c r="C210" t="s">
        <v>34</v>
      </c>
      <c r="D210">
        <v>856</v>
      </c>
      <c r="E210">
        <v>748</v>
      </c>
      <c r="F210">
        <v>25</v>
      </c>
      <c r="G210">
        <v>32</v>
      </c>
      <c r="H210">
        <v>8</v>
      </c>
      <c r="I210">
        <v>28</v>
      </c>
      <c r="J210">
        <v>4</v>
      </c>
      <c r="K210">
        <v>0</v>
      </c>
      <c r="L210">
        <v>4</v>
      </c>
      <c r="M210">
        <v>1</v>
      </c>
      <c r="N210">
        <v>6</v>
      </c>
      <c r="O210">
        <v>0</v>
      </c>
      <c r="P210">
        <v>0</v>
      </c>
      <c r="Q210" s="1">
        <v>0</v>
      </c>
      <c r="R210">
        <v>0</v>
      </c>
      <c r="S210">
        <v>0</v>
      </c>
      <c r="T210">
        <v>0</v>
      </c>
      <c r="U210" s="1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s="1">
        <v>0</v>
      </c>
      <c r="AB210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</row>
    <row r="211" spans="1:34" x14ac:dyDescent="0.3">
      <c r="A211" t="s">
        <v>93</v>
      </c>
      <c r="B211" t="s">
        <v>105</v>
      </c>
      <c r="C211" t="s">
        <v>32</v>
      </c>
      <c r="D211" s="1">
        <v>1923</v>
      </c>
      <c r="E211" s="1">
        <v>1400</v>
      </c>
      <c r="F211">
        <v>70</v>
      </c>
      <c r="G211">
        <v>129</v>
      </c>
      <c r="H211">
        <v>9</v>
      </c>
      <c r="I211">
        <v>145</v>
      </c>
      <c r="J211">
        <v>9</v>
      </c>
      <c r="K211">
        <v>4</v>
      </c>
      <c r="L211">
        <v>71</v>
      </c>
      <c r="M211">
        <v>37</v>
      </c>
      <c r="N211">
        <v>46</v>
      </c>
      <c r="O211">
        <v>0</v>
      </c>
      <c r="P211">
        <v>0</v>
      </c>
      <c r="Q211" s="1">
        <v>0</v>
      </c>
      <c r="R211">
        <v>0</v>
      </c>
      <c r="S211">
        <v>1</v>
      </c>
      <c r="T211">
        <v>0</v>
      </c>
      <c r="U211" s="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 s="1">
        <v>0</v>
      </c>
      <c r="AB21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</row>
    <row r="212" spans="1:34" x14ac:dyDescent="0.3">
      <c r="A212" t="s">
        <v>93</v>
      </c>
      <c r="B212" t="s">
        <v>105</v>
      </c>
      <c r="C212" t="s">
        <v>33</v>
      </c>
      <c r="D212" s="1">
        <v>1076</v>
      </c>
      <c r="E212">
        <v>721</v>
      </c>
      <c r="F212">
        <v>41</v>
      </c>
      <c r="G212">
        <v>54</v>
      </c>
      <c r="H212">
        <v>2</v>
      </c>
      <c r="I212">
        <v>122</v>
      </c>
      <c r="J212">
        <v>7</v>
      </c>
      <c r="K212">
        <v>4</v>
      </c>
      <c r="L212">
        <v>66</v>
      </c>
      <c r="M212">
        <v>25</v>
      </c>
      <c r="N212">
        <v>31</v>
      </c>
      <c r="O212">
        <v>0</v>
      </c>
      <c r="P212">
        <v>0</v>
      </c>
      <c r="Q212" s="1">
        <v>0</v>
      </c>
      <c r="R212">
        <v>0</v>
      </c>
      <c r="S212">
        <v>1</v>
      </c>
      <c r="T212">
        <v>0</v>
      </c>
      <c r="U212" s="1">
        <v>0</v>
      </c>
      <c r="V212">
        <v>1</v>
      </c>
      <c r="W212">
        <v>0</v>
      </c>
      <c r="X212">
        <v>0</v>
      </c>
      <c r="Y212">
        <v>0</v>
      </c>
      <c r="Z212">
        <v>1</v>
      </c>
      <c r="AA212" s="1">
        <v>0</v>
      </c>
      <c r="AB212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</row>
    <row r="213" spans="1:34" x14ac:dyDescent="0.3">
      <c r="A213" t="s">
        <v>93</v>
      </c>
      <c r="B213" t="s">
        <v>105</v>
      </c>
      <c r="C213" t="s">
        <v>34</v>
      </c>
      <c r="D213">
        <v>847</v>
      </c>
      <c r="E213">
        <v>679</v>
      </c>
      <c r="F213">
        <v>29</v>
      </c>
      <c r="G213">
        <v>75</v>
      </c>
      <c r="H213">
        <v>7</v>
      </c>
      <c r="I213">
        <v>23</v>
      </c>
      <c r="J213">
        <v>2</v>
      </c>
      <c r="K213">
        <v>0</v>
      </c>
      <c r="L213">
        <v>5</v>
      </c>
      <c r="M213">
        <v>12</v>
      </c>
      <c r="N213">
        <v>15</v>
      </c>
      <c r="O213">
        <v>0</v>
      </c>
      <c r="P213">
        <v>0</v>
      </c>
      <c r="Q213" s="1">
        <v>0</v>
      </c>
      <c r="R213">
        <v>0</v>
      </c>
      <c r="S213">
        <v>0</v>
      </c>
      <c r="T213">
        <v>0</v>
      </c>
      <c r="U213" s="1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s="1">
        <v>0</v>
      </c>
      <c r="AB213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</row>
    <row r="214" spans="1:34" x14ac:dyDescent="0.3">
      <c r="A214" t="s">
        <v>93</v>
      </c>
      <c r="B214" t="s">
        <v>106</v>
      </c>
      <c r="C214" t="s">
        <v>32</v>
      </c>
      <c r="D214" s="1">
        <v>1822</v>
      </c>
      <c r="E214">
        <v>864</v>
      </c>
      <c r="F214">
        <v>34</v>
      </c>
      <c r="G214">
        <v>27</v>
      </c>
      <c r="H214">
        <v>3</v>
      </c>
      <c r="I214">
        <v>525</v>
      </c>
      <c r="J214">
        <v>4</v>
      </c>
      <c r="K214">
        <v>2</v>
      </c>
      <c r="L214">
        <v>132</v>
      </c>
      <c r="M214">
        <v>78</v>
      </c>
      <c r="N214">
        <v>113</v>
      </c>
      <c r="O214">
        <v>0</v>
      </c>
      <c r="P214">
        <v>6</v>
      </c>
      <c r="Q214" s="1">
        <v>0</v>
      </c>
      <c r="R214">
        <v>0</v>
      </c>
      <c r="S214">
        <v>7</v>
      </c>
      <c r="T214">
        <v>8</v>
      </c>
      <c r="U214" s="1">
        <v>0</v>
      </c>
      <c r="V214">
        <v>3</v>
      </c>
      <c r="W214">
        <v>2</v>
      </c>
      <c r="X214">
        <v>4</v>
      </c>
      <c r="Y214">
        <v>10</v>
      </c>
      <c r="Z214">
        <v>0</v>
      </c>
      <c r="AA214" s="1">
        <v>0</v>
      </c>
      <c r="AB214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</row>
    <row r="215" spans="1:34" x14ac:dyDescent="0.3">
      <c r="A215" t="s">
        <v>93</v>
      </c>
      <c r="B215" t="s">
        <v>106</v>
      </c>
      <c r="C215" t="s">
        <v>33</v>
      </c>
      <c r="D215" s="1">
        <v>1307</v>
      </c>
      <c r="E215">
        <v>398</v>
      </c>
      <c r="F215">
        <v>20</v>
      </c>
      <c r="G215">
        <v>12</v>
      </c>
      <c r="H215">
        <v>1</v>
      </c>
      <c r="I215">
        <v>515</v>
      </c>
      <c r="J215">
        <v>1</v>
      </c>
      <c r="K215">
        <v>2</v>
      </c>
      <c r="L215">
        <v>131</v>
      </c>
      <c r="M215">
        <v>76</v>
      </c>
      <c r="N215">
        <v>113</v>
      </c>
      <c r="O215">
        <v>0</v>
      </c>
      <c r="P215">
        <v>6</v>
      </c>
      <c r="Q215" s="1">
        <v>0</v>
      </c>
      <c r="R215">
        <v>0</v>
      </c>
      <c r="S215">
        <v>7</v>
      </c>
      <c r="T215">
        <v>8</v>
      </c>
      <c r="U215" s="1">
        <v>0</v>
      </c>
      <c r="V215">
        <v>3</v>
      </c>
      <c r="W215">
        <v>0</v>
      </c>
      <c r="X215">
        <v>4</v>
      </c>
      <c r="Y215">
        <v>10</v>
      </c>
      <c r="Z215">
        <v>0</v>
      </c>
      <c r="AA215" s="1">
        <v>0</v>
      </c>
      <c r="AB215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</row>
    <row r="216" spans="1:34" x14ac:dyDescent="0.3">
      <c r="A216" t="s">
        <v>93</v>
      </c>
      <c r="B216" t="s">
        <v>106</v>
      </c>
      <c r="C216" t="s">
        <v>34</v>
      </c>
      <c r="D216">
        <v>515</v>
      </c>
      <c r="E216">
        <v>466</v>
      </c>
      <c r="F216">
        <v>14</v>
      </c>
      <c r="G216">
        <v>15</v>
      </c>
      <c r="H216">
        <v>2</v>
      </c>
      <c r="I216">
        <v>10</v>
      </c>
      <c r="J216">
        <v>3</v>
      </c>
      <c r="K216">
        <v>0</v>
      </c>
      <c r="L216">
        <v>1</v>
      </c>
      <c r="M216">
        <v>2</v>
      </c>
      <c r="N216">
        <v>0</v>
      </c>
      <c r="O216">
        <v>0</v>
      </c>
      <c r="P216">
        <v>0</v>
      </c>
      <c r="Q216" s="1">
        <v>0</v>
      </c>
      <c r="R216">
        <v>0</v>
      </c>
      <c r="S216">
        <v>0</v>
      </c>
      <c r="T216">
        <v>0</v>
      </c>
      <c r="U216" s="1">
        <v>0</v>
      </c>
      <c r="V216">
        <v>0</v>
      </c>
      <c r="W216">
        <v>2</v>
      </c>
      <c r="X216">
        <v>0</v>
      </c>
      <c r="Y216">
        <v>0</v>
      </c>
      <c r="Z216">
        <v>0</v>
      </c>
      <c r="AA216" s="1">
        <v>0</v>
      </c>
      <c r="AB216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</row>
    <row r="217" spans="1:34" x14ac:dyDescent="0.3">
      <c r="A217" t="s">
        <v>93</v>
      </c>
      <c r="B217" t="s">
        <v>107</v>
      </c>
      <c r="C217" t="s">
        <v>32</v>
      </c>
      <c r="D217" s="1">
        <v>1319</v>
      </c>
      <c r="E217">
        <v>708</v>
      </c>
      <c r="F217">
        <v>30</v>
      </c>
      <c r="G217">
        <v>35</v>
      </c>
      <c r="H217">
        <v>8</v>
      </c>
      <c r="I217">
        <v>174</v>
      </c>
      <c r="J217">
        <v>2</v>
      </c>
      <c r="K217">
        <v>2</v>
      </c>
      <c r="L217">
        <v>127</v>
      </c>
      <c r="M217">
        <v>99</v>
      </c>
      <c r="N217">
        <v>105</v>
      </c>
      <c r="O217">
        <v>0</v>
      </c>
      <c r="P217">
        <v>13</v>
      </c>
      <c r="Q217" s="1">
        <v>0</v>
      </c>
      <c r="R217">
        <v>0</v>
      </c>
      <c r="S217">
        <v>11</v>
      </c>
      <c r="T217">
        <v>0</v>
      </c>
      <c r="U217" s="1">
        <v>0</v>
      </c>
      <c r="V217">
        <v>1</v>
      </c>
      <c r="W217">
        <v>1</v>
      </c>
      <c r="X217">
        <v>0</v>
      </c>
      <c r="Y217">
        <v>0</v>
      </c>
      <c r="Z217">
        <v>3</v>
      </c>
      <c r="AA217" s="1">
        <v>0</v>
      </c>
      <c r="AB217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</row>
    <row r="218" spans="1:34" x14ac:dyDescent="0.3">
      <c r="A218" t="s">
        <v>93</v>
      </c>
      <c r="B218" t="s">
        <v>107</v>
      </c>
      <c r="C218" t="s">
        <v>33</v>
      </c>
      <c r="D218">
        <v>967</v>
      </c>
      <c r="E218">
        <v>410</v>
      </c>
      <c r="F218">
        <v>19</v>
      </c>
      <c r="G218">
        <v>19</v>
      </c>
      <c r="H218">
        <v>4</v>
      </c>
      <c r="I218">
        <v>162</v>
      </c>
      <c r="J218">
        <v>0</v>
      </c>
      <c r="K218">
        <v>1</v>
      </c>
      <c r="L218">
        <v>123</v>
      </c>
      <c r="M218">
        <v>99</v>
      </c>
      <c r="N218">
        <v>102</v>
      </c>
      <c r="O218">
        <v>0</v>
      </c>
      <c r="P218">
        <v>13</v>
      </c>
      <c r="Q218" s="1">
        <v>0</v>
      </c>
      <c r="R218">
        <v>0</v>
      </c>
      <c r="S218">
        <v>11</v>
      </c>
      <c r="T218">
        <v>0</v>
      </c>
      <c r="U218" s="1">
        <v>0</v>
      </c>
      <c r="V218">
        <v>1</v>
      </c>
      <c r="W218">
        <v>0</v>
      </c>
      <c r="X218">
        <v>0</v>
      </c>
      <c r="Y218">
        <v>0</v>
      </c>
      <c r="Z218">
        <v>3</v>
      </c>
      <c r="AA218" s="1">
        <v>0</v>
      </c>
      <c r="AB218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</row>
    <row r="219" spans="1:34" x14ac:dyDescent="0.3">
      <c r="A219" t="s">
        <v>93</v>
      </c>
      <c r="B219" t="s">
        <v>107</v>
      </c>
      <c r="C219" t="s">
        <v>34</v>
      </c>
      <c r="D219">
        <v>352</v>
      </c>
      <c r="E219">
        <v>298</v>
      </c>
      <c r="F219">
        <v>11</v>
      </c>
      <c r="G219">
        <v>16</v>
      </c>
      <c r="H219">
        <v>4</v>
      </c>
      <c r="I219">
        <v>12</v>
      </c>
      <c r="J219">
        <v>2</v>
      </c>
      <c r="K219">
        <v>1</v>
      </c>
      <c r="L219">
        <v>4</v>
      </c>
      <c r="M219">
        <v>0</v>
      </c>
      <c r="N219">
        <v>3</v>
      </c>
      <c r="O219">
        <v>0</v>
      </c>
      <c r="P219">
        <v>0</v>
      </c>
      <c r="Q219" s="1">
        <v>0</v>
      </c>
      <c r="R219">
        <v>0</v>
      </c>
      <c r="S219">
        <v>0</v>
      </c>
      <c r="T219">
        <v>0</v>
      </c>
      <c r="U219" s="1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 s="1">
        <v>0</v>
      </c>
      <c r="AB219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</row>
    <row r="220" spans="1:34" x14ac:dyDescent="0.3">
      <c r="A220" t="s">
        <v>93</v>
      </c>
      <c r="B220" t="s">
        <v>108</v>
      </c>
      <c r="C220" t="s">
        <v>32</v>
      </c>
      <c r="D220" s="1">
        <v>1239</v>
      </c>
      <c r="E220">
        <v>968</v>
      </c>
      <c r="F220">
        <v>59</v>
      </c>
      <c r="G220">
        <v>37</v>
      </c>
      <c r="H220">
        <v>3</v>
      </c>
      <c r="I220">
        <v>80</v>
      </c>
      <c r="J220">
        <v>1</v>
      </c>
      <c r="K220">
        <v>2</v>
      </c>
      <c r="L220">
        <v>55</v>
      </c>
      <c r="M220">
        <v>6</v>
      </c>
      <c r="N220">
        <v>18</v>
      </c>
      <c r="O220">
        <v>0</v>
      </c>
      <c r="P220">
        <v>0</v>
      </c>
      <c r="Q220" s="1">
        <v>0</v>
      </c>
      <c r="R220">
        <v>0</v>
      </c>
      <c r="S220">
        <v>3</v>
      </c>
      <c r="T220">
        <v>4</v>
      </c>
      <c r="U220">
        <v>1</v>
      </c>
      <c r="V220">
        <v>2</v>
      </c>
      <c r="W220">
        <v>0</v>
      </c>
      <c r="X220">
        <v>0</v>
      </c>
      <c r="Y220">
        <v>0</v>
      </c>
      <c r="Z220">
        <v>0</v>
      </c>
      <c r="AA220" s="1">
        <v>0</v>
      </c>
      <c r="AB220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</row>
    <row r="221" spans="1:34" x14ac:dyDescent="0.3">
      <c r="A221" t="s">
        <v>93</v>
      </c>
      <c r="B221" t="s">
        <v>108</v>
      </c>
      <c r="C221" t="s">
        <v>33</v>
      </c>
      <c r="D221">
        <v>717</v>
      </c>
      <c r="E221">
        <v>502</v>
      </c>
      <c r="F221">
        <v>40</v>
      </c>
      <c r="G221">
        <v>19</v>
      </c>
      <c r="H221">
        <v>3</v>
      </c>
      <c r="I221">
        <v>67</v>
      </c>
      <c r="J221">
        <v>1</v>
      </c>
      <c r="K221">
        <v>1</v>
      </c>
      <c r="L221">
        <v>52</v>
      </c>
      <c r="M221">
        <v>6</v>
      </c>
      <c r="N221">
        <v>16</v>
      </c>
      <c r="O221">
        <v>0</v>
      </c>
      <c r="P221">
        <v>0</v>
      </c>
      <c r="Q221" s="1">
        <v>0</v>
      </c>
      <c r="R221">
        <v>0</v>
      </c>
      <c r="S221">
        <v>3</v>
      </c>
      <c r="T221">
        <v>4</v>
      </c>
      <c r="U221">
        <v>1</v>
      </c>
      <c r="V221">
        <v>2</v>
      </c>
      <c r="W221">
        <v>0</v>
      </c>
      <c r="X221">
        <v>0</v>
      </c>
      <c r="Y221">
        <v>0</v>
      </c>
      <c r="Z221">
        <v>0</v>
      </c>
      <c r="AA221" s="1">
        <v>0</v>
      </c>
      <c r="AB22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</row>
    <row r="222" spans="1:34" x14ac:dyDescent="0.3">
      <c r="A222" t="s">
        <v>93</v>
      </c>
      <c r="B222" t="s">
        <v>108</v>
      </c>
      <c r="C222" t="s">
        <v>34</v>
      </c>
      <c r="D222">
        <v>522</v>
      </c>
      <c r="E222">
        <v>466</v>
      </c>
      <c r="F222">
        <v>19</v>
      </c>
      <c r="G222">
        <v>18</v>
      </c>
      <c r="H222">
        <v>0</v>
      </c>
      <c r="I222">
        <v>13</v>
      </c>
      <c r="J222">
        <v>0</v>
      </c>
      <c r="K222">
        <v>1</v>
      </c>
      <c r="L222">
        <v>3</v>
      </c>
      <c r="M222">
        <v>0</v>
      </c>
      <c r="N222">
        <v>2</v>
      </c>
      <c r="O222">
        <v>0</v>
      </c>
      <c r="P222">
        <v>0</v>
      </c>
      <c r="Q222" s="1">
        <v>0</v>
      </c>
      <c r="R222">
        <v>0</v>
      </c>
      <c r="S222">
        <v>0</v>
      </c>
      <c r="T222">
        <v>0</v>
      </c>
      <c r="U222" s="1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s="1">
        <v>0</v>
      </c>
      <c r="AB222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</row>
    <row r="223" spans="1:34" x14ac:dyDescent="0.3">
      <c r="A223" t="s">
        <v>93</v>
      </c>
      <c r="B223" t="s">
        <v>109</v>
      </c>
      <c r="C223" t="s">
        <v>32</v>
      </c>
      <c r="D223" s="1">
        <v>1097</v>
      </c>
      <c r="E223">
        <v>858</v>
      </c>
      <c r="F223">
        <v>53</v>
      </c>
      <c r="G223">
        <v>14</v>
      </c>
      <c r="H223">
        <v>4</v>
      </c>
      <c r="I223">
        <v>12</v>
      </c>
      <c r="J223">
        <v>1</v>
      </c>
      <c r="K223">
        <v>9</v>
      </c>
      <c r="L223">
        <v>30</v>
      </c>
      <c r="M223">
        <v>10</v>
      </c>
      <c r="N223">
        <v>105</v>
      </c>
      <c r="O223">
        <v>0</v>
      </c>
      <c r="P223">
        <v>0</v>
      </c>
      <c r="Q223" s="1">
        <v>0</v>
      </c>
      <c r="R223">
        <v>0</v>
      </c>
      <c r="S223">
        <v>0</v>
      </c>
      <c r="T223">
        <v>0</v>
      </c>
      <c r="U223" s="1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 s="1">
        <v>0</v>
      </c>
      <c r="AB223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</row>
    <row r="224" spans="1:34" x14ac:dyDescent="0.3">
      <c r="A224" t="s">
        <v>93</v>
      </c>
      <c r="B224" t="s">
        <v>109</v>
      </c>
      <c r="C224" t="s">
        <v>33</v>
      </c>
      <c r="D224">
        <v>641</v>
      </c>
      <c r="E224">
        <v>427</v>
      </c>
      <c r="F224">
        <v>40</v>
      </c>
      <c r="G224">
        <v>6</v>
      </c>
      <c r="H224">
        <v>4</v>
      </c>
      <c r="I224">
        <v>11</v>
      </c>
      <c r="J224">
        <v>0</v>
      </c>
      <c r="K224">
        <v>8</v>
      </c>
      <c r="L224">
        <v>30</v>
      </c>
      <c r="M224">
        <v>9</v>
      </c>
      <c r="N224">
        <v>105</v>
      </c>
      <c r="O224">
        <v>0</v>
      </c>
      <c r="P224">
        <v>0</v>
      </c>
      <c r="Q224" s="1">
        <v>0</v>
      </c>
      <c r="R224">
        <v>0</v>
      </c>
      <c r="S224">
        <v>0</v>
      </c>
      <c r="T224">
        <v>0</v>
      </c>
      <c r="U224" s="1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 s="1">
        <v>0</v>
      </c>
      <c r="AB224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</row>
    <row r="225" spans="1:34" x14ac:dyDescent="0.3">
      <c r="A225" t="s">
        <v>93</v>
      </c>
      <c r="B225" t="s">
        <v>109</v>
      </c>
      <c r="C225" t="s">
        <v>34</v>
      </c>
      <c r="D225">
        <v>456</v>
      </c>
      <c r="E225">
        <v>431</v>
      </c>
      <c r="F225">
        <v>13</v>
      </c>
      <c r="G225">
        <v>8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0</v>
      </c>
      <c r="O225">
        <v>0</v>
      </c>
      <c r="P225">
        <v>0</v>
      </c>
      <c r="Q225" s="1">
        <v>0</v>
      </c>
      <c r="R225">
        <v>0</v>
      </c>
      <c r="S225">
        <v>0</v>
      </c>
      <c r="T225">
        <v>0</v>
      </c>
      <c r="U225" s="1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s="1">
        <v>0</v>
      </c>
      <c r="AB225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</row>
    <row r="226" spans="1:34" x14ac:dyDescent="0.3">
      <c r="A226" t="s">
        <v>93</v>
      </c>
      <c r="B226" t="s">
        <v>110</v>
      </c>
      <c r="C226" t="s">
        <v>32</v>
      </c>
      <c r="D226" s="1">
        <v>1092</v>
      </c>
      <c r="E226">
        <v>845</v>
      </c>
      <c r="F226">
        <v>55</v>
      </c>
      <c r="G226">
        <v>53</v>
      </c>
      <c r="H226">
        <v>13</v>
      </c>
      <c r="I226">
        <v>40</v>
      </c>
      <c r="J226">
        <v>0</v>
      </c>
      <c r="K226">
        <v>1</v>
      </c>
      <c r="L226">
        <v>66</v>
      </c>
      <c r="M226">
        <v>3</v>
      </c>
      <c r="N226">
        <v>13</v>
      </c>
      <c r="O226">
        <v>0</v>
      </c>
      <c r="P226">
        <v>0</v>
      </c>
      <c r="Q226" s="1">
        <v>0</v>
      </c>
      <c r="R226">
        <v>0</v>
      </c>
      <c r="S226">
        <v>3</v>
      </c>
      <c r="T226">
        <v>0</v>
      </c>
      <c r="U226" s="1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s="1">
        <v>0</v>
      </c>
      <c r="AB226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</row>
    <row r="227" spans="1:34" x14ac:dyDescent="0.3">
      <c r="A227" t="s">
        <v>93</v>
      </c>
      <c r="B227" t="s">
        <v>110</v>
      </c>
      <c r="C227" t="s">
        <v>33</v>
      </c>
      <c r="D227">
        <v>519</v>
      </c>
      <c r="E227">
        <v>362</v>
      </c>
      <c r="F227">
        <v>20</v>
      </c>
      <c r="G227">
        <v>21</v>
      </c>
      <c r="H227">
        <v>4</v>
      </c>
      <c r="I227">
        <v>29</v>
      </c>
      <c r="J227">
        <v>0</v>
      </c>
      <c r="K227">
        <v>0</v>
      </c>
      <c r="L227">
        <v>66</v>
      </c>
      <c r="M227">
        <v>3</v>
      </c>
      <c r="N227">
        <v>11</v>
      </c>
      <c r="O227">
        <v>0</v>
      </c>
      <c r="P227">
        <v>0</v>
      </c>
      <c r="Q227" s="1">
        <v>0</v>
      </c>
      <c r="R227">
        <v>0</v>
      </c>
      <c r="S227">
        <v>3</v>
      </c>
      <c r="T227">
        <v>0</v>
      </c>
      <c r="U227" s="1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s="1">
        <v>0</v>
      </c>
      <c r="AB227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</row>
    <row r="228" spans="1:34" x14ac:dyDescent="0.3">
      <c r="A228" t="s">
        <v>93</v>
      </c>
      <c r="B228" t="s">
        <v>110</v>
      </c>
      <c r="C228" t="s">
        <v>34</v>
      </c>
      <c r="D228">
        <v>573</v>
      </c>
      <c r="E228">
        <v>483</v>
      </c>
      <c r="F228">
        <v>35</v>
      </c>
      <c r="G228">
        <v>32</v>
      </c>
      <c r="H228">
        <v>9</v>
      </c>
      <c r="I228">
        <v>11</v>
      </c>
      <c r="J228">
        <v>0</v>
      </c>
      <c r="K228">
        <v>1</v>
      </c>
      <c r="L228">
        <v>0</v>
      </c>
      <c r="M228">
        <v>0</v>
      </c>
      <c r="N228">
        <v>2</v>
      </c>
      <c r="O228">
        <v>0</v>
      </c>
      <c r="P228">
        <v>0</v>
      </c>
      <c r="Q228" s="1">
        <v>0</v>
      </c>
      <c r="R228">
        <v>0</v>
      </c>
      <c r="S228">
        <v>0</v>
      </c>
      <c r="T228">
        <v>0</v>
      </c>
      <c r="U228" s="1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s="1">
        <v>0</v>
      </c>
      <c r="AB228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</row>
    <row r="229" spans="1:34" x14ac:dyDescent="0.3">
      <c r="A229" t="s">
        <v>93</v>
      </c>
      <c r="B229" t="s">
        <v>111</v>
      </c>
      <c r="C229" t="s">
        <v>32</v>
      </c>
      <c r="D229">
        <v>795</v>
      </c>
      <c r="E229">
        <v>710</v>
      </c>
      <c r="F229">
        <v>15</v>
      </c>
      <c r="G229">
        <v>39</v>
      </c>
      <c r="H229">
        <v>27</v>
      </c>
      <c r="I229">
        <v>2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 s="1">
        <v>0</v>
      </c>
      <c r="R229">
        <v>0</v>
      </c>
      <c r="S229">
        <v>0</v>
      </c>
      <c r="T229">
        <v>0</v>
      </c>
      <c r="U229" s="1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s="1">
        <v>0</v>
      </c>
      <c r="AB229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</row>
    <row r="230" spans="1:34" x14ac:dyDescent="0.3">
      <c r="A230" t="s">
        <v>93</v>
      </c>
      <c r="B230" t="s">
        <v>111</v>
      </c>
      <c r="C230" t="s">
        <v>33</v>
      </c>
      <c r="D230">
        <v>506</v>
      </c>
      <c r="E230">
        <v>448</v>
      </c>
      <c r="F230">
        <v>12</v>
      </c>
      <c r="G230">
        <v>24</v>
      </c>
      <c r="H230">
        <v>21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s="1">
        <v>0</v>
      </c>
      <c r="R230">
        <v>0</v>
      </c>
      <c r="S230">
        <v>0</v>
      </c>
      <c r="T230">
        <v>0</v>
      </c>
      <c r="U230" s="1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s="1">
        <v>0</v>
      </c>
      <c r="AB230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</row>
    <row r="231" spans="1:34" x14ac:dyDescent="0.3">
      <c r="A231" t="s">
        <v>93</v>
      </c>
      <c r="B231" t="s">
        <v>111</v>
      </c>
      <c r="C231" t="s">
        <v>34</v>
      </c>
      <c r="D231">
        <v>289</v>
      </c>
      <c r="E231">
        <v>262</v>
      </c>
      <c r="F231">
        <v>3</v>
      </c>
      <c r="G231">
        <v>15</v>
      </c>
      <c r="H231">
        <v>6</v>
      </c>
      <c r="I231">
        <v>1</v>
      </c>
      <c r="J231">
        <v>0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 s="1">
        <v>0</v>
      </c>
      <c r="R231">
        <v>0</v>
      </c>
      <c r="S231">
        <v>0</v>
      </c>
      <c r="T231">
        <v>0</v>
      </c>
      <c r="U231" s="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s="1">
        <v>0</v>
      </c>
      <c r="AB23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</row>
    <row r="232" spans="1:34" x14ac:dyDescent="0.3">
      <c r="A232" t="s">
        <v>93</v>
      </c>
      <c r="B232" t="s">
        <v>112</v>
      </c>
      <c r="C232" t="s">
        <v>32</v>
      </c>
      <c r="D232">
        <v>725</v>
      </c>
      <c r="E232">
        <v>403</v>
      </c>
      <c r="F232">
        <v>29</v>
      </c>
      <c r="G232">
        <v>7</v>
      </c>
      <c r="H232">
        <v>3</v>
      </c>
      <c r="I232">
        <v>75</v>
      </c>
      <c r="J232">
        <v>2</v>
      </c>
      <c r="K232">
        <v>0</v>
      </c>
      <c r="L232">
        <v>61</v>
      </c>
      <c r="M232">
        <v>31</v>
      </c>
      <c r="N232">
        <v>106</v>
      </c>
      <c r="O232">
        <v>0</v>
      </c>
      <c r="P232">
        <v>6</v>
      </c>
      <c r="Q232" s="1">
        <v>0</v>
      </c>
      <c r="R232">
        <v>0</v>
      </c>
      <c r="S232">
        <v>1</v>
      </c>
      <c r="T232">
        <v>0</v>
      </c>
      <c r="U232" s="1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 s="1">
        <v>0</v>
      </c>
      <c r="AB232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</row>
    <row r="233" spans="1:34" x14ac:dyDescent="0.3">
      <c r="A233" t="s">
        <v>93</v>
      </c>
      <c r="B233" t="s">
        <v>112</v>
      </c>
      <c r="C233" t="s">
        <v>33</v>
      </c>
      <c r="D233">
        <v>470</v>
      </c>
      <c r="E233">
        <v>184</v>
      </c>
      <c r="F233">
        <v>17</v>
      </c>
      <c r="G233">
        <v>2</v>
      </c>
      <c r="H233">
        <v>1</v>
      </c>
      <c r="I233">
        <v>65</v>
      </c>
      <c r="J233">
        <v>1</v>
      </c>
      <c r="K233">
        <v>0</v>
      </c>
      <c r="L233">
        <v>56</v>
      </c>
      <c r="M233">
        <v>31</v>
      </c>
      <c r="N233">
        <v>105</v>
      </c>
      <c r="O233">
        <v>0</v>
      </c>
      <c r="P233">
        <v>6</v>
      </c>
      <c r="Q233" s="1">
        <v>0</v>
      </c>
      <c r="R233">
        <v>0</v>
      </c>
      <c r="S233">
        <v>1</v>
      </c>
      <c r="T233">
        <v>0</v>
      </c>
      <c r="U233" s="1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 s="1">
        <v>0</v>
      </c>
      <c r="AB233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</row>
    <row r="234" spans="1:34" x14ac:dyDescent="0.3">
      <c r="A234" t="s">
        <v>93</v>
      </c>
      <c r="B234" t="s">
        <v>112</v>
      </c>
      <c r="C234" t="s">
        <v>34</v>
      </c>
      <c r="D234">
        <v>255</v>
      </c>
      <c r="E234">
        <v>219</v>
      </c>
      <c r="F234">
        <v>12</v>
      </c>
      <c r="G234">
        <v>5</v>
      </c>
      <c r="H234">
        <v>2</v>
      </c>
      <c r="I234">
        <v>10</v>
      </c>
      <c r="J234">
        <v>1</v>
      </c>
      <c r="K234">
        <v>0</v>
      </c>
      <c r="L234">
        <v>5</v>
      </c>
      <c r="M234">
        <v>0</v>
      </c>
      <c r="N234">
        <v>1</v>
      </c>
      <c r="O234">
        <v>0</v>
      </c>
      <c r="P234">
        <v>0</v>
      </c>
      <c r="Q234" s="1">
        <v>0</v>
      </c>
      <c r="R234">
        <v>0</v>
      </c>
      <c r="S234">
        <v>0</v>
      </c>
      <c r="T234">
        <v>0</v>
      </c>
      <c r="U234" s="1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s="1">
        <v>0</v>
      </c>
      <c r="AB234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</row>
    <row r="235" spans="1:34" x14ac:dyDescent="0.3">
      <c r="A235" t="s">
        <v>93</v>
      </c>
      <c r="B235" t="s">
        <v>113</v>
      </c>
      <c r="C235" t="s">
        <v>32</v>
      </c>
      <c r="D235">
        <v>653</v>
      </c>
      <c r="E235">
        <v>260</v>
      </c>
      <c r="F235">
        <v>12</v>
      </c>
      <c r="G235">
        <v>13</v>
      </c>
      <c r="H235">
        <v>5</v>
      </c>
      <c r="I235">
        <v>175</v>
      </c>
      <c r="J235">
        <v>0</v>
      </c>
      <c r="K235">
        <v>1</v>
      </c>
      <c r="L235">
        <v>46</v>
      </c>
      <c r="M235">
        <v>53</v>
      </c>
      <c r="N235">
        <v>78</v>
      </c>
      <c r="O235">
        <v>0</v>
      </c>
      <c r="P235">
        <v>0</v>
      </c>
      <c r="Q235" s="1">
        <v>0</v>
      </c>
      <c r="R235">
        <v>0</v>
      </c>
      <c r="S235">
        <v>8</v>
      </c>
      <c r="T235">
        <v>0</v>
      </c>
      <c r="U235" s="1">
        <v>0</v>
      </c>
      <c r="V235">
        <v>0</v>
      </c>
      <c r="W235">
        <v>2</v>
      </c>
      <c r="X235">
        <v>0</v>
      </c>
      <c r="Y235">
        <v>0</v>
      </c>
      <c r="Z235">
        <v>0</v>
      </c>
      <c r="AA235" s="1">
        <v>0</v>
      </c>
      <c r="AB235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</row>
    <row r="236" spans="1:34" x14ac:dyDescent="0.3">
      <c r="A236" t="s">
        <v>93</v>
      </c>
      <c r="B236" t="s">
        <v>113</v>
      </c>
      <c r="C236" t="s">
        <v>33</v>
      </c>
      <c r="D236">
        <v>500</v>
      </c>
      <c r="E236">
        <v>122</v>
      </c>
      <c r="F236">
        <v>7</v>
      </c>
      <c r="G236">
        <v>9</v>
      </c>
      <c r="H236">
        <v>4</v>
      </c>
      <c r="I236">
        <v>172</v>
      </c>
      <c r="J236">
        <v>0</v>
      </c>
      <c r="K236">
        <v>1</v>
      </c>
      <c r="L236">
        <v>46</v>
      </c>
      <c r="M236">
        <v>52</v>
      </c>
      <c r="N236">
        <v>78</v>
      </c>
      <c r="O236">
        <v>0</v>
      </c>
      <c r="P236">
        <v>0</v>
      </c>
      <c r="Q236" s="1">
        <v>0</v>
      </c>
      <c r="R236">
        <v>0</v>
      </c>
      <c r="S236">
        <v>8</v>
      </c>
      <c r="T236">
        <v>0</v>
      </c>
      <c r="U236" s="1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 s="1">
        <v>0</v>
      </c>
      <c r="AB236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</row>
    <row r="237" spans="1:34" x14ac:dyDescent="0.3">
      <c r="A237" t="s">
        <v>93</v>
      </c>
      <c r="B237" t="s">
        <v>113</v>
      </c>
      <c r="C237" t="s">
        <v>34</v>
      </c>
      <c r="D237">
        <v>153</v>
      </c>
      <c r="E237">
        <v>138</v>
      </c>
      <c r="F237">
        <v>5</v>
      </c>
      <c r="G237">
        <v>4</v>
      </c>
      <c r="H237">
        <v>1</v>
      </c>
      <c r="I237">
        <v>3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 s="1">
        <v>0</v>
      </c>
      <c r="R237">
        <v>0</v>
      </c>
      <c r="S237">
        <v>0</v>
      </c>
      <c r="T237">
        <v>0</v>
      </c>
      <c r="U237" s="1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 s="1">
        <v>0</v>
      </c>
      <c r="AB237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</row>
    <row r="238" spans="1:34" x14ac:dyDescent="0.3">
      <c r="A238" t="s">
        <v>93</v>
      </c>
      <c r="B238" t="s">
        <v>114</v>
      </c>
      <c r="C238" t="s">
        <v>32</v>
      </c>
      <c r="D238">
        <v>652</v>
      </c>
      <c r="E238">
        <v>583</v>
      </c>
      <c r="F238">
        <v>22</v>
      </c>
      <c r="G238">
        <v>24</v>
      </c>
      <c r="H238">
        <v>12</v>
      </c>
      <c r="I238">
        <v>5</v>
      </c>
      <c r="J238">
        <v>0</v>
      </c>
      <c r="K238">
        <v>3</v>
      </c>
      <c r="L238">
        <v>0</v>
      </c>
      <c r="M238">
        <v>0</v>
      </c>
      <c r="N238">
        <v>3</v>
      </c>
      <c r="O238">
        <v>0</v>
      </c>
      <c r="P238">
        <v>0</v>
      </c>
      <c r="Q238" s="1">
        <v>0</v>
      </c>
      <c r="R238">
        <v>0</v>
      </c>
      <c r="S238">
        <v>0</v>
      </c>
      <c r="T238">
        <v>0</v>
      </c>
      <c r="U238" s="1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s="1">
        <v>0</v>
      </c>
      <c r="AB238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</row>
    <row r="239" spans="1:34" x14ac:dyDescent="0.3">
      <c r="A239" t="s">
        <v>93</v>
      </c>
      <c r="B239" t="s">
        <v>114</v>
      </c>
      <c r="C239" t="s">
        <v>33</v>
      </c>
      <c r="D239">
        <v>451</v>
      </c>
      <c r="E239">
        <v>399</v>
      </c>
      <c r="F239">
        <v>15</v>
      </c>
      <c r="G239">
        <v>21</v>
      </c>
      <c r="H239">
        <v>6</v>
      </c>
      <c r="I239">
        <v>5</v>
      </c>
      <c r="J239">
        <v>0</v>
      </c>
      <c r="K239">
        <v>3</v>
      </c>
      <c r="L239">
        <v>0</v>
      </c>
      <c r="M239">
        <v>0</v>
      </c>
      <c r="N239">
        <v>2</v>
      </c>
      <c r="O239">
        <v>0</v>
      </c>
      <c r="P239">
        <v>0</v>
      </c>
      <c r="Q239" s="1">
        <v>0</v>
      </c>
      <c r="R239">
        <v>0</v>
      </c>
      <c r="S239">
        <v>0</v>
      </c>
      <c r="T239">
        <v>0</v>
      </c>
      <c r="U239" s="1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s="1">
        <v>0</v>
      </c>
      <c r="AB239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</row>
    <row r="240" spans="1:34" x14ac:dyDescent="0.3">
      <c r="A240" t="s">
        <v>93</v>
      </c>
      <c r="B240" t="s">
        <v>114</v>
      </c>
      <c r="C240" t="s">
        <v>34</v>
      </c>
      <c r="D240">
        <v>201</v>
      </c>
      <c r="E240">
        <v>184</v>
      </c>
      <c r="F240">
        <v>7</v>
      </c>
      <c r="G240">
        <v>3</v>
      </c>
      <c r="H240">
        <v>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 s="1">
        <v>0</v>
      </c>
      <c r="R240">
        <v>0</v>
      </c>
      <c r="S240">
        <v>0</v>
      </c>
      <c r="T240">
        <v>0</v>
      </c>
      <c r="U240" s="1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s="1">
        <v>0</v>
      </c>
      <c r="AB240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</row>
    <row r="241" spans="1:34" x14ac:dyDescent="0.3">
      <c r="A241" t="s">
        <v>93</v>
      </c>
      <c r="B241" t="s">
        <v>115</v>
      </c>
      <c r="C241" t="s">
        <v>32</v>
      </c>
      <c r="D241">
        <v>617</v>
      </c>
      <c r="E241">
        <v>568</v>
      </c>
      <c r="F241">
        <v>5</v>
      </c>
      <c r="G241">
        <v>17</v>
      </c>
      <c r="H241">
        <v>0</v>
      </c>
      <c r="I241">
        <v>16</v>
      </c>
      <c r="J241">
        <v>4</v>
      </c>
      <c r="K241">
        <v>0</v>
      </c>
      <c r="L241">
        <v>1</v>
      </c>
      <c r="M241">
        <v>2</v>
      </c>
      <c r="N241">
        <v>3</v>
      </c>
      <c r="O241">
        <v>0</v>
      </c>
      <c r="P241">
        <v>0</v>
      </c>
      <c r="Q241" s="1">
        <v>0</v>
      </c>
      <c r="R241">
        <v>0</v>
      </c>
      <c r="S241">
        <v>0</v>
      </c>
      <c r="T241">
        <v>0</v>
      </c>
      <c r="U241" s="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 s="1">
        <v>0</v>
      </c>
      <c r="AB24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</row>
    <row r="242" spans="1:34" x14ac:dyDescent="0.3">
      <c r="A242" t="s">
        <v>93</v>
      </c>
      <c r="B242" t="s">
        <v>115</v>
      </c>
      <c r="C242" t="s">
        <v>33</v>
      </c>
      <c r="D242">
        <v>336</v>
      </c>
      <c r="E242">
        <v>301</v>
      </c>
      <c r="F242">
        <v>4</v>
      </c>
      <c r="G242">
        <v>7</v>
      </c>
      <c r="H242">
        <v>0</v>
      </c>
      <c r="I242">
        <v>15</v>
      </c>
      <c r="J242">
        <v>2</v>
      </c>
      <c r="K242">
        <v>0</v>
      </c>
      <c r="L242">
        <v>1</v>
      </c>
      <c r="M242">
        <v>2</v>
      </c>
      <c r="N242">
        <v>3</v>
      </c>
      <c r="O242">
        <v>0</v>
      </c>
      <c r="P242">
        <v>0</v>
      </c>
      <c r="Q242" s="1">
        <v>0</v>
      </c>
      <c r="R242">
        <v>0</v>
      </c>
      <c r="S242">
        <v>0</v>
      </c>
      <c r="T242">
        <v>0</v>
      </c>
      <c r="U242" s="1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 s="1">
        <v>0</v>
      </c>
      <c r="AB242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</row>
    <row r="243" spans="1:34" x14ac:dyDescent="0.3">
      <c r="A243" t="s">
        <v>93</v>
      </c>
      <c r="B243" t="s">
        <v>115</v>
      </c>
      <c r="C243" t="s">
        <v>34</v>
      </c>
      <c r="D243">
        <v>281</v>
      </c>
      <c r="E243">
        <v>267</v>
      </c>
      <c r="F243">
        <v>1</v>
      </c>
      <c r="G243">
        <v>10</v>
      </c>
      <c r="H243">
        <v>0</v>
      </c>
      <c r="I243">
        <v>1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s="1">
        <v>0</v>
      </c>
      <c r="R243">
        <v>0</v>
      </c>
      <c r="S243">
        <v>0</v>
      </c>
      <c r="T243">
        <v>0</v>
      </c>
      <c r="U243" s="1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s="1">
        <v>0</v>
      </c>
      <c r="AB243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</row>
    <row r="244" spans="1:34" x14ac:dyDescent="0.3">
      <c r="A244" t="s">
        <v>93</v>
      </c>
      <c r="B244" t="s">
        <v>116</v>
      </c>
      <c r="C244" t="s">
        <v>32</v>
      </c>
      <c r="D244">
        <v>437</v>
      </c>
      <c r="E244">
        <v>227</v>
      </c>
      <c r="F244">
        <v>5</v>
      </c>
      <c r="G244">
        <v>27</v>
      </c>
      <c r="H244">
        <v>2</v>
      </c>
      <c r="I244">
        <v>6</v>
      </c>
      <c r="J244">
        <v>0</v>
      </c>
      <c r="K244">
        <v>0</v>
      </c>
      <c r="L244">
        <v>166</v>
      </c>
      <c r="M244">
        <v>0</v>
      </c>
      <c r="N244">
        <v>3</v>
      </c>
      <c r="O244">
        <v>0</v>
      </c>
      <c r="P244">
        <v>0</v>
      </c>
      <c r="Q244" s="1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 s="1">
        <v>0</v>
      </c>
      <c r="AB244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</row>
    <row r="245" spans="1:34" x14ac:dyDescent="0.3">
      <c r="A245" t="s">
        <v>93</v>
      </c>
      <c r="B245" t="s">
        <v>116</v>
      </c>
      <c r="C245" t="s">
        <v>33</v>
      </c>
      <c r="D245">
        <v>204</v>
      </c>
      <c r="E245">
        <v>105</v>
      </c>
      <c r="F245">
        <v>2</v>
      </c>
      <c r="G245">
        <v>15</v>
      </c>
      <c r="H245">
        <v>2</v>
      </c>
      <c r="I245">
        <v>3</v>
      </c>
      <c r="J245">
        <v>0</v>
      </c>
      <c r="K245">
        <v>0</v>
      </c>
      <c r="L245">
        <v>75</v>
      </c>
      <c r="M245">
        <v>0</v>
      </c>
      <c r="N245">
        <v>1</v>
      </c>
      <c r="O245">
        <v>0</v>
      </c>
      <c r="P245">
        <v>0</v>
      </c>
      <c r="Q245" s="1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 s="1">
        <v>0</v>
      </c>
      <c r="AB245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</row>
    <row r="246" spans="1:34" x14ac:dyDescent="0.3">
      <c r="A246" t="s">
        <v>93</v>
      </c>
      <c r="B246" t="s">
        <v>116</v>
      </c>
      <c r="C246" t="s">
        <v>34</v>
      </c>
      <c r="D246">
        <v>233</v>
      </c>
      <c r="E246">
        <v>122</v>
      </c>
      <c r="F246">
        <v>3</v>
      </c>
      <c r="G246">
        <v>12</v>
      </c>
      <c r="H246">
        <v>0</v>
      </c>
      <c r="I246">
        <v>3</v>
      </c>
      <c r="J246">
        <v>0</v>
      </c>
      <c r="K246">
        <v>0</v>
      </c>
      <c r="L246">
        <v>91</v>
      </c>
      <c r="M246">
        <v>0</v>
      </c>
      <c r="N246">
        <v>2</v>
      </c>
      <c r="O246">
        <v>0</v>
      </c>
      <c r="P246">
        <v>0</v>
      </c>
      <c r="Q246" s="1">
        <v>0</v>
      </c>
      <c r="R246">
        <v>0</v>
      </c>
      <c r="S246">
        <v>0</v>
      </c>
      <c r="T246">
        <v>0</v>
      </c>
      <c r="U246" s="1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s="1">
        <v>0</v>
      </c>
      <c r="AB246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</row>
    <row r="247" spans="1:34" x14ac:dyDescent="0.3">
      <c r="A247" t="s">
        <v>93</v>
      </c>
      <c r="B247" t="s">
        <v>117</v>
      </c>
      <c r="C247" t="s">
        <v>32</v>
      </c>
      <c r="D247">
        <v>388</v>
      </c>
      <c r="E247">
        <v>222</v>
      </c>
      <c r="F247">
        <v>9</v>
      </c>
      <c r="G247">
        <v>15</v>
      </c>
      <c r="H247">
        <v>11</v>
      </c>
      <c r="I247">
        <v>6</v>
      </c>
      <c r="J247">
        <v>0</v>
      </c>
      <c r="K247">
        <v>0</v>
      </c>
      <c r="L247">
        <v>43</v>
      </c>
      <c r="M247">
        <v>32</v>
      </c>
      <c r="N247">
        <v>47</v>
      </c>
      <c r="O247">
        <v>0</v>
      </c>
      <c r="P247">
        <v>0</v>
      </c>
      <c r="Q247" s="1">
        <v>0</v>
      </c>
      <c r="R247">
        <v>0</v>
      </c>
      <c r="S247">
        <v>3</v>
      </c>
      <c r="T247">
        <v>0</v>
      </c>
      <c r="U247" s="1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s="1">
        <v>0</v>
      </c>
      <c r="AB247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</row>
    <row r="248" spans="1:34" x14ac:dyDescent="0.3">
      <c r="A248" t="s">
        <v>93</v>
      </c>
      <c r="B248" t="s">
        <v>117</v>
      </c>
      <c r="C248" t="s">
        <v>33</v>
      </c>
      <c r="D248">
        <v>264</v>
      </c>
      <c r="E248">
        <v>131</v>
      </c>
      <c r="F248">
        <v>5</v>
      </c>
      <c r="G248">
        <v>5</v>
      </c>
      <c r="H248">
        <v>7</v>
      </c>
      <c r="I248">
        <v>6</v>
      </c>
      <c r="J248">
        <v>0</v>
      </c>
      <c r="K248">
        <v>0</v>
      </c>
      <c r="L248">
        <v>29</v>
      </c>
      <c r="M248">
        <v>31</v>
      </c>
      <c r="N248">
        <v>47</v>
      </c>
      <c r="O248">
        <v>0</v>
      </c>
      <c r="P248">
        <v>0</v>
      </c>
      <c r="Q248" s="1">
        <v>0</v>
      </c>
      <c r="R248">
        <v>0</v>
      </c>
      <c r="S248">
        <v>3</v>
      </c>
      <c r="T248">
        <v>0</v>
      </c>
      <c r="U248" s="1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s="1">
        <v>0</v>
      </c>
      <c r="AB248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</row>
    <row r="249" spans="1:34" x14ac:dyDescent="0.3">
      <c r="A249" t="s">
        <v>93</v>
      </c>
      <c r="B249" t="s">
        <v>117</v>
      </c>
      <c r="C249" t="s">
        <v>34</v>
      </c>
      <c r="D249">
        <v>124</v>
      </c>
      <c r="E249">
        <v>91</v>
      </c>
      <c r="F249">
        <v>4</v>
      </c>
      <c r="G249">
        <v>10</v>
      </c>
      <c r="H249">
        <v>4</v>
      </c>
      <c r="I249">
        <v>0</v>
      </c>
      <c r="J249">
        <v>0</v>
      </c>
      <c r="K249">
        <v>0</v>
      </c>
      <c r="L249">
        <v>14</v>
      </c>
      <c r="M249">
        <v>1</v>
      </c>
      <c r="N249">
        <v>0</v>
      </c>
      <c r="O249">
        <v>0</v>
      </c>
      <c r="P249">
        <v>0</v>
      </c>
      <c r="Q249" s="1">
        <v>0</v>
      </c>
      <c r="R249">
        <v>0</v>
      </c>
      <c r="S249">
        <v>0</v>
      </c>
      <c r="T249">
        <v>0</v>
      </c>
      <c r="U249" s="1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s="1">
        <v>0</v>
      </c>
      <c r="AB249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</row>
    <row r="250" spans="1:34" x14ac:dyDescent="0.3">
      <c r="A250" t="s">
        <v>93</v>
      </c>
      <c r="B250" t="s">
        <v>118</v>
      </c>
      <c r="C250" t="s">
        <v>32</v>
      </c>
      <c r="D250">
        <v>350</v>
      </c>
      <c r="E250">
        <v>184</v>
      </c>
      <c r="F250">
        <v>25</v>
      </c>
      <c r="G250">
        <v>6</v>
      </c>
      <c r="H250">
        <v>1</v>
      </c>
      <c r="I250">
        <v>35</v>
      </c>
      <c r="J250">
        <v>1</v>
      </c>
      <c r="K250">
        <v>0</v>
      </c>
      <c r="L250">
        <v>7</v>
      </c>
      <c r="M250">
        <v>34</v>
      </c>
      <c r="N250">
        <v>51</v>
      </c>
      <c r="O250">
        <v>0</v>
      </c>
      <c r="P250">
        <v>0</v>
      </c>
      <c r="Q250" s="1">
        <v>0</v>
      </c>
      <c r="R250">
        <v>0</v>
      </c>
      <c r="S250">
        <v>4</v>
      </c>
      <c r="T250">
        <v>0</v>
      </c>
      <c r="U250" s="1">
        <v>0</v>
      </c>
      <c r="V250">
        <v>1</v>
      </c>
      <c r="W250">
        <v>0</v>
      </c>
      <c r="X250">
        <v>0</v>
      </c>
      <c r="Y250">
        <v>0</v>
      </c>
      <c r="Z250">
        <v>1</v>
      </c>
      <c r="AA250" s="1">
        <v>0</v>
      </c>
      <c r="AB250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</row>
    <row r="251" spans="1:34" x14ac:dyDescent="0.3">
      <c r="A251" t="s">
        <v>93</v>
      </c>
      <c r="B251" t="s">
        <v>118</v>
      </c>
      <c r="C251" t="s">
        <v>33</v>
      </c>
      <c r="D251">
        <v>263</v>
      </c>
      <c r="E251">
        <v>107</v>
      </c>
      <c r="F251">
        <v>19</v>
      </c>
      <c r="G251">
        <v>5</v>
      </c>
      <c r="H251">
        <v>1</v>
      </c>
      <c r="I251">
        <v>34</v>
      </c>
      <c r="J251">
        <v>0</v>
      </c>
      <c r="K251">
        <v>0</v>
      </c>
      <c r="L251">
        <v>7</v>
      </c>
      <c r="M251">
        <v>33</v>
      </c>
      <c r="N251">
        <v>51</v>
      </c>
      <c r="O251">
        <v>0</v>
      </c>
      <c r="P251">
        <v>0</v>
      </c>
      <c r="Q251" s="1">
        <v>0</v>
      </c>
      <c r="R251">
        <v>0</v>
      </c>
      <c r="S251">
        <v>4</v>
      </c>
      <c r="T251">
        <v>0</v>
      </c>
      <c r="U251" s="1">
        <v>0</v>
      </c>
      <c r="V251">
        <v>1</v>
      </c>
      <c r="W251">
        <v>0</v>
      </c>
      <c r="X251">
        <v>0</v>
      </c>
      <c r="Y251">
        <v>0</v>
      </c>
      <c r="Z251">
        <v>1</v>
      </c>
      <c r="AA251" s="1">
        <v>0</v>
      </c>
      <c r="AB25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</row>
    <row r="252" spans="1:34" x14ac:dyDescent="0.3">
      <c r="A252" t="s">
        <v>93</v>
      </c>
      <c r="B252" t="s">
        <v>118</v>
      </c>
      <c r="C252" t="s">
        <v>34</v>
      </c>
      <c r="D252">
        <v>87</v>
      </c>
      <c r="E252">
        <v>77</v>
      </c>
      <c r="F252">
        <v>6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 s="1">
        <v>0</v>
      </c>
      <c r="R252">
        <v>0</v>
      </c>
      <c r="S252">
        <v>0</v>
      </c>
      <c r="T252">
        <v>0</v>
      </c>
      <c r="U252" s="1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s="1">
        <v>0</v>
      </c>
      <c r="AB252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</row>
    <row r="253" spans="1:34" x14ac:dyDescent="0.3">
      <c r="A253" t="s">
        <v>93</v>
      </c>
      <c r="B253" t="s">
        <v>119</v>
      </c>
      <c r="C253" t="s">
        <v>32</v>
      </c>
      <c r="D253">
        <v>283</v>
      </c>
      <c r="E253">
        <v>207</v>
      </c>
      <c r="F253">
        <v>25</v>
      </c>
      <c r="G253">
        <v>3</v>
      </c>
      <c r="H253">
        <v>0</v>
      </c>
      <c r="I253">
        <v>2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44</v>
      </c>
      <c r="Q253" s="1">
        <v>0</v>
      </c>
      <c r="R253">
        <v>0</v>
      </c>
      <c r="S253">
        <v>0</v>
      </c>
      <c r="T253">
        <v>0</v>
      </c>
      <c r="U253" s="1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s="1">
        <v>0</v>
      </c>
      <c r="AB253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</row>
    <row r="254" spans="1:34" x14ac:dyDescent="0.3">
      <c r="A254" t="s">
        <v>93</v>
      </c>
      <c r="B254" t="s">
        <v>119</v>
      </c>
      <c r="C254" t="s">
        <v>33</v>
      </c>
      <c r="D254">
        <v>182</v>
      </c>
      <c r="E254">
        <v>112</v>
      </c>
      <c r="F254">
        <v>19</v>
      </c>
      <c r="G254">
        <v>3</v>
      </c>
      <c r="H254">
        <v>0</v>
      </c>
      <c r="I254">
        <v>2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  <c r="P254">
        <v>44</v>
      </c>
      <c r="Q254" s="1">
        <v>0</v>
      </c>
      <c r="R254">
        <v>0</v>
      </c>
      <c r="S254">
        <v>0</v>
      </c>
      <c r="T254">
        <v>0</v>
      </c>
      <c r="U254" s="1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s="1">
        <v>0</v>
      </c>
      <c r="AB254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</row>
    <row r="255" spans="1:34" x14ac:dyDescent="0.3">
      <c r="A255" t="s">
        <v>93</v>
      </c>
      <c r="B255" t="s">
        <v>119</v>
      </c>
      <c r="C255" t="s">
        <v>34</v>
      </c>
      <c r="D255">
        <v>101</v>
      </c>
      <c r="E255">
        <v>95</v>
      </c>
      <c r="F255">
        <v>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s="1">
        <v>0</v>
      </c>
      <c r="R255">
        <v>0</v>
      </c>
      <c r="S255">
        <v>0</v>
      </c>
      <c r="T255">
        <v>0</v>
      </c>
      <c r="U255" s="1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s="1">
        <v>0</v>
      </c>
      <c r="AB255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</row>
    <row r="256" spans="1:34" x14ac:dyDescent="0.3">
      <c r="A256" t="s">
        <v>93</v>
      </c>
      <c r="B256" t="s">
        <v>120</v>
      </c>
      <c r="C256" t="s">
        <v>32</v>
      </c>
      <c r="D256">
        <v>192</v>
      </c>
      <c r="E256">
        <v>98</v>
      </c>
      <c r="F256">
        <v>2</v>
      </c>
      <c r="G256">
        <v>2</v>
      </c>
      <c r="H256">
        <v>0</v>
      </c>
      <c r="I256">
        <v>31</v>
      </c>
      <c r="J256">
        <v>1</v>
      </c>
      <c r="K256">
        <v>0</v>
      </c>
      <c r="L256">
        <v>13</v>
      </c>
      <c r="M256">
        <v>15</v>
      </c>
      <c r="N256">
        <v>29</v>
      </c>
      <c r="O256">
        <v>0</v>
      </c>
      <c r="P256">
        <v>0</v>
      </c>
      <c r="Q256" s="1">
        <v>0</v>
      </c>
      <c r="R256">
        <v>0</v>
      </c>
      <c r="S256">
        <v>1</v>
      </c>
      <c r="T256">
        <v>0</v>
      </c>
      <c r="U256" s="1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s="1">
        <v>0</v>
      </c>
      <c r="AB256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</row>
    <row r="257" spans="1:34" x14ac:dyDescent="0.3">
      <c r="A257" t="s">
        <v>93</v>
      </c>
      <c r="B257" t="s">
        <v>120</v>
      </c>
      <c r="C257" t="s">
        <v>33</v>
      </c>
      <c r="D257">
        <v>152</v>
      </c>
      <c r="E257">
        <v>61</v>
      </c>
      <c r="F257">
        <v>1</v>
      </c>
      <c r="G257">
        <v>2</v>
      </c>
      <c r="H257">
        <v>0</v>
      </c>
      <c r="I257">
        <v>30</v>
      </c>
      <c r="J257">
        <v>0</v>
      </c>
      <c r="K257">
        <v>0</v>
      </c>
      <c r="L257">
        <v>13</v>
      </c>
      <c r="M257">
        <v>15</v>
      </c>
      <c r="N257">
        <v>29</v>
      </c>
      <c r="O257">
        <v>0</v>
      </c>
      <c r="P257">
        <v>0</v>
      </c>
      <c r="Q257" s="1">
        <v>0</v>
      </c>
      <c r="R257">
        <v>0</v>
      </c>
      <c r="S257">
        <v>1</v>
      </c>
      <c r="T257">
        <v>0</v>
      </c>
      <c r="U257" s="1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s="1">
        <v>0</v>
      </c>
      <c r="AB257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</row>
    <row r="258" spans="1:34" x14ac:dyDescent="0.3">
      <c r="A258" t="s">
        <v>93</v>
      </c>
      <c r="B258" t="s">
        <v>120</v>
      </c>
      <c r="C258" t="s">
        <v>34</v>
      </c>
      <c r="D258">
        <v>40</v>
      </c>
      <c r="E258">
        <v>37</v>
      </c>
      <c r="F258">
        <v>1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s="1">
        <v>0</v>
      </c>
      <c r="R258">
        <v>0</v>
      </c>
      <c r="S258">
        <v>0</v>
      </c>
      <c r="T258">
        <v>0</v>
      </c>
      <c r="U258" s="1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s="1">
        <v>0</v>
      </c>
      <c r="AB258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</row>
    <row r="259" spans="1:34" x14ac:dyDescent="0.3">
      <c r="A259" t="s">
        <v>93</v>
      </c>
      <c r="B259" t="s">
        <v>121</v>
      </c>
      <c r="C259" t="s">
        <v>32</v>
      </c>
      <c r="D259">
        <v>189</v>
      </c>
      <c r="E259">
        <v>135</v>
      </c>
      <c r="F259">
        <v>9</v>
      </c>
      <c r="G259">
        <v>2</v>
      </c>
      <c r="H259">
        <v>0</v>
      </c>
      <c r="I259">
        <v>25</v>
      </c>
      <c r="J259">
        <v>0</v>
      </c>
      <c r="K259">
        <v>1</v>
      </c>
      <c r="L259">
        <v>0</v>
      </c>
      <c r="M259">
        <v>2</v>
      </c>
      <c r="N259">
        <v>15</v>
      </c>
      <c r="O259">
        <v>0</v>
      </c>
      <c r="P259">
        <v>0</v>
      </c>
      <c r="Q259" s="1">
        <v>0</v>
      </c>
      <c r="R259">
        <v>0</v>
      </c>
      <c r="S259">
        <v>0</v>
      </c>
      <c r="T259">
        <v>0</v>
      </c>
      <c r="U259" s="1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s="1">
        <v>0</v>
      </c>
      <c r="AB259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</row>
    <row r="260" spans="1:34" x14ac:dyDescent="0.3">
      <c r="A260" t="s">
        <v>93</v>
      </c>
      <c r="B260" t="s">
        <v>121</v>
      </c>
      <c r="C260" t="s">
        <v>33</v>
      </c>
      <c r="D260">
        <v>130</v>
      </c>
      <c r="E260">
        <v>79</v>
      </c>
      <c r="F260">
        <v>7</v>
      </c>
      <c r="G260">
        <v>2</v>
      </c>
      <c r="H260">
        <v>0</v>
      </c>
      <c r="I260">
        <v>24</v>
      </c>
      <c r="J260">
        <v>0</v>
      </c>
      <c r="K260">
        <v>1</v>
      </c>
      <c r="L260">
        <v>0</v>
      </c>
      <c r="M260">
        <v>2</v>
      </c>
      <c r="N260">
        <v>15</v>
      </c>
      <c r="O260">
        <v>0</v>
      </c>
      <c r="P260">
        <v>0</v>
      </c>
      <c r="Q260" s="1">
        <v>0</v>
      </c>
      <c r="R260">
        <v>0</v>
      </c>
      <c r="S260">
        <v>0</v>
      </c>
      <c r="T260">
        <v>0</v>
      </c>
      <c r="U260" s="1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s="1">
        <v>0</v>
      </c>
      <c r="AB260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</row>
    <row r="261" spans="1:34" x14ac:dyDescent="0.3">
      <c r="A261" t="s">
        <v>93</v>
      </c>
      <c r="B261" t="s">
        <v>121</v>
      </c>
      <c r="C261" t="s">
        <v>34</v>
      </c>
      <c r="D261">
        <v>59</v>
      </c>
      <c r="E261">
        <v>56</v>
      </c>
      <c r="F261">
        <v>2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s="1">
        <v>0</v>
      </c>
      <c r="R261">
        <v>0</v>
      </c>
      <c r="S261">
        <v>0</v>
      </c>
      <c r="T261">
        <v>0</v>
      </c>
      <c r="U261" s="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s="1">
        <v>0</v>
      </c>
      <c r="AB26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</row>
    <row r="262" spans="1:34" x14ac:dyDescent="0.3">
      <c r="A262" t="s">
        <v>93</v>
      </c>
      <c r="B262" t="s">
        <v>122</v>
      </c>
      <c r="C262" t="s">
        <v>32</v>
      </c>
      <c r="D262">
        <v>184</v>
      </c>
      <c r="E262">
        <v>120</v>
      </c>
      <c r="F262">
        <v>5</v>
      </c>
      <c r="G262">
        <v>9</v>
      </c>
      <c r="H262">
        <v>0</v>
      </c>
      <c r="I262">
        <v>30</v>
      </c>
      <c r="J262">
        <v>0</v>
      </c>
      <c r="K262">
        <v>0</v>
      </c>
      <c r="L262">
        <v>12</v>
      </c>
      <c r="M262">
        <v>2</v>
      </c>
      <c r="N262">
        <v>4</v>
      </c>
      <c r="O262">
        <v>0</v>
      </c>
      <c r="P262">
        <v>0</v>
      </c>
      <c r="Q262" s="1">
        <v>0</v>
      </c>
      <c r="R262">
        <v>0</v>
      </c>
      <c r="S262">
        <v>0</v>
      </c>
      <c r="T262">
        <v>0</v>
      </c>
      <c r="U262" s="1">
        <v>0</v>
      </c>
      <c r="V262">
        <v>1</v>
      </c>
      <c r="W262">
        <v>0</v>
      </c>
      <c r="X262">
        <v>0</v>
      </c>
      <c r="Y262">
        <v>0</v>
      </c>
      <c r="Z262">
        <v>1</v>
      </c>
      <c r="AA262" s="1">
        <v>0</v>
      </c>
      <c r="AB262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</row>
    <row r="263" spans="1:34" x14ac:dyDescent="0.3">
      <c r="A263" t="s">
        <v>93</v>
      </c>
      <c r="B263" t="s">
        <v>122</v>
      </c>
      <c r="C263" t="s">
        <v>33</v>
      </c>
      <c r="D263">
        <v>111</v>
      </c>
      <c r="E263">
        <v>59</v>
      </c>
      <c r="F263">
        <v>4</v>
      </c>
      <c r="G263">
        <v>4</v>
      </c>
      <c r="H263">
        <v>0</v>
      </c>
      <c r="I263">
        <v>26</v>
      </c>
      <c r="J263">
        <v>0</v>
      </c>
      <c r="K263">
        <v>0</v>
      </c>
      <c r="L263">
        <v>12</v>
      </c>
      <c r="M263">
        <v>1</v>
      </c>
      <c r="N263">
        <v>3</v>
      </c>
      <c r="O263">
        <v>0</v>
      </c>
      <c r="P263">
        <v>0</v>
      </c>
      <c r="Q263" s="1">
        <v>0</v>
      </c>
      <c r="R263">
        <v>0</v>
      </c>
      <c r="S263">
        <v>0</v>
      </c>
      <c r="T263">
        <v>0</v>
      </c>
      <c r="U263" s="1">
        <v>0</v>
      </c>
      <c r="V263">
        <v>1</v>
      </c>
      <c r="W263">
        <v>0</v>
      </c>
      <c r="X263">
        <v>0</v>
      </c>
      <c r="Y263">
        <v>0</v>
      </c>
      <c r="Z263">
        <v>1</v>
      </c>
      <c r="AA263" s="1">
        <v>0</v>
      </c>
      <c r="AB263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</row>
    <row r="264" spans="1:34" x14ac:dyDescent="0.3">
      <c r="A264" t="s">
        <v>93</v>
      </c>
      <c r="B264" t="s">
        <v>122</v>
      </c>
      <c r="C264" t="s">
        <v>34</v>
      </c>
      <c r="D264">
        <v>73</v>
      </c>
      <c r="E264">
        <v>61</v>
      </c>
      <c r="F264">
        <v>1</v>
      </c>
      <c r="G264">
        <v>5</v>
      </c>
      <c r="H264">
        <v>0</v>
      </c>
      <c r="I264">
        <v>4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 s="1">
        <v>0</v>
      </c>
      <c r="R264">
        <v>0</v>
      </c>
      <c r="S264">
        <v>0</v>
      </c>
      <c r="T264">
        <v>0</v>
      </c>
      <c r="U264" s="1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s="1">
        <v>0</v>
      </c>
      <c r="AB264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</row>
    <row r="265" spans="1:34" x14ac:dyDescent="0.3">
      <c r="A265" t="s">
        <v>93</v>
      </c>
      <c r="B265" t="s">
        <v>123</v>
      </c>
      <c r="C265" t="s">
        <v>32</v>
      </c>
      <c r="D265">
        <v>154</v>
      </c>
      <c r="E265">
        <v>110</v>
      </c>
      <c r="F265">
        <v>12</v>
      </c>
      <c r="G265">
        <v>10</v>
      </c>
      <c r="H265">
        <v>0</v>
      </c>
      <c r="I265">
        <v>3</v>
      </c>
      <c r="J265">
        <v>1</v>
      </c>
      <c r="K265">
        <v>0</v>
      </c>
      <c r="L265">
        <v>1</v>
      </c>
      <c r="M265">
        <v>2</v>
      </c>
      <c r="N265">
        <v>7</v>
      </c>
      <c r="O265">
        <v>2</v>
      </c>
      <c r="P265">
        <v>3</v>
      </c>
      <c r="Q265" s="1">
        <v>0</v>
      </c>
      <c r="R265">
        <v>0</v>
      </c>
      <c r="S265">
        <v>0</v>
      </c>
      <c r="T265">
        <v>3</v>
      </c>
      <c r="U265" s="1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s="1">
        <v>0</v>
      </c>
      <c r="AB265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</row>
    <row r="266" spans="1:34" x14ac:dyDescent="0.3">
      <c r="A266" t="s">
        <v>93</v>
      </c>
      <c r="B266" t="s">
        <v>123</v>
      </c>
      <c r="C266" t="s">
        <v>33</v>
      </c>
      <c r="D266">
        <v>101</v>
      </c>
      <c r="E266">
        <v>67</v>
      </c>
      <c r="F266">
        <v>10</v>
      </c>
      <c r="G266">
        <v>7</v>
      </c>
      <c r="H266">
        <v>0</v>
      </c>
      <c r="I266">
        <v>3</v>
      </c>
      <c r="J266">
        <v>1</v>
      </c>
      <c r="K266">
        <v>0</v>
      </c>
      <c r="L266">
        <v>0</v>
      </c>
      <c r="M266">
        <v>2</v>
      </c>
      <c r="N266">
        <v>3</v>
      </c>
      <c r="O266">
        <v>2</v>
      </c>
      <c r="P266">
        <v>3</v>
      </c>
      <c r="Q266" s="1">
        <v>0</v>
      </c>
      <c r="R266">
        <v>0</v>
      </c>
      <c r="S266">
        <v>0</v>
      </c>
      <c r="T266">
        <v>3</v>
      </c>
      <c r="U266" s="1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s="1">
        <v>0</v>
      </c>
      <c r="AB266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</row>
    <row r="267" spans="1:34" x14ac:dyDescent="0.3">
      <c r="A267" t="s">
        <v>93</v>
      </c>
      <c r="B267" t="s">
        <v>123</v>
      </c>
      <c r="C267" t="s">
        <v>34</v>
      </c>
      <c r="D267">
        <v>53</v>
      </c>
      <c r="E267">
        <v>43</v>
      </c>
      <c r="F267">
        <v>2</v>
      </c>
      <c r="G267">
        <v>3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4</v>
      </c>
      <c r="O267">
        <v>0</v>
      </c>
      <c r="P267">
        <v>0</v>
      </c>
      <c r="Q267" s="1">
        <v>0</v>
      </c>
      <c r="R267">
        <v>0</v>
      </c>
      <c r="S267">
        <v>0</v>
      </c>
      <c r="T267">
        <v>0</v>
      </c>
      <c r="U267" s="1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s="1">
        <v>0</v>
      </c>
      <c r="AB267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</row>
    <row r="268" spans="1:34" x14ac:dyDescent="0.3">
      <c r="A268" t="s">
        <v>93</v>
      </c>
      <c r="B268" t="s">
        <v>124</v>
      </c>
      <c r="C268" t="s">
        <v>32</v>
      </c>
      <c r="D268">
        <v>129</v>
      </c>
      <c r="E268">
        <v>44</v>
      </c>
      <c r="F268">
        <v>1</v>
      </c>
      <c r="G268">
        <v>0</v>
      </c>
      <c r="H268">
        <v>0</v>
      </c>
      <c r="I268">
        <v>25</v>
      </c>
      <c r="J268">
        <v>0</v>
      </c>
      <c r="K268">
        <v>0</v>
      </c>
      <c r="L268">
        <v>36</v>
      </c>
      <c r="M268">
        <v>17</v>
      </c>
      <c r="N268">
        <v>6</v>
      </c>
      <c r="O268">
        <v>0</v>
      </c>
      <c r="P268">
        <v>0</v>
      </c>
      <c r="Q268" s="1">
        <v>0</v>
      </c>
      <c r="R268">
        <v>0</v>
      </c>
      <c r="S268">
        <v>0</v>
      </c>
      <c r="T268">
        <v>0</v>
      </c>
      <c r="U268" s="1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s="1">
        <v>0</v>
      </c>
      <c r="AB268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</row>
    <row r="269" spans="1:34" x14ac:dyDescent="0.3">
      <c r="A269" t="s">
        <v>93</v>
      </c>
      <c r="B269" t="s">
        <v>124</v>
      </c>
      <c r="C269" t="s">
        <v>33</v>
      </c>
      <c r="D269">
        <v>106</v>
      </c>
      <c r="E269">
        <v>23</v>
      </c>
      <c r="F269">
        <v>0</v>
      </c>
      <c r="G269">
        <v>0</v>
      </c>
      <c r="H269">
        <v>0</v>
      </c>
      <c r="I269">
        <v>24</v>
      </c>
      <c r="J269">
        <v>0</v>
      </c>
      <c r="K269">
        <v>0</v>
      </c>
      <c r="L269">
        <v>36</v>
      </c>
      <c r="M269">
        <v>17</v>
      </c>
      <c r="N269">
        <v>6</v>
      </c>
      <c r="O269">
        <v>0</v>
      </c>
      <c r="P269">
        <v>0</v>
      </c>
      <c r="Q269" s="1">
        <v>0</v>
      </c>
      <c r="R269">
        <v>0</v>
      </c>
      <c r="S269">
        <v>0</v>
      </c>
      <c r="T269">
        <v>0</v>
      </c>
      <c r="U269" s="1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s="1">
        <v>0</v>
      </c>
      <c r="AB269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</row>
    <row r="270" spans="1:34" x14ac:dyDescent="0.3">
      <c r="A270" t="s">
        <v>93</v>
      </c>
      <c r="B270" t="s">
        <v>124</v>
      </c>
      <c r="C270" t="s">
        <v>34</v>
      </c>
      <c r="D270">
        <v>23</v>
      </c>
      <c r="E270">
        <v>21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s="1">
        <v>0</v>
      </c>
      <c r="R270">
        <v>0</v>
      </c>
      <c r="S270">
        <v>0</v>
      </c>
      <c r="T270">
        <v>0</v>
      </c>
      <c r="U270" s="1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s="1">
        <v>0</v>
      </c>
      <c r="AB270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</row>
    <row r="271" spans="1:34" x14ac:dyDescent="0.3">
      <c r="A271" t="s">
        <v>93</v>
      </c>
      <c r="B271" t="s">
        <v>125</v>
      </c>
      <c r="C271" t="s">
        <v>32</v>
      </c>
      <c r="D271">
        <v>122</v>
      </c>
      <c r="E271">
        <v>104</v>
      </c>
      <c r="F271">
        <v>13</v>
      </c>
      <c r="G271">
        <v>2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s="1">
        <v>0</v>
      </c>
      <c r="R271">
        <v>0</v>
      </c>
      <c r="S271">
        <v>0</v>
      </c>
      <c r="T271">
        <v>0</v>
      </c>
      <c r="U271" s="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s="1">
        <v>0</v>
      </c>
      <c r="AB27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</row>
    <row r="272" spans="1:34" x14ac:dyDescent="0.3">
      <c r="A272" t="s">
        <v>93</v>
      </c>
      <c r="B272" t="s">
        <v>125</v>
      </c>
      <c r="C272" t="s">
        <v>33</v>
      </c>
      <c r="D272">
        <v>40</v>
      </c>
      <c r="E272">
        <v>34</v>
      </c>
      <c r="F272">
        <v>5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s="1">
        <v>0</v>
      </c>
      <c r="R272">
        <v>0</v>
      </c>
      <c r="S272">
        <v>0</v>
      </c>
      <c r="T272">
        <v>0</v>
      </c>
      <c r="U272" s="1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s="1">
        <v>0</v>
      </c>
      <c r="AB272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</row>
    <row r="273" spans="1:34" x14ac:dyDescent="0.3">
      <c r="A273" t="s">
        <v>93</v>
      </c>
      <c r="B273" t="s">
        <v>125</v>
      </c>
      <c r="C273" t="s">
        <v>34</v>
      </c>
      <c r="D273">
        <v>82</v>
      </c>
      <c r="E273">
        <v>70</v>
      </c>
      <c r="F273">
        <v>8</v>
      </c>
      <c r="G273">
        <v>2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s="1">
        <v>0</v>
      </c>
      <c r="R273">
        <v>0</v>
      </c>
      <c r="S273">
        <v>0</v>
      </c>
      <c r="T273">
        <v>0</v>
      </c>
      <c r="U273" s="1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s="1">
        <v>0</v>
      </c>
      <c r="AB273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</row>
    <row r="274" spans="1:34" x14ac:dyDescent="0.3">
      <c r="A274" t="s">
        <v>93</v>
      </c>
      <c r="B274" t="s">
        <v>126</v>
      </c>
      <c r="C274" t="s">
        <v>32</v>
      </c>
      <c r="D274">
        <v>120</v>
      </c>
      <c r="E274">
        <v>81</v>
      </c>
      <c r="F274">
        <v>11</v>
      </c>
      <c r="G274">
        <v>2</v>
      </c>
      <c r="H274">
        <v>2</v>
      </c>
      <c r="I274">
        <v>2</v>
      </c>
      <c r="J274">
        <v>0</v>
      </c>
      <c r="K274">
        <v>0</v>
      </c>
      <c r="L274">
        <v>5</v>
      </c>
      <c r="M274">
        <v>8</v>
      </c>
      <c r="N274">
        <v>8</v>
      </c>
      <c r="O274">
        <v>0</v>
      </c>
      <c r="P274">
        <v>0</v>
      </c>
      <c r="Q274" s="1">
        <v>0</v>
      </c>
      <c r="R274">
        <v>0</v>
      </c>
      <c r="S274">
        <v>1</v>
      </c>
      <c r="T274">
        <v>0</v>
      </c>
      <c r="U274" s="1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s="1">
        <v>0</v>
      </c>
      <c r="AB274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</row>
    <row r="275" spans="1:34" x14ac:dyDescent="0.3">
      <c r="A275" t="s">
        <v>93</v>
      </c>
      <c r="B275" t="s">
        <v>126</v>
      </c>
      <c r="C275" t="s">
        <v>33</v>
      </c>
      <c r="D275">
        <v>54</v>
      </c>
      <c r="E275">
        <v>19</v>
      </c>
      <c r="F275">
        <v>8</v>
      </c>
      <c r="G275">
        <v>2</v>
      </c>
      <c r="H275">
        <v>1</v>
      </c>
      <c r="I275">
        <v>2</v>
      </c>
      <c r="J275">
        <v>0</v>
      </c>
      <c r="K275">
        <v>0</v>
      </c>
      <c r="L275">
        <v>5</v>
      </c>
      <c r="M275">
        <v>8</v>
      </c>
      <c r="N275">
        <v>8</v>
      </c>
      <c r="O275">
        <v>0</v>
      </c>
      <c r="P275">
        <v>0</v>
      </c>
      <c r="Q275" s="1">
        <v>0</v>
      </c>
      <c r="R275">
        <v>0</v>
      </c>
      <c r="S275">
        <v>1</v>
      </c>
      <c r="T275">
        <v>0</v>
      </c>
      <c r="U275" s="1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s="1">
        <v>0</v>
      </c>
      <c r="AB275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</row>
    <row r="276" spans="1:34" x14ac:dyDescent="0.3">
      <c r="A276" t="s">
        <v>93</v>
      </c>
      <c r="B276" t="s">
        <v>126</v>
      </c>
      <c r="C276" t="s">
        <v>34</v>
      </c>
      <c r="D276">
        <v>66</v>
      </c>
      <c r="E276">
        <v>62</v>
      </c>
      <c r="F276">
        <v>3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s="1">
        <v>0</v>
      </c>
      <c r="R276">
        <v>0</v>
      </c>
      <c r="S276">
        <v>0</v>
      </c>
      <c r="T276">
        <v>0</v>
      </c>
      <c r="U276" s="1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s="1">
        <v>0</v>
      </c>
      <c r="AB276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</row>
    <row r="277" spans="1:34" x14ac:dyDescent="0.3">
      <c r="A277" t="s">
        <v>93</v>
      </c>
      <c r="B277" t="s">
        <v>127</v>
      </c>
      <c r="C277" t="s">
        <v>32</v>
      </c>
      <c r="D277">
        <v>2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s="1">
        <v>0</v>
      </c>
      <c r="R277">
        <v>0</v>
      </c>
      <c r="S277">
        <v>0</v>
      </c>
      <c r="T277">
        <v>0</v>
      </c>
      <c r="U277" s="1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 s="1">
        <v>0</v>
      </c>
      <c r="AB277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</row>
    <row r="278" spans="1:34" x14ac:dyDescent="0.3">
      <c r="A278" t="s">
        <v>93</v>
      </c>
      <c r="B278" t="s">
        <v>127</v>
      </c>
      <c r="C278" t="s">
        <v>33</v>
      </c>
      <c r="D278">
        <v>2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s="1">
        <v>0</v>
      </c>
      <c r="R278">
        <v>0</v>
      </c>
      <c r="S278">
        <v>0</v>
      </c>
      <c r="T278">
        <v>0</v>
      </c>
      <c r="U278" s="1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s="1">
        <v>0</v>
      </c>
      <c r="AB278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</row>
    <row r="279" spans="1:34" x14ac:dyDescent="0.3">
      <c r="A279" t="s">
        <v>128</v>
      </c>
      <c r="B279" t="s">
        <v>252</v>
      </c>
      <c r="C279" t="s">
        <v>32</v>
      </c>
      <c r="D279" s="1">
        <v>1348324</v>
      </c>
      <c r="E279" s="1">
        <v>1037795</v>
      </c>
      <c r="F279" s="1">
        <v>66595</v>
      </c>
      <c r="G279" s="1">
        <v>59865</v>
      </c>
      <c r="H279" s="1">
        <v>13323</v>
      </c>
      <c r="I279" s="1">
        <v>72252</v>
      </c>
      <c r="J279" s="1">
        <v>1665</v>
      </c>
      <c r="K279" s="1">
        <v>2521</v>
      </c>
      <c r="L279" s="1">
        <v>15185</v>
      </c>
      <c r="M279" s="1">
        <v>10532</v>
      </c>
      <c r="N279" s="1">
        <v>11828</v>
      </c>
      <c r="O279" s="1">
        <v>1130</v>
      </c>
      <c r="P279" s="1">
        <v>3624</v>
      </c>
      <c r="Q279" s="1">
        <v>27492</v>
      </c>
      <c r="R279">
        <v>429</v>
      </c>
      <c r="S279" s="1">
        <v>3521</v>
      </c>
      <c r="T279" s="1">
        <v>1939</v>
      </c>
      <c r="U279" s="1">
        <v>11349</v>
      </c>
      <c r="V279">
        <v>884</v>
      </c>
      <c r="W279">
        <v>17</v>
      </c>
      <c r="X279" s="1">
        <v>1695</v>
      </c>
      <c r="Y279" s="1">
        <v>1043</v>
      </c>
      <c r="Z279" s="1">
        <v>2215</v>
      </c>
      <c r="AA279">
        <v>375</v>
      </c>
      <c r="AB279">
        <v>303</v>
      </c>
      <c r="AC279" s="1">
        <v>0</v>
      </c>
      <c r="AD279">
        <v>589</v>
      </c>
      <c r="AE279">
        <v>14</v>
      </c>
      <c r="AF279">
        <v>102</v>
      </c>
      <c r="AG279">
        <v>42</v>
      </c>
      <c r="AH279" s="1">
        <v>0</v>
      </c>
    </row>
    <row r="280" spans="1:34" x14ac:dyDescent="0.3">
      <c r="A280" t="s">
        <v>128</v>
      </c>
      <c r="B280" t="s">
        <v>252</v>
      </c>
      <c r="C280" t="s">
        <v>253</v>
      </c>
      <c r="D280" s="1">
        <f>D284+D287+D290+D294+D297+D300+D304+D307+D310+D313+D316+D319+D322+D325+D328+D331+D334+D337+D340+D343+D346+D349+D352+D355+D358+D361+D364+D367+D370+D373+D376+D379+D382+D385+D388+D391+D394+D398+D401+D405+D408+D411+D414+D416+D418+D421+D424+D427+D429+D432+D435</f>
        <v>765505</v>
      </c>
      <c r="E280" s="1">
        <f t="shared" ref="E280:AH280" si="10">E284+E287+E290+E294+E297+E300+E304+E307+E310+E313+E316+E319+E322+E325+E328+E331+E334+E337+E340+E343+E346+E349+E352+E355+E358+E361+E364+E367+E370+E373+E376+E379+E382+E385+E388+E391+E394+E398+E401+E405+E408+E411+E414+E416+E418+E421+E424+E427+E429+E432+E435</f>
        <v>551358</v>
      </c>
      <c r="F280" s="1">
        <f t="shared" si="10"/>
        <v>43490</v>
      </c>
      <c r="G280" s="1">
        <f t="shared" si="10"/>
        <v>32020</v>
      </c>
      <c r="H280" s="1">
        <f t="shared" si="10"/>
        <v>6912</v>
      </c>
      <c r="I280" s="1">
        <f t="shared" si="10"/>
        <v>50304</v>
      </c>
      <c r="J280" s="1">
        <f t="shared" si="10"/>
        <v>892</v>
      </c>
      <c r="K280" s="1">
        <f t="shared" si="10"/>
        <v>1654</v>
      </c>
      <c r="L280" s="1">
        <f t="shared" si="10"/>
        <v>10639</v>
      </c>
      <c r="M280" s="1">
        <f t="shared" si="10"/>
        <v>7458</v>
      </c>
      <c r="N280" s="1">
        <f t="shared" si="10"/>
        <v>7805</v>
      </c>
      <c r="O280" s="1">
        <f t="shared" si="10"/>
        <v>1112</v>
      </c>
      <c r="P280" s="1">
        <f t="shared" si="10"/>
        <v>3565</v>
      </c>
      <c r="Q280" s="1">
        <f t="shared" si="10"/>
        <v>27341</v>
      </c>
      <c r="R280" s="1">
        <f t="shared" si="10"/>
        <v>425</v>
      </c>
      <c r="S280" s="1">
        <f t="shared" si="10"/>
        <v>3486</v>
      </c>
      <c r="T280" s="1">
        <f t="shared" si="10"/>
        <v>1934</v>
      </c>
      <c r="U280" s="1">
        <f t="shared" si="10"/>
        <v>8327</v>
      </c>
      <c r="V280" s="1">
        <f t="shared" si="10"/>
        <v>875</v>
      </c>
      <c r="W280" s="1">
        <f t="shared" si="10"/>
        <v>3</v>
      </c>
      <c r="X280" s="1">
        <f t="shared" si="10"/>
        <v>1689</v>
      </c>
      <c r="Y280" s="1">
        <f t="shared" si="10"/>
        <v>1037</v>
      </c>
      <c r="Z280" s="1">
        <f t="shared" si="10"/>
        <v>1776</v>
      </c>
      <c r="AA280" s="1">
        <f t="shared" si="10"/>
        <v>365</v>
      </c>
      <c r="AB280" s="1">
        <f t="shared" si="10"/>
        <v>303</v>
      </c>
      <c r="AC280" s="1">
        <f t="shared" si="10"/>
        <v>0</v>
      </c>
      <c r="AD280" s="1">
        <f t="shared" si="10"/>
        <v>586</v>
      </c>
      <c r="AE280" s="1">
        <f t="shared" si="10"/>
        <v>14</v>
      </c>
      <c r="AF280" s="1">
        <f t="shared" si="10"/>
        <v>101</v>
      </c>
      <c r="AG280" s="1">
        <f t="shared" si="10"/>
        <v>34</v>
      </c>
      <c r="AH280" s="1">
        <f t="shared" si="10"/>
        <v>0</v>
      </c>
    </row>
    <row r="281" spans="1:34" x14ac:dyDescent="0.3">
      <c r="A281" t="s">
        <v>128</v>
      </c>
      <c r="B281" t="s">
        <v>252</v>
      </c>
      <c r="C281" t="s">
        <v>254</v>
      </c>
      <c r="D281" s="1">
        <f>D285+D288+D291+D295+D298+D301+D305+D308+D311+D314+D317+D320+D323+D326+D329+D332+D335+D338+D341+D344+D347+D350+D353+D356+D359+D362+D365+D368+D371+D374+D377+D380+D383+D386+D389+D392+D395+D399+D402+D406+D409+D412+D419+D422+D425+D430+D433</f>
        <v>582795</v>
      </c>
      <c r="E281" s="1">
        <f t="shared" ref="E281:AH281" si="11">E285+E288+E291+E295+E298+E301+E305+E308+E311+E314+E317+E320+E323+E326+E329+E332+E335+E338+E341+E344+E347+E350+E353+E356+E359+E362+E365+E368+E371+E374+E377+E380+E383+E386+E389+E392+E395+E399+E402+E406+E409+E412+E419+E422+E425+E430+E433</f>
        <v>486414</v>
      </c>
      <c r="F281" s="1">
        <f t="shared" si="11"/>
        <v>23105</v>
      </c>
      <c r="G281" s="1">
        <f t="shared" si="11"/>
        <v>27845</v>
      </c>
      <c r="H281" s="1">
        <f t="shared" si="11"/>
        <v>6411</v>
      </c>
      <c r="I281" s="1">
        <f t="shared" si="11"/>
        <v>21948</v>
      </c>
      <c r="J281" s="1">
        <f t="shared" si="11"/>
        <v>773</v>
      </c>
      <c r="K281" s="1">
        <f t="shared" si="11"/>
        <v>867</v>
      </c>
      <c r="L281" s="1">
        <f t="shared" si="11"/>
        <v>4546</v>
      </c>
      <c r="M281" s="1">
        <f t="shared" si="11"/>
        <v>3073</v>
      </c>
      <c r="N281" s="1">
        <f t="shared" si="11"/>
        <v>4023</v>
      </c>
      <c r="O281" s="1">
        <f t="shared" si="11"/>
        <v>18</v>
      </c>
      <c r="P281" s="1">
        <f t="shared" si="11"/>
        <v>59</v>
      </c>
      <c r="Q281" s="1">
        <f t="shared" si="11"/>
        <v>151</v>
      </c>
      <c r="R281" s="1">
        <f t="shared" si="11"/>
        <v>4</v>
      </c>
      <c r="S281" s="1">
        <f t="shared" si="11"/>
        <v>35</v>
      </c>
      <c r="T281" s="1">
        <f t="shared" si="11"/>
        <v>5</v>
      </c>
      <c r="U281" s="1">
        <f t="shared" si="11"/>
        <v>3022</v>
      </c>
      <c r="V281" s="1">
        <f t="shared" si="11"/>
        <v>9</v>
      </c>
      <c r="W281" s="1">
        <f t="shared" si="11"/>
        <v>14</v>
      </c>
      <c r="X281" s="1">
        <f t="shared" si="11"/>
        <v>6</v>
      </c>
      <c r="Y281" s="1">
        <f t="shared" si="11"/>
        <v>6</v>
      </c>
      <c r="Z281" s="1">
        <f t="shared" si="11"/>
        <v>439</v>
      </c>
      <c r="AA281" s="1">
        <f t="shared" si="11"/>
        <v>10</v>
      </c>
      <c r="AB281" s="1">
        <f t="shared" si="11"/>
        <v>0</v>
      </c>
      <c r="AC281" s="1">
        <f t="shared" si="11"/>
        <v>0</v>
      </c>
      <c r="AD281" s="1">
        <f t="shared" si="11"/>
        <v>3</v>
      </c>
      <c r="AE281" s="1">
        <f t="shared" si="11"/>
        <v>0</v>
      </c>
      <c r="AF281" s="1">
        <f t="shared" si="11"/>
        <v>1</v>
      </c>
      <c r="AG281" s="1">
        <f t="shared" si="11"/>
        <v>8</v>
      </c>
      <c r="AH281" s="1">
        <f t="shared" si="11"/>
        <v>0</v>
      </c>
    </row>
    <row r="282" spans="1:34" x14ac:dyDescent="0.3">
      <c r="A282" t="s">
        <v>128</v>
      </c>
      <c r="B282" t="s">
        <v>252</v>
      </c>
      <c r="C282" t="s">
        <v>255</v>
      </c>
      <c r="D282" s="1">
        <f>D292+D302+D396+D403</f>
        <v>24</v>
      </c>
      <c r="E282" s="1">
        <f t="shared" ref="E282:AH282" si="12">E292+E302+E396+E403</f>
        <v>23</v>
      </c>
      <c r="F282" s="1">
        <f t="shared" si="12"/>
        <v>0</v>
      </c>
      <c r="G282" s="1">
        <f t="shared" si="12"/>
        <v>0</v>
      </c>
      <c r="H282" s="1">
        <f t="shared" si="12"/>
        <v>0</v>
      </c>
      <c r="I282" s="1">
        <f t="shared" si="12"/>
        <v>0</v>
      </c>
      <c r="J282" s="1">
        <f t="shared" si="12"/>
        <v>0</v>
      </c>
      <c r="K282" s="1">
        <f t="shared" si="12"/>
        <v>0</v>
      </c>
      <c r="L282" s="1">
        <f t="shared" si="12"/>
        <v>0</v>
      </c>
      <c r="M282" s="1">
        <f t="shared" si="12"/>
        <v>1</v>
      </c>
      <c r="N282" s="1">
        <f t="shared" si="12"/>
        <v>0</v>
      </c>
      <c r="O282" s="1">
        <f t="shared" si="12"/>
        <v>0</v>
      </c>
      <c r="P282" s="1">
        <f t="shared" si="12"/>
        <v>0</v>
      </c>
      <c r="Q282" s="1">
        <f t="shared" si="12"/>
        <v>0</v>
      </c>
      <c r="R282" s="1">
        <f t="shared" si="12"/>
        <v>0</v>
      </c>
      <c r="S282" s="1">
        <f t="shared" si="12"/>
        <v>0</v>
      </c>
      <c r="T282" s="1">
        <f t="shared" si="12"/>
        <v>0</v>
      </c>
      <c r="U282" s="1">
        <f t="shared" si="12"/>
        <v>0</v>
      </c>
      <c r="V282" s="1">
        <f t="shared" si="12"/>
        <v>0</v>
      </c>
      <c r="W282" s="1">
        <f t="shared" si="12"/>
        <v>0</v>
      </c>
      <c r="X282" s="1">
        <f t="shared" si="12"/>
        <v>0</v>
      </c>
      <c r="Y282" s="1">
        <f t="shared" si="12"/>
        <v>0</v>
      </c>
      <c r="Z282" s="1">
        <f t="shared" si="12"/>
        <v>0</v>
      </c>
      <c r="AA282" s="1">
        <f t="shared" si="12"/>
        <v>0</v>
      </c>
      <c r="AB282" s="1">
        <f t="shared" si="12"/>
        <v>0</v>
      </c>
      <c r="AC282" s="1">
        <f t="shared" si="12"/>
        <v>0</v>
      </c>
      <c r="AD282" s="1">
        <f t="shared" si="12"/>
        <v>0</v>
      </c>
      <c r="AE282" s="1">
        <f t="shared" si="12"/>
        <v>0</v>
      </c>
      <c r="AF282" s="1">
        <f t="shared" si="12"/>
        <v>0</v>
      </c>
      <c r="AG282" s="1">
        <f t="shared" si="12"/>
        <v>0</v>
      </c>
      <c r="AH282" s="1">
        <f t="shared" si="12"/>
        <v>0</v>
      </c>
    </row>
    <row r="283" spans="1:34" x14ac:dyDescent="0.3">
      <c r="A283" t="s">
        <v>128</v>
      </c>
      <c r="B283" t="s">
        <v>129</v>
      </c>
      <c r="C283" t="s">
        <v>32</v>
      </c>
      <c r="D283" s="1">
        <v>232193</v>
      </c>
      <c r="E283" s="1">
        <v>134404</v>
      </c>
      <c r="F283" s="1">
        <v>15891</v>
      </c>
      <c r="G283" s="1">
        <v>17040</v>
      </c>
      <c r="H283" s="1">
        <v>3011</v>
      </c>
      <c r="I283" s="1">
        <v>10400</v>
      </c>
      <c r="J283">
        <v>407</v>
      </c>
      <c r="K283">
        <v>474</v>
      </c>
      <c r="L283" s="1">
        <v>3923</v>
      </c>
      <c r="M283" s="1">
        <v>2298</v>
      </c>
      <c r="N283">
        <v>379</v>
      </c>
      <c r="O283">
        <v>283</v>
      </c>
      <c r="P283" s="1">
        <v>1243</v>
      </c>
      <c r="Q283" s="1">
        <v>26954</v>
      </c>
      <c r="R283">
        <v>135</v>
      </c>
      <c r="S283">
        <v>939</v>
      </c>
      <c r="T283">
        <v>472</v>
      </c>
      <c r="U283" s="1">
        <v>10492</v>
      </c>
      <c r="V283">
        <v>293</v>
      </c>
      <c r="W283">
        <v>0</v>
      </c>
      <c r="X283">
        <v>832</v>
      </c>
      <c r="Y283">
        <v>196</v>
      </c>
      <c r="Z283" s="1">
        <v>1640</v>
      </c>
      <c r="AA283">
        <v>71</v>
      </c>
      <c r="AB283">
        <v>46</v>
      </c>
      <c r="AC283">
        <v>0</v>
      </c>
      <c r="AD283">
        <v>346</v>
      </c>
      <c r="AE283">
        <v>4</v>
      </c>
      <c r="AF283">
        <v>20</v>
      </c>
      <c r="AG283">
        <v>0</v>
      </c>
      <c r="AH283">
        <v>0</v>
      </c>
    </row>
    <row r="284" spans="1:34" x14ac:dyDescent="0.3">
      <c r="A284" t="s">
        <v>128</v>
      </c>
      <c r="B284" t="s">
        <v>129</v>
      </c>
      <c r="C284" t="s">
        <v>33</v>
      </c>
      <c r="D284" s="1">
        <v>124494</v>
      </c>
      <c r="E284" s="1">
        <v>55796</v>
      </c>
      <c r="F284" s="1">
        <v>8606</v>
      </c>
      <c r="G284" s="1">
        <v>6408</v>
      </c>
      <c r="H284" s="1">
        <v>1012</v>
      </c>
      <c r="I284" s="1">
        <v>8062</v>
      </c>
      <c r="J284">
        <v>139</v>
      </c>
      <c r="K284">
        <v>281</v>
      </c>
      <c r="L284" s="1">
        <v>1660</v>
      </c>
      <c r="M284" s="1">
        <v>1721</v>
      </c>
      <c r="N284">
        <v>222</v>
      </c>
      <c r="O284">
        <v>276</v>
      </c>
      <c r="P284" s="1">
        <v>1241</v>
      </c>
      <c r="Q284" s="1">
        <v>26803</v>
      </c>
      <c r="R284">
        <v>135</v>
      </c>
      <c r="S284">
        <v>925</v>
      </c>
      <c r="T284">
        <v>471</v>
      </c>
      <c r="U284" s="1">
        <v>7495</v>
      </c>
      <c r="V284">
        <v>284</v>
      </c>
      <c r="W284">
        <v>0</v>
      </c>
      <c r="X284">
        <v>829</v>
      </c>
      <c r="Y284">
        <v>196</v>
      </c>
      <c r="Z284" s="1">
        <v>1454</v>
      </c>
      <c r="AA284">
        <v>66</v>
      </c>
      <c r="AB284">
        <v>46</v>
      </c>
      <c r="AC284">
        <v>0</v>
      </c>
      <c r="AD284">
        <v>343</v>
      </c>
      <c r="AE284">
        <v>4</v>
      </c>
      <c r="AF284">
        <v>19</v>
      </c>
      <c r="AG284">
        <v>0</v>
      </c>
      <c r="AH284">
        <v>0</v>
      </c>
    </row>
    <row r="285" spans="1:34" x14ac:dyDescent="0.3">
      <c r="A285" t="s">
        <v>128</v>
      </c>
      <c r="B285" t="s">
        <v>129</v>
      </c>
      <c r="C285" t="s">
        <v>34</v>
      </c>
      <c r="D285" s="1">
        <v>107699</v>
      </c>
      <c r="E285" s="1">
        <v>78608</v>
      </c>
      <c r="F285" s="1">
        <v>7285</v>
      </c>
      <c r="G285" s="1">
        <v>10632</v>
      </c>
      <c r="H285" s="1">
        <v>1999</v>
      </c>
      <c r="I285" s="1">
        <v>2338</v>
      </c>
      <c r="J285">
        <v>268</v>
      </c>
      <c r="K285">
        <v>193</v>
      </c>
      <c r="L285" s="1">
        <v>2263</v>
      </c>
      <c r="M285">
        <v>577</v>
      </c>
      <c r="N285">
        <v>157</v>
      </c>
      <c r="O285">
        <v>7</v>
      </c>
      <c r="P285">
        <v>2</v>
      </c>
      <c r="Q285">
        <v>151</v>
      </c>
      <c r="R285">
        <v>0</v>
      </c>
      <c r="S285">
        <v>14</v>
      </c>
      <c r="T285">
        <v>1</v>
      </c>
      <c r="U285" s="1">
        <v>2997</v>
      </c>
      <c r="V285">
        <v>9</v>
      </c>
      <c r="W285">
        <v>0</v>
      </c>
      <c r="X285">
        <v>3</v>
      </c>
      <c r="Y285">
        <v>0</v>
      </c>
      <c r="Z285">
        <v>186</v>
      </c>
      <c r="AA285">
        <v>5</v>
      </c>
      <c r="AB285">
        <v>0</v>
      </c>
      <c r="AC285">
        <v>0</v>
      </c>
      <c r="AD285">
        <v>3</v>
      </c>
      <c r="AE285">
        <v>0</v>
      </c>
      <c r="AF285">
        <v>1</v>
      </c>
      <c r="AG285">
        <v>0</v>
      </c>
      <c r="AH285">
        <v>0</v>
      </c>
    </row>
    <row r="286" spans="1:34" x14ac:dyDescent="0.3">
      <c r="A286" t="s">
        <v>128</v>
      </c>
      <c r="B286" t="s">
        <v>130</v>
      </c>
      <c r="C286" t="s">
        <v>32</v>
      </c>
      <c r="D286" s="1">
        <v>183363</v>
      </c>
      <c r="E286" s="1">
        <v>161757</v>
      </c>
      <c r="F286" s="1">
        <v>6640</v>
      </c>
      <c r="G286" s="1">
        <v>7538</v>
      </c>
      <c r="H286" s="1">
        <v>1206</v>
      </c>
      <c r="I286" s="1">
        <v>4133</v>
      </c>
      <c r="J286">
        <v>210</v>
      </c>
      <c r="K286">
        <v>442</v>
      </c>
      <c r="L286">
        <v>495</v>
      </c>
      <c r="M286">
        <v>387</v>
      </c>
      <c r="N286">
        <v>352</v>
      </c>
      <c r="O286">
        <v>1</v>
      </c>
      <c r="P286">
        <v>38</v>
      </c>
      <c r="Q286">
        <v>19</v>
      </c>
      <c r="R286">
        <v>0</v>
      </c>
      <c r="S286">
        <v>27</v>
      </c>
      <c r="T286">
        <v>0</v>
      </c>
      <c r="U286">
        <v>50</v>
      </c>
      <c r="V286">
        <v>1</v>
      </c>
      <c r="W286">
        <v>2</v>
      </c>
      <c r="X286">
        <v>20</v>
      </c>
      <c r="Y286">
        <v>10</v>
      </c>
      <c r="Z286">
        <v>18</v>
      </c>
      <c r="AA286">
        <v>16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</row>
    <row r="287" spans="1:34" x14ac:dyDescent="0.3">
      <c r="A287" t="s">
        <v>128</v>
      </c>
      <c r="B287" t="s">
        <v>130</v>
      </c>
      <c r="C287" t="s">
        <v>33</v>
      </c>
      <c r="D287" s="1">
        <v>97549</v>
      </c>
      <c r="E287" s="1">
        <v>84604</v>
      </c>
      <c r="F287" s="1">
        <v>4006</v>
      </c>
      <c r="G287" s="1">
        <v>4595</v>
      </c>
      <c r="H287">
        <v>678</v>
      </c>
      <c r="I287" s="1">
        <v>2462</v>
      </c>
      <c r="J287">
        <v>110</v>
      </c>
      <c r="K287">
        <v>280</v>
      </c>
      <c r="L287">
        <v>251</v>
      </c>
      <c r="M287">
        <v>242</v>
      </c>
      <c r="N287">
        <v>152</v>
      </c>
      <c r="O287">
        <v>0</v>
      </c>
      <c r="P287">
        <v>33</v>
      </c>
      <c r="Q287">
        <v>19</v>
      </c>
      <c r="R287">
        <v>0</v>
      </c>
      <c r="S287">
        <v>26</v>
      </c>
      <c r="T287">
        <v>0</v>
      </c>
      <c r="U287">
        <v>35</v>
      </c>
      <c r="V287">
        <v>1</v>
      </c>
      <c r="W287">
        <v>0</v>
      </c>
      <c r="X287">
        <v>19</v>
      </c>
      <c r="Y287">
        <v>9</v>
      </c>
      <c r="Z287">
        <v>10</v>
      </c>
      <c r="AA287">
        <v>16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</row>
    <row r="288" spans="1:34" x14ac:dyDescent="0.3">
      <c r="A288" t="s">
        <v>128</v>
      </c>
      <c r="B288" t="s">
        <v>130</v>
      </c>
      <c r="C288" t="s">
        <v>34</v>
      </c>
      <c r="D288" s="1">
        <v>85814</v>
      </c>
      <c r="E288" s="1">
        <v>77153</v>
      </c>
      <c r="F288" s="1">
        <v>2634</v>
      </c>
      <c r="G288" s="1">
        <v>2943</v>
      </c>
      <c r="H288">
        <v>528</v>
      </c>
      <c r="I288" s="1">
        <v>1671</v>
      </c>
      <c r="J288">
        <v>100</v>
      </c>
      <c r="K288">
        <v>162</v>
      </c>
      <c r="L288">
        <v>244</v>
      </c>
      <c r="M288">
        <v>145</v>
      </c>
      <c r="N288">
        <v>200</v>
      </c>
      <c r="O288">
        <v>1</v>
      </c>
      <c r="P288">
        <v>5</v>
      </c>
      <c r="Q288">
        <v>0</v>
      </c>
      <c r="R288">
        <v>0</v>
      </c>
      <c r="S288">
        <v>1</v>
      </c>
      <c r="T288">
        <v>0</v>
      </c>
      <c r="U288">
        <v>15</v>
      </c>
      <c r="V288">
        <v>0</v>
      </c>
      <c r="W288">
        <v>2</v>
      </c>
      <c r="X288">
        <v>1</v>
      </c>
      <c r="Y288">
        <v>1</v>
      </c>
      <c r="Z288">
        <v>8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3">
      <c r="A289" t="s">
        <v>128</v>
      </c>
      <c r="B289" t="s">
        <v>131</v>
      </c>
      <c r="C289" t="s">
        <v>32</v>
      </c>
      <c r="D289" s="1">
        <v>178048</v>
      </c>
      <c r="E289" s="1">
        <v>146797</v>
      </c>
      <c r="F289" s="1">
        <v>5888</v>
      </c>
      <c r="G289" s="1">
        <v>6838</v>
      </c>
      <c r="H289" s="1">
        <v>1511</v>
      </c>
      <c r="I289" s="1">
        <v>11998</v>
      </c>
      <c r="J289">
        <v>199</v>
      </c>
      <c r="K289">
        <v>317</v>
      </c>
      <c r="L289">
        <v>757</v>
      </c>
      <c r="M289" s="1">
        <v>2655</v>
      </c>
      <c r="N289">
        <v>933</v>
      </c>
      <c r="O289">
        <v>0</v>
      </c>
      <c r="P289">
        <v>30</v>
      </c>
      <c r="Q289">
        <v>0</v>
      </c>
      <c r="R289">
        <v>4</v>
      </c>
      <c r="S289">
        <v>18</v>
      </c>
      <c r="T289">
        <v>10</v>
      </c>
      <c r="U289">
        <v>3</v>
      </c>
      <c r="V289">
        <v>1</v>
      </c>
      <c r="W289">
        <v>8</v>
      </c>
      <c r="X289">
        <v>17</v>
      </c>
      <c r="Y289">
        <v>8</v>
      </c>
      <c r="Z289">
        <v>51</v>
      </c>
      <c r="AA289">
        <v>2</v>
      </c>
      <c r="AB289">
        <v>0</v>
      </c>
      <c r="AC289">
        <v>0</v>
      </c>
      <c r="AD289">
        <v>2</v>
      </c>
      <c r="AE289">
        <v>0</v>
      </c>
      <c r="AF289">
        <v>0</v>
      </c>
      <c r="AG289">
        <v>1</v>
      </c>
      <c r="AH289">
        <v>0</v>
      </c>
    </row>
    <row r="290" spans="1:34" x14ac:dyDescent="0.3">
      <c r="A290" t="s">
        <v>128</v>
      </c>
      <c r="B290" t="s">
        <v>131</v>
      </c>
      <c r="C290" t="s">
        <v>33</v>
      </c>
      <c r="D290" s="1">
        <v>103480</v>
      </c>
      <c r="E290" s="1">
        <v>85262</v>
      </c>
      <c r="F290" s="1">
        <v>3647</v>
      </c>
      <c r="G290" s="1">
        <v>4271</v>
      </c>
      <c r="H290">
        <v>910</v>
      </c>
      <c r="I290" s="1">
        <v>6488</v>
      </c>
      <c r="J290">
        <v>128</v>
      </c>
      <c r="K290">
        <v>206</v>
      </c>
      <c r="L290">
        <v>475</v>
      </c>
      <c r="M290" s="1">
        <v>1432</v>
      </c>
      <c r="N290">
        <v>550</v>
      </c>
      <c r="O290">
        <v>0</v>
      </c>
      <c r="P290">
        <v>21</v>
      </c>
      <c r="Q290">
        <v>0</v>
      </c>
      <c r="R290">
        <v>4</v>
      </c>
      <c r="S290">
        <v>17</v>
      </c>
      <c r="T290">
        <v>10</v>
      </c>
      <c r="U290">
        <v>2</v>
      </c>
      <c r="V290">
        <v>1</v>
      </c>
      <c r="W290">
        <v>1</v>
      </c>
      <c r="X290">
        <v>17</v>
      </c>
      <c r="Y290">
        <v>8</v>
      </c>
      <c r="Z290">
        <v>25</v>
      </c>
      <c r="AA290">
        <v>2</v>
      </c>
      <c r="AB290">
        <v>0</v>
      </c>
      <c r="AC290">
        <v>0</v>
      </c>
      <c r="AD290">
        <v>2</v>
      </c>
      <c r="AE290">
        <v>0</v>
      </c>
      <c r="AF290">
        <v>0</v>
      </c>
      <c r="AG290">
        <v>1</v>
      </c>
      <c r="AH290">
        <v>0</v>
      </c>
    </row>
    <row r="291" spans="1:34" x14ac:dyDescent="0.3">
      <c r="A291" t="s">
        <v>128</v>
      </c>
      <c r="B291" t="s">
        <v>131</v>
      </c>
      <c r="C291" t="s">
        <v>34</v>
      </c>
      <c r="D291" s="1">
        <v>74549</v>
      </c>
      <c r="E291" s="1">
        <v>61517</v>
      </c>
      <c r="F291" s="1">
        <v>2241</v>
      </c>
      <c r="G291" s="1">
        <v>2567</v>
      </c>
      <c r="H291">
        <v>601</v>
      </c>
      <c r="I291" s="1">
        <v>5510</v>
      </c>
      <c r="J291">
        <v>71</v>
      </c>
      <c r="K291">
        <v>111</v>
      </c>
      <c r="L291">
        <v>282</v>
      </c>
      <c r="M291" s="1">
        <v>1222</v>
      </c>
      <c r="N291">
        <v>383</v>
      </c>
      <c r="O291">
        <v>0</v>
      </c>
      <c r="P291">
        <v>9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0</v>
      </c>
      <c r="W291">
        <v>7</v>
      </c>
      <c r="X291">
        <v>0</v>
      </c>
      <c r="Y291">
        <v>0</v>
      </c>
      <c r="Z291">
        <v>26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x14ac:dyDescent="0.3">
      <c r="A292" t="s">
        <v>128</v>
      </c>
      <c r="B292" t="s">
        <v>131</v>
      </c>
      <c r="C292" t="s">
        <v>35</v>
      </c>
      <c r="D292">
        <v>19</v>
      </c>
      <c r="E292">
        <v>18</v>
      </c>
      <c r="F292" s="1">
        <v>0</v>
      </c>
      <c r="G292" s="1">
        <v>0</v>
      </c>
      <c r="H292">
        <v>0</v>
      </c>
      <c r="I292" s="1">
        <v>0</v>
      </c>
      <c r="J292" s="1">
        <v>0</v>
      </c>
      <c r="K292" s="1">
        <v>0</v>
      </c>
      <c r="L292" s="1">
        <v>0</v>
      </c>
      <c r="M292">
        <v>1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</row>
    <row r="293" spans="1:34" x14ac:dyDescent="0.3">
      <c r="A293" t="s">
        <v>128</v>
      </c>
      <c r="B293" t="s">
        <v>132</v>
      </c>
      <c r="C293" t="s">
        <v>32</v>
      </c>
      <c r="D293" s="1">
        <v>175923</v>
      </c>
      <c r="E293" s="1">
        <v>133608</v>
      </c>
      <c r="F293" s="1">
        <v>8195</v>
      </c>
      <c r="G293" s="1">
        <v>8115</v>
      </c>
      <c r="H293" s="1">
        <v>2710</v>
      </c>
      <c r="I293" s="1">
        <v>14408</v>
      </c>
      <c r="J293">
        <v>311</v>
      </c>
      <c r="K293">
        <v>342</v>
      </c>
      <c r="L293" s="1">
        <v>1701</v>
      </c>
      <c r="M293" s="1">
        <v>1476</v>
      </c>
      <c r="N293" s="1">
        <v>4466</v>
      </c>
      <c r="O293">
        <v>29</v>
      </c>
      <c r="P293">
        <v>43</v>
      </c>
      <c r="Q293">
        <v>23</v>
      </c>
      <c r="R293">
        <v>26</v>
      </c>
      <c r="S293">
        <v>66</v>
      </c>
      <c r="T293">
        <v>18</v>
      </c>
      <c r="U293">
        <v>116</v>
      </c>
      <c r="V293">
        <v>15</v>
      </c>
      <c r="W293">
        <v>3</v>
      </c>
      <c r="X293">
        <v>9</v>
      </c>
      <c r="Y293">
        <v>27</v>
      </c>
      <c r="Z293">
        <v>192</v>
      </c>
      <c r="AA293">
        <v>19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4</v>
      </c>
      <c r="AH293">
        <v>0</v>
      </c>
    </row>
    <row r="294" spans="1:34" x14ac:dyDescent="0.3">
      <c r="A294" t="s">
        <v>128</v>
      </c>
      <c r="B294" t="s">
        <v>132</v>
      </c>
      <c r="C294" t="s">
        <v>33</v>
      </c>
      <c r="D294" s="1">
        <v>99123</v>
      </c>
      <c r="E294" s="1">
        <v>74281</v>
      </c>
      <c r="F294" s="1">
        <v>5184</v>
      </c>
      <c r="G294" s="1">
        <v>4897</v>
      </c>
      <c r="H294" s="1">
        <v>1528</v>
      </c>
      <c r="I294" s="1">
        <v>7913</v>
      </c>
      <c r="J294">
        <v>218</v>
      </c>
      <c r="K294">
        <v>217</v>
      </c>
      <c r="L294" s="1">
        <v>1153</v>
      </c>
      <c r="M294">
        <v>855</v>
      </c>
      <c r="N294" s="1">
        <v>2399</v>
      </c>
      <c r="O294">
        <v>29</v>
      </c>
      <c r="P294">
        <v>30</v>
      </c>
      <c r="Q294">
        <v>23</v>
      </c>
      <c r="R294">
        <v>23</v>
      </c>
      <c r="S294">
        <v>63</v>
      </c>
      <c r="T294">
        <v>18</v>
      </c>
      <c r="U294">
        <v>116</v>
      </c>
      <c r="V294">
        <v>15</v>
      </c>
      <c r="W294">
        <v>2</v>
      </c>
      <c r="X294">
        <v>8</v>
      </c>
      <c r="Y294">
        <v>27</v>
      </c>
      <c r="Z294">
        <v>100</v>
      </c>
      <c r="AA294">
        <v>19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4</v>
      </c>
      <c r="AH294">
        <v>0</v>
      </c>
    </row>
    <row r="295" spans="1:34" x14ac:dyDescent="0.3">
      <c r="A295" t="s">
        <v>128</v>
      </c>
      <c r="B295" t="s">
        <v>132</v>
      </c>
      <c r="C295" t="s">
        <v>34</v>
      </c>
      <c r="D295" s="1">
        <v>76800</v>
      </c>
      <c r="E295" s="1">
        <v>59327</v>
      </c>
      <c r="F295" s="1">
        <v>3011</v>
      </c>
      <c r="G295" s="1">
        <v>3218</v>
      </c>
      <c r="H295" s="1">
        <v>1182</v>
      </c>
      <c r="I295" s="1">
        <v>6495</v>
      </c>
      <c r="J295">
        <v>93</v>
      </c>
      <c r="K295">
        <v>125</v>
      </c>
      <c r="L295">
        <v>548</v>
      </c>
      <c r="M295">
        <v>621</v>
      </c>
      <c r="N295" s="1">
        <v>2067</v>
      </c>
      <c r="O295">
        <v>0</v>
      </c>
      <c r="P295">
        <v>13</v>
      </c>
      <c r="Q295">
        <v>0</v>
      </c>
      <c r="R295">
        <v>3</v>
      </c>
      <c r="S295">
        <v>3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0</v>
      </c>
      <c r="Z295">
        <v>92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 x14ac:dyDescent="0.3">
      <c r="A296" t="s">
        <v>128</v>
      </c>
      <c r="B296" t="s">
        <v>133</v>
      </c>
      <c r="C296" t="s">
        <v>32</v>
      </c>
      <c r="D296" s="1">
        <v>82361</v>
      </c>
      <c r="E296" s="1">
        <v>66629</v>
      </c>
      <c r="F296" s="1">
        <v>3214</v>
      </c>
      <c r="G296" s="1">
        <v>3429</v>
      </c>
      <c r="H296">
        <v>565</v>
      </c>
      <c r="I296" s="1">
        <v>5448</v>
      </c>
      <c r="J296">
        <v>55</v>
      </c>
      <c r="K296">
        <v>134</v>
      </c>
      <c r="L296" s="1">
        <v>1996</v>
      </c>
      <c r="M296">
        <v>335</v>
      </c>
      <c r="N296">
        <v>418</v>
      </c>
      <c r="O296">
        <v>6</v>
      </c>
      <c r="P296">
        <v>1</v>
      </c>
      <c r="Q296">
        <v>0</v>
      </c>
      <c r="R296">
        <v>0</v>
      </c>
      <c r="S296">
        <v>16</v>
      </c>
      <c r="T296">
        <v>3</v>
      </c>
      <c r="U296">
        <v>4</v>
      </c>
      <c r="V296">
        <v>2</v>
      </c>
      <c r="W296">
        <v>1</v>
      </c>
      <c r="X296">
        <v>26</v>
      </c>
      <c r="Y296">
        <v>74</v>
      </c>
      <c r="Z296">
        <v>2</v>
      </c>
      <c r="AA296">
        <v>1</v>
      </c>
      <c r="AB296">
        <v>0</v>
      </c>
      <c r="AC296">
        <v>0</v>
      </c>
      <c r="AD296">
        <v>0</v>
      </c>
      <c r="AE296">
        <v>2</v>
      </c>
      <c r="AF296">
        <v>0</v>
      </c>
      <c r="AG296">
        <v>0</v>
      </c>
      <c r="AH296">
        <v>0</v>
      </c>
    </row>
    <row r="297" spans="1:34" x14ac:dyDescent="0.3">
      <c r="A297" t="s">
        <v>128</v>
      </c>
      <c r="B297" t="s">
        <v>133</v>
      </c>
      <c r="C297" t="s">
        <v>33</v>
      </c>
      <c r="D297" s="1">
        <v>48010</v>
      </c>
      <c r="E297" s="1">
        <v>36208</v>
      </c>
      <c r="F297" s="1">
        <v>2329</v>
      </c>
      <c r="G297" s="1">
        <v>2178</v>
      </c>
      <c r="H297">
        <v>352</v>
      </c>
      <c r="I297" s="1">
        <v>4305</v>
      </c>
      <c r="J297">
        <v>38</v>
      </c>
      <c r="K297">
        <v>88</v>
      </c>
      <c r="L297" s="1">
        <v>1721</v>
      </c>
      <c r="M297">
        <v>304</v>
      </c>
      <c r="N297">
        <v>352</v>
      </c>
      <c r="O297">
        <v>6</v>
      </c>
      <c r="P297">
        <v>1</v>
      </c>
      <c r="Q297">
        <v>0</v>
      </c>
      <c r="R297">
        <v>0</v>
      </c>
      <c r="S297">
        <v>16</v>
      </c>
      <c r="T297">
        <v>3</v>
      </c>
      <c r="U297">
        <v>4</v>
      </c>
      <c r="V297">
        <v>2</v>
      </c>
      <c r="W297">
        <v>0</v>
      </c>
      <c r="X297">
        <v>26</v>
      </c>
      <c r="Y297">
        <v>72</v>
      </c>
      <c r="Z297">
        <v>2</v>
      </c>
      <c r="AA297">
        <v>1</v>
      </c>
      <c r="AB297">
        <v>0</v>
      </c>
      <c r="AC297">
        <v>0</v>
      </c>
      <c r="AD297">
        <v>0</v>
      </c>
      <c r="AE297">
        <v>2</v>
      </c>
      <c r="AF297">
        <v>0</v>
      </c>
      <c r="AG297">
        <v>0</v>
      </c>
      <c r="AH297">
        <v>0</v>
      </c>
    </row>
    <row r="298" spans="1:34" x14ac:dyDescent="0.3">
      <c r="A298" t="s">
        <v>128</v>
      </c>
      <c r="B298" t="s">
        <v>133</v>
      </c>
      <c r="C298" t="s">
        <v>34</v>
      </c>
      <c r="D298" s="1">
        <v>34351</v>
      </c>
      <c r="E298" s="1">
        <v>30421</v>
      </c>
      <c r="F298">
        <v>885</v>
      </c>
      <c r="G298" s="1">
        <v>1251</v>
      </c>
      <c r="H298">
        <v>213</v>
      </c>
      <c r="I298" s="1">
        <v>1143</v>
      </c>
      <c r="J298">
        <v>17</v>
      </c>
      <c r="K298">
        <v>46</v>
      </c>
      <c r="L298">
        <v>275</v>
      </c>
      <c r="M298">
        <v>31</v>
      </c>
      <c r="N298">
        <v>66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 x14ac:dyDescent="0.3">
      <c r="A299" t="s">
        <v>128</v>
      </c>
      <c r="B299" t="s">
        <v>134</v>
      </c>
      <c r="C299" t="s">
        <v>32</v>
      </c>
      <c r="D299" s="1">
        <v>63314</v>
      </c>
      <c r="E299" s="1">
        <v>50545</v>
      </c>
      <c r="F299" s="1">
        <v>7426</v>
      </c>
      <c r="G299" s="1">
        <v>1920</v>
      </c>
      <c r="H299">
        <v>525</v>
      </c>
      <c r="I299" s="1">
        <v>1273</v>
      </c>
      <c r="J299">
        <v>67</v>
      </c>
      <c r="K299">
        <v>195</v>
      </c>
      <c r="L299">
        <v>171</v>
      </c>
      <c r="M299">
        <v>153</v>
      </c>
      <c r="N299">
        <v>234</v>
      </c>
      <c r="O299">
        <v>12</v>
      </c>
      <c r="P299">
        <v>36</v>
      </c>
      <c r="Q299">
        <v>5</v>
      </c>
      <c r="R299">
        <v>21</v>
      </c>
      <c r="S299">
        <v>419</v>
      </c>
      <c r="T299">
        <v>28</v>
      </c>
      <c r="U299">
        <v>76</v>
      </c>
      <c r="V299">
        <v>1</v>
      </c>
      <c r="W299">
        <v>0</v>
      </c>
      <c r="X299">
        <v>58</v>
      </c>
      <c r="Y299">
        <v>6</v>
      </c>
      <c r="Z299">
        <v>139</v>
      </c>
      <c r="AA299">
        <v>0</v>
      </c>
      <c r="AB299">
        <v>2</v>
      </c>
      <c r="AC299">
        <v>0</v>
      </c>
      <c r="AD299">
        <v>1</v>
      </c>
      <c r="AE299">
        <v>0</v>
      </c>
      <c r="AF299">
        <v>0</v>
      </c>
      <c r="AG299">
        <v>1</v>
      </c>
      <c r="AH299">
        <v>0</v>
      </c>
    </row>
    <row r="300" spans="1:34" x14ac:dyDescent="0.3">
      <c r="A300" t="s">
        <v>128</v>
      </c>
      <c r="B300" t="s">
        <v>134</v>
      </c>
      <c r="C300" t="s">
        <v>33</v>
      </c>
      <c r="D300" s="1">
        <v>41403</v>
      </c>
      <c r="E300" s="1">
        <v>31294</v>
      </c>
      <c r="F300" s="1">
        <v>6684</v>
      </c>
      <c r="G300" s="1">
        <v>1166</v>
      </c>
      <c r="H300">
        <v>298</v>
      </c>
      <c r="I300">
        <v>709</v>
      </c>
      <c r="J300">
        <v>40</v>
      </c>
      <c r="K300">
        <v>170</v>
      </c>
      <c r="L300">
        <v>99</v>
      </c>
      <c r="M300">
        <v>93</v>
      </c>
      <c r="N300">
        <v>112</v>
      </c>
      <c r="O300">
        <v>10</v>
      </c>
      <c r="P300">
        <v>35</v>
      </c>
      <c r="Q300">
        <v>5</v>
      </c>
      <c r="R300">
        <v>21</v>
      </c>
      <c r="S300">
        <v>419</v>
      </c>
      <c r="T300">
        <v>28</v>
      </c>
      <c r="U300">
        <v>75</v>
      </c>
      <c r="V300">
        <v>1</v>
      </c>
      <c r="W300">
        <v>0</v>
      </c>
      <c r="X300">
        <v>58</v>
      </c>
      <c r="Y300">
        <v>6</v>
      </c>
      <c r="Z300">
        <v>76</v>
      </c>
      <c r="AA300">
        <v>0</v>
      </c>
      <c r="AB300">
        <v>2</v>
      </c>
      <c r="AC300">
        <v>0</v>
      </c>
      <c r="AD300">
        <v>1</v>
      </c>
      <c r="AE300">
        <v>0</v>
      </c>
      <c r="AF300">
        <v>0</v>
      </c>
      <c r="AG300">
        <v>1</v>
      </c>
      <c r="AH300">
        <v>0</v>
      </c>
    </row>
    <row r="301" spans="1:34" x14ac:dyDescent="0.3">
      <c r="A301" t="s">
        <v>128</v>
      </c>
      <c r="B301" t="s">
        <v>134</v>
      </c>
      <c r="C301" t="s">
        <v>34</v>
      </c>
      <c r="D301" s="1">
        <v>21909</v>
      </c>
      <c r="E301" s="1">
        <v>19249</v>
      </c>
      <c r="F301">
        <v>742</v>
      </c>
      <c r="G301">
        <v>754</v>
      </c>
      <c r="H301">
        <v>227</v>
      </c>
      <c r="I301">
        <v>564</v>
      </c>
      <c r="J301">
        <v>27</v>
      </c>
      <c r="K301">
        <v>25</v>
      </c>
      <c r="L301">
        <v>72</v>
      </c>
      <c r="M301">
        <v>60</v>
      </c>
      <c r="N301">
        <v>122</v>
      </c>
      <c r="O301">
        <v>2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63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 x14ac:dyDescent="0.3">
      <c r="A302" t="s">
        <v>128</v>
      </c>
      <c r="B302" t="s">
        <v>134</v>
      </c>
      <c r="C302" t="s">
        <v>35</v>
      </c>
      <c r="D302">
        <v>2</v>
      </c>
      <c r="E302">
        <v>2</v>
      </c>
      <c r="F302" s="1">
        <v>0</v>
      </c>
      <c r="G302" s="1">
        <v>0</v>
      </c>
      <c r="H302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</row>
    <row r="303" spans="1:34" x14ac:dyDescent="0.3">
      <c r="A303" t="s">
        <v>128</v>
      </c>
      <c r="B303" t="s">
        <v>135</v>
      </c>
      <c r="C303" t="s">
        <v>32</v>
      </c>
      <c r="D303" s="1">
        <v>60007</v>
      </c>
      <c r="E303" s="1">
        <v>52333</v>
      </c>
      <c r="F303" s="1">
        <v>2190</v>
      </c>
      <c r="G303" s="1">
        <v>2482</v>
      </c>
      <c r="H303">
        <v>580</v>
      </c>
      <c r="I303" s="1">
        <v>1457</v>
      </c>
      <c r="J303">
        <v>68</v>
      </c>
      <c r="K303">
        <v>124</v>
      </c>
      <c r="L303">
        <v>239</v>
      </c>
      <c r="M303">
        <v>102</v>
      </c>
      <c r="N303">
        <v>390</v>
      </c>
      <c r="O303">
        <v>2</v>
      </c>
      <c r="P303">
        <v>2</v>
      </c>
      <c r="Q303">
        <v>0</v>
      </c>
      <c r="R303">
        <v>0</v>
      </c>
      <c r="S303">
        <v>20</v>
      </c>
      <c r="T303">
        <v>0</v>
      </c>
      <c r="U303">
        <v>10</v>
      </c>
      <c r="V303">
        <v>0</v>
      </c>
      <c r="W303">
        <v>0</v>
      </c>
      <c r="X303">
        <v>0</v>
      </c>
      <c r="Y303">
        <v>0</v>
      </c>
      <c r="Z303">
        <v>3</v>
      </c>
      <c r="AA303">
        <v>4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</row>
    <row r="304" spans="1:34" x14ac:dyDescent="0.3">
      <c r="A304" t="s">
        <v>128</v>
      </c>
      <c r="B304" t="s">
        <v>135</v>
      </c>
      <c r="C304" t="s">
        <v>33</v>
      </c>
      <c r="D304" s="1">
        <v>31473</v>
      </c>
      <c r="E304" s="1">
        <v>27037</v>
      </c>
      <c r="F304" s="1">
        <v>1344</v>
      </c>
      <c r="G304" s="1">
        <v>1381</v>
      </c>
      <c r="H304">
        <v>325</v>
      </c>
      <c r="I304">
        <v>778</v>
      </c>
      <c r="J304">
        <v>39</v>
      </c>
      <c r="K304">
        <v>79</v>
      </c>
      <c r="L304">
        <v>159</v>
      </c>
      <c r="M304">
        <v>72</v>
      </c>
      <c r="N304">
        <v>220</v>
      </c>
      <c r="O304">
        <v>2</v>
      </c>
      <c r="P304">
        <v>2</v>
      </c>
      <c r="Q304">
        <v>0</v>
      </c>
      <c r="R304">
        <v>0</v>
      </c>
      <c r="S304">
        <v>20</v>
      </c>
      <c r="T304">
        <v>0</v>
      </c>
      <c r="U304">
        <v>10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3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</row>
    <row r="305" spans="1:34" x14ac:dyDescent="0.3">
      <c r="A305" t="s">
        <v>128</v>
      </c>
      <c r="B305" t="s">
        <v>135</v>
      </c>
      <c r="C305" t="s">
        <v>34</v>
      </c>
      <c r="D305" s="1">
        <v>28534</v>
      </c>
      <c r="E305" s="1">
        <v>25296</v>
      </c>
      <c r="F305">
        <v>846</v>
      </c>
      <c r="G305" s="1">
        <v>1101</v>
      </c>
      <c r="H305">
        <v>255</v>
      </c>
      <c r="I305">
        <v>679</v>
      </c>
      <c r="J305">
        <v>29</v>
      </c>
      <c r="K305">
        <v>45</v>
      </c>
      <c r="L305">
        <v>80</v>
      </c>
      <c r="M305">
        <v>30</v>
      </c>
      <c r="N305">
        <v>170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 x14ac:dyDescent="0.3">
      <c r="A306" t="s">
        <v>128</v>
      </c>
      <c r="B306" t="s">
        <v>136</v>
      </c>
      <c r="C306" t="s">
        <v>32</v>
      </c>
      <c r="D306" s="1">
        <v>54916</v>
      </c>
      <c r="E306" s="1">
        <v>47971</v>
      </c>
      <c r="F306" s="1">
        <v>2672</v>
      </c>
      <c r="G306" s="1">
        <v>1310</v>
      </c>
      <c r="H306">
        <v>333</v>
      </c>
      <c r="I306" s="1">
        <v>1268</v>
      </c>
      <c r="J306">
        <v>41</v>
      </c>
      <c r="K306">
        <v>47</v>
      </c>
      <c r="L306">
        <v>269</v>
      </c>
      <c r="M306">
        <v>162</v>
      </c>
      <c r="N306">
        <v>236</v>
      </c>
      <c r="O306">
        <v>28</v>
      </c>
      <c r="P306">
        <v>91</v>
      </c>
      <c r="Q306">
        <v>26</v>
      </c>
      <c r="R306">
        <v>17</v>
      </c>
      <c r="S306">
        <v>168</v>
      </c>
      <c r="T306">
        <v>59</v>
      </c>
      <c r="U306">
        <v>46</v>
      </c>
      <c r="V306">
        <v>34</v>
      </c>
      <c r="W306">
        <v>2</v>
      </c>
      <c r="X306">
        <v>57</v>
      </c>
      <c r="Y306">
        <v>65</v>
      </c>
      <c r="Z306">
        <v>2</v>
      </c>
      <c r="AA306">
        <v>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 x14ac:dyDescent="0.3">
      <c r="A307" t="s">
        <v>128</v>
      </c>
      <c r="B307" t="s">
        <v>136</v>
      </c>
      <c r="C307" t="s">
        <v>33</v>
      </c>
      <c r="D307" s="1">
        <v>30090</v>
      </c>
      <c r="E307" s="1">
        <v>25082</v>
      </c>
      <c r="F307" s="1">
        <v>1978</v>
      </c>
      <c r="G307">
        <v>620</v>
      </c>
      <c r="H307">
        <v>175</v>
      </c>
      <c r="I307" s="1">
        <v>1073</v>
      </c>
      <c r="J307">
        <v>18</v>
      </c>
      <c r="K307">
        <v>23</v>
      </c>
      <c r="L307">
        <v>201</v>
      </c>
      <c r="M307">
        <v>128</v>
      </c>
      <c r="N307">
        <v>195</v>
      </c>
      <c r="O307">
        <v>25</v>
      </c>
      <c r="P307">
        <v>91</v>
      </c>
      <c r="Q307">
        <v>26</v>
      </c>
      <c r="R307">
        <v>17</v>
      </c>
      <c r="S307">
        <v>166</v>
      </c>
      <c r="T307">
        <v>58</v>
      </c>
      <c r="U307">
        <v>46</v>
      </c>
      <c r="V307">
        <v>34</v>
      </c>
      <c r="W307">
        <v>0</v>
      </c>
      <c r="X307">
        <v>57</v>
      </c>
      <c r="Y307">
        <v>65</v>
      </c>
      <c r="Z307">
        <v>1</v>
      </c>
      <c r="AA307">
        <v>11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</row>
    <row r="308" spans="1:34" x14ac:dyDescent="0.3">
      <c r="A308" t="s">
        <v>128</v>
      </c>
      <c r="B308" t="s">
        <v>136</v>
      </c>
      <c r="C308" t="s">
        <v>34</v>
      </c>
      <c r="D308" s="1">
        <v>24826</v>
      </c>
      <c r="E308" s="1">
        <v>22889</v>
      </c>
      <c r="F308">
        <v>694</v>
      </c>
      <c r="G308">
        <v>690</v>
      </c>
      <c r="H308">
        <v>158</v>
      </c>
      <c r="I308">
        <v>195</v>
      </c>
      <c r="J308">
        <v>23</v>
      </c>
      <c r="K308">
        <v>24</v>
      </c>
      <c r="L308">
        <v>68</v>
      </c>
      <c r="M308">
        <v>34</v>
      </c>
      <c r="N308">
        <v>41</v>
      </c>
      <c r="O308">
        <v>3</v>
      </c>
      <c r="P308">
        <v>0</v>
      </c>
      <c r="Q308">
        <v>0</v>
      </c>
      <c r="R308">
        <v>0</v>
      </c>
      <c r="S308">
        <v>2</v>
      </c>
      <c r="T308">
        <v>1</v>
      </c>
      <c r="U308">
        <v>0</v>
      </c>
      <c r="V308">
        <v>0</v>
      </c>
      <c r="W308">
        <v>2</v>
      </c>
      <c r="X308">
        <v>0</v>
      </c>
      <c r="Y308">
        <v>0</v>
      </c>
      <c r="Z308">
        <v>1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 x14ac:dyDescent="0.3">
      <c r="A309" t="s">
        <v>128</v>
      </c>
      <c r="B309" t="s">
        <v>137</v>
      </c>
      <c r="C309" t="s">
        <v>32</v>
      </c>
      <c r="D309" s="1">
        <v>29641</v>
      </c>
      <c r="E309" s="1">
        <v>25537</v>
      </c>
      <c r="F309">
        <v>965</v>
      </c>
      <c r="G309" s="1">
        <v>1311</v>
      </c>
      <c r="H309">
        <v>199</v>
      </c>
      <c r="I309" s="1">
        <v>1203</v>
      </c>
      <c r="J309">
        <v>21</v>
      </c>
      <c r="K309">
        <v>25</v>
      </c>
      <c r="L309">
        <v>107</v>
      </c>
      <c r="M309">
        <v>128</v>
      </c>
      <c r="N309">
        <v>123</v>
      </c>
      <c r="O309">
        <v>0</v>
      </c>
      <c r="P309">
        <v>4</v>
      </c>
      <c r="Q309">
        <v>0</v>
      </c>
      <c r="R309">
        <v>0</v>
      </c>
      <c r="S309">
        <v>1</v>
      </c>
      <c r="T309">
        <v>0</v>
      </c>
      <c r="U309">
        <v>3</v>
      </c>
      <c r="V309">
        <v>0</v>
      </c>
      <c r="W309">
        <v>0</v>
      </c>
      <c r="X309">
        <v>0</v>
      </c>
      <c r="Y309">
        <v>0</v>
      </c>
      <c r="Z309">
        <v>13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</row>
    <row r="310" spans="1:34" x14ac:dyDescent="0.3">
      <c r="A310" t="s">
        <v>128</v>
      </c>
      <c r="B310" t="s">
        <v>137</v>
      </c>
      <c r="C310" t="s">
        <v>33</v>
      </c>
      <c r="D310" s="1">
        <v>15989</v>
      </c>
      <c r="E310" s="1">
        <v>13672</v>
      </c>
      <c r="F310">
        <v>551</v>
      </c>
      <c r="G310">
        <v>815</v>
      </c>
      <c r="H310">
        <v>115</v>
      </c>
      <c r="I310">
        <v>592</v>
      </c>
      <c r="J310">
        <v>17</v>
      </c>
      <c r="K310">
        <v>18</v>
      </c>
      <c r="L310">
        <v>59</v>
      </c>
      <c r="M310">
        <v>72</v>
      </c>
      <c r="N310">
        <v>65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8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</row>
    <row r="311" spans="1:34" x14ac:dyDescent="0.3">
      <c r="A311" t="s">
        <v>128</v>
      </c>
      <c r="B311" t="s">
        <v>137</v>
      </c>
      <c r="C311" t="s">
        <v>34</v>
      </c>
      <c r="D311" s="1">
        <v>13652</v>
      </c>
      <c r="E311" s="1">
        <v>11865</v>
      </c>
      <c r="F311">
        <v>414</v>
      </c>
      <c r="G311">
        <v>496</v>
      </c>
      <c r="H311">
        <v>84</v>
      </c>
      <c r="I311">
        <v>611</v>
      </c>
      <c r="J311">
        <v>4</v>
      </c>
      <c r="K311">
        <v>7</v>
      </c>
      <c r="L311">
        <v>48</v>
      </c>
      <c r="M311">
        <v>56</v>
      </c>
      <c r="N311">
        <v>58</v>
      </c>
      <c r="O311">
        <v>0</v>
      </c>
      <c r="P311">
        <v>3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5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 x14ac:dyDescent="0.3">
      <c r="A312" t="s">
        <v>128</v>
      </c>
      <c r="B312" t="s">
        <v>138</v>
      </c>
      <c r="C312" t="s">
        <v>32</v>
      </c>
      <c r="D312" s="1">
        <v>25636</v>
      </c>
      <c r="E312" s="1">
        <v>22007</v>
      </c>
      <c r="F312">
        <v>916</v>
      </c>
      <c r="G312" s="1">
        <v>1064</v>
      </c>
      <c r="H312">
        <v>163</v>
      </c>
      <c r="I312">
        <v>331</v>
      </c>
      <c r="J312">
        <v>22</v>
      </c>
      <c r="K312">
        <v>26</v>
      </c>
      <c r="L312">
        <v>510</v>
      </c>
      <c r="M312">
        <v>59</v>
      </c>
      <c r="N312">
        <v>312</v>
      </c>
      <c r="O312">
        <v>66</v>
      </c>
      <c r="P312">
        <v>82</v>
      </c>
      <c r="Q312">
        <v>1</v>
      </c>
      <c r="R312">
        <v>15</v>
      </c>
      <c r="S312">
        <v>8</v>
      </c>
      <c r="T312">
        <v>2</v>
      </c>
      <c r="U312">
        <v>0</v>
      </c>
      <c r="V312">
        <v>0</v>
      </c>
      <c r="W312">
        <v>0</v>
      </c>
      <c r="X312">
        <v>26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6</v>
      </c>
      <c r="AE312">
        <v>0</v>
      </c>
      <c r="AF312">
        <v>0</v>
      </c>
      <c r="AG312">
        <v>19</v>
      </c>
      <c r="AH312">
        <v>0</v>
      </c>
    </row>
    <row r="313" spans="1:34" x14ac:dyDescent="0.3">
      <c r="A313" t="s">
        <v>128</v>
      </c>
      <c r="B313" t="s">
        <v>138</v>
      </c>
      <c r="C313" t="s">
        <v>33</v>
      </c>
      <c r="D313" s="1">
        <v>14890</v>
      </c>
      <c r="E313" s="1">
        <v>12304</v>
      </c>
      <c r="F313">
        <v>582</v>
      </c>
      <c r="G313">
        <v>674</v>
      </c>
      <c r="H313">
        <v>103</v>
      </c>
      <c r="I313">
        <v>200</v>
      </c>
      <c r="J313">
        <v>18</v>
      </c>
      <c r="K313">
        <v>19</v>
      </c>
      <c r="L313">
        <v>476</v>
      </c>
      <c r="M313">
        <v>46</v>
      </c>
      <c r="N313">
        <v>253</v>
      </c>
      <c r="O313">
        <v>66</v>
      </c>
      <c r="P313">
        <v>79</v>
      </c>
      <c r="Q313">
        <v>1</v>
      </c>
      <c r="R313">
        <v>15</v>
      </c>
      <c r="S313">
        <v>7</v>
      </c>
      <c r="T313">
        <v>2</v>
      </c>
      <c r="U313">
        <v>0</v>
      </c>
      <c r="V313">
        <v>0</v>
      </c>
      <c r="W313">
        <v>0</v>
      </c>
      <c r="X313">
        <v>25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6</v>
      </c>
      <c r="AE313">
        <v>0</v>
      </c>
      <c r="AF313">
        <v>0</v>
      </c>
      <c r="AG313">
        <v>13</v>
      </c>
      <c r="AH313">
        <v>0</v>
      </c>
    </row>
    <row r="314" spans="1:34" x14ac:dyDescent="0.3">
      <c r="A314" t="s">
        <v>128</v>
      </c>
      <c r="B314" t="s">
        <v>138</v>
      </c>
      <c r="C314" t="s">
        <v>34</v>
      </c>
      <c r="D314" s="1">
        <v>10746</v>
      </c>
      <c r="E314" s="1">
        <v>9703</v>
      </c>
      <c r="F314">
        <v>334</v>
      </c>
      <c r="G314">
        <v>390</v>
      </c>
      <c r="H314">
        <v>60</v>
      </c>
      <c r="I314">
        <v>131</v>
      </c>
      <c r="J314">
        <v>4</v>
      </c>
      <c r="K314">
        <v>7</v>
      </c>
      <c r="L314">
        <v>34</v>
      </c>
      <c r="M314">
        <v>13</v>
      </c>
      <c r="N314">
        <v>59</v>
      </c>
      <c r="O314">
        <v>0</v>
      </c>
      <c r="P314">
        <v>3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6</v>
      </c>
      <c r="AH314">
        <v>0</v>
      </c>
    </row>
    <row r="315" spans="1:34" x14ac:dyDescent="0.3">
      <c r="A315" t="s">
        <v>128</v>
      </c>
      <c r="B315" t="s">
        <v>139</v>
      </c>
      <c r="C315" t="s">
        <v>32</v>
      </c>
      <c r="D315" s="1">
        <v>24082</v>
      </c>
      <c r="E315" s="1">
        <v>7792</v>
      </c>
      <c r="F315" s="1">
        <v>1185</v>
      </c>
      <c r="G315">
        <v>138</v>
      </c>
      <c r="H315">
        <v>169</v>
      </c>
      <c r="I315" s="1">
        <v>7462</v>
      </c>
      <c r="J315">
        <v>5</v>
      </c>
      <c r="K315">
        <v>32</v>
      </c>
      <c r="L315" s="1">
        <v>1733</v>
      </c>
      <c r="M315">
        <v>582</v>
      </c>
      <c r="N315">
        <v>809</v>
      </c>
      <c r="O315">
        <v>254</v>
      </c>
      <c r="P315">
        <v>781</v>
      </c>
      <c r="Q315">
        <v>378</v>
      </c>
      <c r="R315">
        <v>128</v>
      </c>
      <c r="S315">
        <v>560</v>
      </c>
      <c r="T315">
        <v>653</v>
      </c>
      <c r="U315">
        <v>209</v>
      </c>
      <c r="V315">
        <v>296</v>
      </c>
      <c r="W315">
        <v>0</v>
      </c>
      <c r="X315">
        <v>424</v>
      </c>
      <c r="Y315">
        <v>191</v>
      </c>
      <c r="Z315">
        <v>3</v>
      </c>
      <c r="AA315">
        <v>35</v>
      </c>
      <c r="AB315">
        <v>138</v>
      </c>
      <c r="AC315">
        <v>0</v>
      </c>
      <c r="AD315">
        <v>115</v>
      </c>
      <c r="AE315">
        <v>3</v>
      </c>
      <c r="AF315">
        <v>7</v>
      </c>
      <c r="AG315">
        <v>0</v>
      </c>
      <c r="AH315">
        <v>0</v>
      </c>
    </row>
    <row r="316" spans="1:34" x14ac:dyDescent="0.3">
      <c r="A316" t="s">
        <v>128</v>
      </c>
      <c r="B316" t="s">
        <v>139</v>
      </c>
      <c r="C316" t="s">
        <v>33</v>
      </c>
      <c r="D316" s="1">
        <v>19864</v>
      </c>
      <c r="E316" s="1">
        <v>4076</v>
      </c>
      <c r="F316" s="1">
        <v>1055</v>
      </c>
      <c r="G316">
        <v>56</v>
      </c>
      <c r="H316">
        <v>68</v>
      </c>
      <c r="I316" s="1">
        <v>7396</v>
      </c>
      <c r="J316">
        <v>1</v>
      </c>
      <c r="K316">
        <v>27</v>
      </c>
      <c r="L316" s="1">
        <v>1646</v>
      </c>
      <c r="M316">
        <v>573</v>
      </c>
      <c r="N316">
        <v>794</v>
      </c>
      <c r="O316">
        <v>254</v>
      </c>
      <c r="P316">
        <v>781</v>
      </c>
      <c r="Q316">
        <v>378</v>
      </c>
      <c r="R316">
        <v>128</v>
      </c>
      <c r="S316">
        <v>558</v>
      </c>
      <c r="T316">
        <v>652</v>
      </c>
      <c r="U316">
        <v>209</v>
      </c>
      <c r="V316">
        <v>296</v>
      </c>
      <c r="W316">
        <v>0</v>
      </c>
      <c r="X316">
        <v>424</v>
      </c>
      <c r="Y316">
        <v>191</v>
      </c>
      <c r="Z316">
        <v>3</v>
      </c>
      <c r="AA316">
        <v>35</v>
      </c>
      <c r="AB316">
        <v>138</v>
      </c>
      <c r="AC316">
        <v>0</v>
      </c>
      <c r="AD316">
        <v>115</v>
      </c>
      <c r="AE316">
        <v>3</v>
      </c>
      <c r="AF316">
        <v>7</v>
      </c>
      <c r="AG316">
        <v>0</v>
      </c>
      <c r="AH316">
        <v>0</v>
      </c>
    </row>
    <row r="317" spans="1:34" x14ac:dyDescent="0.3">
      <c r="A317" t="s">
        <v>128</v>
      </c>
      <c r="B317" t="s">
        <v>139</v>
      </c>
      <c r="C317" t="s">
        <v>34</v>
      </c>
      <c r="D317" s="1">
        <v>4218</v>
      </c>
      <c r="E317" s="1">
        <v>3716</v>
      </c>
      <c r="F317">
        <v>130</v>
      </c>
      <c r="G317">
        <v>82</v>
      </c>
      <c r="H317">
        <v>101</v>
      </c>
      <c r="I317">
        <v>66</v>
      </c>
      <c r="J317">
        <v>4</v>
      </c>
      <c r="K317">
        <v>5</v>
      </c>
      <c r="L317">
        <v>87</v>
      </c>
      <c r="M317">
        <v>9</v>
      </c>
      <c r="N317">
        <v>15</v>
      </c>
      <c r="O317">
        <v>0</v>
      </c>
      <c r="P317">
        <v>0</v>
      </c>
      <c r="Q317">
        <v>0</v>
      </c>
      <c r="R317">
        <v>0</v>
      </c>
      <c r="S317">
        <v>2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 x14ac:dyDescent="0.3">
      <c r="A318" t="s">
        <v>128</v>
      </c>
      <c r="B318" t="s">
        <v>140</v>
      </c>
      <c r="C318" t="s">
        <v>32</v>
      </c>
      <c r="D318" s="1">
        <v>21744</v>
      </c>
      <c r="E318" s="1">
        <v>19005</v>
      </c>
      <c r="F318">
        <v>866</v>
      </c>
      <c r="G318">
        <v>878</v>
      </c>
      <c r="H318">
        <v>133</v>
      </c>
      <c r="I318">
        <v>499</v>
      </c>
      <c r="J318">
        <v>11</v>
      </c>
      <c r="K318">
        <v>21</v>
      </c>
      <c r="L318">
        <v>84</v>
      </c>
      <c r="M318">
        <v>66</v>
      </c>
      <c r="N318">
        <v>74</v>
      </c>
      <c r="O318">
        <v>2</v>
      </c>
      <c r="P318">
        <v>13</v>
      </c>
      <c r="Q318">
        <v>0</v>
      </c>
      <c r="R318">
        <v>0</v>
      </c>
      <c r="S318">
        <v>6</v>
      </c>
      <c r="T318">
        <v>0</v>
      </c>
      <c r="U318">
        <v>16</v>
      </c>
      <c r="V318">
        <v>0</v>
      </c>
      <c r="W318">
        <v>0</v>
      </c>
      <c r="X318">
        <v>23</v>
      </c>
      <c r="Y318">
        <v>0</v>
      </c>
      <c r="Z318">
        <v>45</v>
      </c>
      <c r="AA318">
        <v>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 x14ac:dyDescent="0.3">
      <c r="A319" t="s">
        <v>128</v>
      </c>
      <c r="B319" t="s">
        <v>140</v>
      </c>
      <c r="C319" t="s">
        <v>33</v>
      </c>
      <c r="D319" s="1">
        <v>11978</v>
      </c>
      <c r="E319" s="1">
        <v>10256</v>
      </c>
      <c r="F319">
        <v>619</v>
      </c>
      <c r="G319">
        <v>557</v>
      </c>
      <c r="H319">
        <v>84</v>
      </c>
      <c r="I319">
        <v>251</v>
      </c>
      <c r="J319">
        <v>5</v>
      </c>
      <c r="K319">
        <v>18</v>
      </c>
      <c r="L319">
        <v>39</v>
      </c>
      <c r="M319">
        <v>38</v>
      </c>
      <c r="N319">
        <v>37</v>
      </c>
      <c r="O319">
        <v>2</v>
      </c>
      <c r="P319">
        <v>11</v>
      </c>
      <c r="Q319">
        <v>0</v>
      </c>
      <c r="R319">
        <v>0</v>
      </c>
      <c r="S319">
        <v>5</v>
      </c>
      <c r="T319">
        <v>0</v>
      </c>
      <c r="U319">
        <v>12</v>
      </c>
      <c r="V319">
        <v>0</v>
      </c>
      <c r="W319">
        <v>0</v>
      </c>
      <c r="X319">
        <v>23</v>
      </c>
      <c r="Y319">
        <v>0</v>
      </c>
      <c r="Z319">
        <v>19</v>
      </c>
      <c r="AA319">
        <v>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 x14ac:dyDescent="0.3">
      <c r="A320" t="s">
        <v>128</v>
      </c>
      <c r="B320" t="s">
        <v>140</v>
      </c>
      <c r="C320" t="s">
        <v>34</v>
      </c>
      <c r="D320" s="1">
        <v>9766</v>
      </c>
      <c r="E320" s="1">
        <v>8749</v>
      </c>
      <c r="F320">
        <v>247</v>
      </c>
      <c r="G320">
        <v>321</v>
      </c>
      <c r="H320">
        <v>49</v>
      </c>
      <c r="I320">
        <v>248</v>
      </c>
      <c r="J320">
        <v>6</v>
      </c>
      <c r="K320">
        <v>3</v>
      </c>
      <c r="L320">
        <v>45</v>
      </c>
      <c r="M320">
        <v>28</v>
      </c>
      <c r="N320">
        <v>37</v>
      </c>
      <c r="O320">
        <v>0</v>
      </c>
      <c r="P320">
        <v>2</v>
      </c>
      <c r="Q320">
        <v>0</v>
      </c>
      <c r="R320">
        <v>0</v>
      </c>
      <c r="S320">
        <v>1</v>
      </c>
      <c r="T320">
        <v>0</v>
      </c>
      <c r="U320">
        <v>4</v>
      </c>
      <c r="V320">
        <v>0</v>
      </c>
      <c r="W320">
        <v>0</v>
      </c>
      <c r="X320">
        <v>0</v>
      </c>
      <c r="Y320">
        <v>0</v>
      </c>
      <c r="Z320">
        <v>26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1:34" x14ac:dyDescent="0.3">
      <c r="A321" t="s">
        <v>128</v>
      </c>
      <c r="B321" t="s">
        <v>141</v>
      </c>
      <c r="C321" t="s">
        <v>32</v>
      </c>
      <c r="D321" s="1">
        <v>19038</v>
      </c>
      <c r="E321" s="1">
        <v>12044</v>
      </c>
      <c r="F321">
        <v>914</v>
      </c>
      <c r="G321">
        <v>447</v>
      </c>
      <c r="H321">
        <v>121</v>
      </c>
      <c r="I321" s="1">
        <v>3099</v>
      </c>
      <c r="J321">
        <v>14</v>
      </c>
      <c r="K321">
        <v>23</v>
      </c>
      <c r="L321">
        <v>681</v>
      </c>
      <c r="M321">
        <v>334</v>
      </c>
      <c r="N321">
        <v>509</v>
      </c>
      <c r="O321">
        <v>53</v>
      </c>
      <c r="P321">
        <v>151</v>
      </c>
      <c r="Q321">
        <v>10</v>
      </c>
      <c r="R321">
        <v>17</v>
      </c>
      <c r="S321">
        <v>238</v>
      </c>
      <c r="T321">
        <v>96</v>
      </c>
      <c r="U321">
        <v>60</v>
      </c>
      <c r="V321">
        <v>41</v>
      </c>
      <c r="W321">
        <v>0</v>
      </c>
      <c r="X321">
        <v>27</v>
      </c>
      <c r="Y321">
        <v>73</v>
      </c>
      <c r="Z321">
        <v>8</v>
      </c>
      <c r="AA321">
        <v>26</v>
      </c>
      <c r="AB321">
        <v>20</v>
      </c>
      <c r="AC321">
        <v>0</v>
      </c>
      <c r="AD321">
        <v>15</v>
      </c>
      <c r="AE321">
        <v>0</v>
      </c>
      <c r="AF321">
        <v>15</v>
      </c>
      <c r="AG321">
        <v>2</v>
      </c>
      <c r="AH321">
        <v>0</v>
      </c>
    </row>
    <row r="322" spans="1:34" x14ac:dyDescent="0.3">
      <c r="A322" t="s">
        <v>128</v>
      </c>
      <c r="B322" t="s">
        <v>141</v>
      </c>
      <c r="C322" t="s">
        <v>33</v>
      </c>
      <c r="D322" s="1">
        <v>11668</v>
      </c>
      <c r="E322" s="1">
        <v>5703</v>
      </c>
      <c r="F322">
        <v>648</v>
      </c>
      <c r="G322">
        <v>214</v>
      </c>
      <c r="H322">
        <v>64</v>
      </c>
      <c r="I322" s="1">
        <v>2781</v>
      </c>
      <c r="J322">
        <v>5</v>
      </c>
      <c r="K322">
        <v>18</v>
      </c>
      <c r="L322">
        <v>632</v>
      </c>
      <c r="M322">
        <v>325</v>
      </c>
      <c r="N322">
        <v>427</v>
      </c>
      <c r="O322">
        <v>53</v>
      </c>
      <c r="P322">
        <v>151</v>
      </c>
      <c r="Q322">
        <v>10</v>
      </c>
      <c r="R322">
        <v>17</v>
      </c>
      <c r="S322">
        <v>238</v>
      </c>
      <c r="T322">
        <v>96</v>
      </c>
      <c r="U322">
        <v>59</v>
      </c>
      <c r="V322">
        <v>41</v>
      </c>
      <c r="W322">
        <v>0</v>
      </c>
      <c r="X322">
        <v>27</v>
      </c>
      <c r="Y322">
        <v>73</v>
      </c>
      <c r="Z322">
        <v>8</v>
      </c>
      <c r="AA322">
        <v>26</v>
      </c>
      <c r="AB322">
        <v>20</v>
      </c>
      <c r="AC322">
        <v>0</v>
      </c>
      <c r="AD322">
        <v>15</v>
      </c>
      <c r="AE322">
        <v>0</v>
      </c>
      <c r="AF322">
        <v>15</v>
      </c>
      <c r="AG322">
        <v>2</v>
      </c>
      <c r="AH322">
        <v>0</v>
      </c>
    </row>
    <row r="323" spans="1:34" x14ac:dyDescent="0.3">
      <c r="A323" t="s">
        <v>128</v>
      </c>
      <c r="B323" t="s">
        <v>141</v>
      </c>
      <c r="C323" t="s">
        <v>34</v>
      </c>
      <c r="D323" s="1">
        <v>7370</v>
      </c>
      <c r="E323" s="1">
        <v>6341</v>
      </c>
      <c r="F323">
        <v>266</v>
      </c>
      <c r="G323">
        <v>233</v>
      </c>
      <c r="H323">
        <v>57</v>
      </c>
      <c r="I323">
        <v>318</v>
      </c>
      <c r="J323">
        <v>9</v>
      </c>
      <c r="K323">
        <v>5</v>
      </c>
      <c r="L323">
        <v>49</v>
      </c>
      <c r="M323">
        <v>9</v>
      </c>
      <c r="N323">
        <v>82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 x14ac:dyDescent="0.3">
      <c r="A324" t="s">
        <v>128</v>
      </c>
      <c r="B324" t="s">
        <v>142</v>
      </c>
      <c r="C324" t="s">
        <v>32</v>
      </c>
      <c r="D324" s="1">
        <v>18161</v>
      </c>
      <c r="E324" s="1">
        <v>15329</v>
      </c>
      <c r="F324">
        <v>845</v>
      </c>
      <c r="G324">
        <v>818</v>
      </c>
      <c r="H324">
        <v>135</v>
      </c>
      <c r="I324">
        <v>708</v>
      </c>
      <c r="J324">
        <v>24</v>
      </c>
      <c r="K324">
        <v>22</v>
      </c>
      <c r="L324">
        <v>27</v>
      </c>
      <c r="M324">
        <v>75</v>
      </c>
      <c r="N324">
        <v>94</v>
      </c>
      <c r="O324">
        <v>3</v>
      </c>
      <c r="P324">
        <v>8</v>
      </c>
      <c r="Q324">
        <v>0</v>
      </c>
      <c r="R324">
        <v>2</v>
      </c>
      <c r="S324">
        <v>17</v>
      </c>
      <c r="T324">
        <v>27</v>
      </c>
      <c r="U324">
        <v>18</v>
      </c>
      <c r="V324">
        <v>0</v>
      </c>
      <c r="W324">
        <v>0</v>
      </c>
      <c r="X324">
        <v>3</v>
      </c>
      <c r="Y324">
        <v>4</v>
      </c>
      <c r="Z324">
        <v>0</v>
      </c>
      <c r="AA324">
        <v>0</v>
      </c>
      <c r="AB324">
        <v>0</v>
      </c>
      <c r="AC324">
        <v>0</v>
      </c>
      <c r="AD324">
        <v>2</v>
      </c>
      <c r="AE324">
        <v>0</v>
      </c>
      <c r="AF324">
        <v>0</v>
      </c>
      <c r="AG324">
        <v>0</v>
      </c>
      <c r="AH324">
        <v>0</v>
      </c>
    </row>
    <row r="325" spans="1:34" x14ac:dyDescent="0.3">
      <c r="A325" t="s">
        <v>128</v>
      </c>
      <c r="B325" t="s">
        <v>142</v>
      </c>
      <c r="C325" t="s">
        <v>33</v>
      </c>
      <c r="D325" s="1">
        <v>10521</v>
      </c>
      <c r="E325" s="1">
        <v>8580</v>
      </c>
      <c r="F325">
        <v>599</v>
      </c>
      <c r="G325">
        <v>526</v>
      </c>
      <c r="H325">
        <v>92</v>
      </c>
      <c r="I325">
        <v>485</v>
      </c>
      <c r="J325">
        <v>14</v>
      </c>
      <c r="K325">
        <v>16</v>
      </c>
      <c r="L325">
        <v>18</v>
      </c>
      <c r="M325">
        <v>55</v>
      </c>
      <c r="N325">
        <v>54</v>
      </c>
      <c r="O325">
        <v>2</v>
      </c>
      <c r="P325">
        <v>8</v>
      </c>
      <c r="Q325">
        <v>0</v>
      </c>
      <c r="R325">
        <v>2</v>
      </c>
      <c r="S325">
        <v>16</v>
      </c>
      <c r="T325">
        <v>27</v>
      </c>
      <c r="U325">
        <v>18</v>
      </c>
      <c r="V325">
        <v>0</v>
      </c>
      <c r="W325">
        <v>0</v>
      </c>
      <c r="X325">
        <v>3</v>
      </c>
      <c r="Y325">
        <v>4</v>
      </c>
      <c r="Z325">
        <v>0</v>
      </c>
      <c r="AA325">
        <v>0</v>
      </c>
      <c r="AB325">
        <v>0</v>
      </c>
      <c r="AC325">
        <v>0</v>
      </c>
      <c r="AD325">
        <v>2</v>
      </c>
      <c r="AE325">
        <v>0</v>
      </c>
      <c r="AF325">
        <v>0</v>
      </c>
      <c r="AG325">
        <v>0</v>
      </c>
      <c r="AH325">
        <v>0</v>
      </c>
    </row>
    <row r="326" spans="1:34" x14ac:dyDescent="0.3">
      <c r="A326" t="s">
        <v>128</v>
      </c>
      <c r="B326" t="s">
        <v>142</v>
      </c>
      <c r="C326" t="s">
        <v>34</v>
      </c>
      <c r="D326" s="1">
        <v>7640</v>
      </c>
      <c r="E326" s="1">
        <v>6749</v>
      </c>
      <c r="F326">
        <v>246</v>
      </c>
      <c r="G326">
        <v>292</v>
      </c>
      <c r="H326">
        <v>43</v>
      </c>
      <c r="I326">
        <v>223</v>
      </c>
      <c r="J326">
        <v>10</v>
      </c>
      <c r="K326">
        <v>6</v>
      </c>
      <c r="L326">
        <v>9</v>
      </c>
      <c r="M326">
        <v>20</v>
      </c>
      <c r="N326">
        <v>40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 x14ac:dyDescent="0.3">
      <c r="A327" t="s">
        <v>128</v>
      </c>
      <c r="B327" t="s">
        <v>143</v>
      </c>
      <c r="C327" t="s">
        <v>32</v>
      </c>
      <c r="D327" s="1">
        <v>17664</v>
      </c>
      <c r="E327" s="1">
        <v>14742</v>
      </c>
      <c r="F327">
        <v>743</v>
      </c>
      <c r="G327">
        <v>671</v>
      </c>
      <c r="H327">
        <v>316</v>
      </c>
      <c r="I327">
        <v>693</v>
      </c>
      <c r="J327">
        <v>15</v>
      </c>
      <c r="K327">
        <v>33</v>
      </c>
      <c r="L327">
        <v>150</v>
      </c>
      <c r="M327">
        <v>61</v>
      </c>
      <c r="N327">
        <v>192</v>
      </c>
      <c r="O327">
        <v>0</v>
      </c>
      <c r="P327">
        <v>5</v>
      </c>
      <c r="Q327">
        <v>0</v>
      </c>
      <c r="R327">
        <v>0</v>
      </c>
      <c r="S327">
        <v>3</v>
      </c>
      <c r="T327">
        <v>1</v>
      </c>
      <c r="U327">
        <v>10</v>
      </c>
      <c r="V327">
        <v>0</v>
      </c>
      <c r="W327">
        <v>0</v>
      </c>
      <c r="X327">
        <v>0</v>
      </c>
      <c r="Y327">
        <v>5</v>
      </c>
      <c r="Z327">
        <v>22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</v>
      </c>
      <c r="AH327">
        <v>0</v>
      </c>
    </row>
    <row r="328" spans="1:34" x14ac:dyDescent="0.3">
      <c r="A328" t="s">
        <v>128</v>
      </c>
      <c r="B328" t="s">
        <v>143</v>
      </c>
      <c r="C328" t="s">
        <v>33</v>
      </c>
      <c r="D328" s="1">
        <v>9210</v>
      </c>
      <c r="E328" s="1">
        <v>7451</v>
      </c>
      <c r="F328">
        <v>397</v>
      </c>
      <c r="G328">
        <v>383</v>
      </c>
      <c r="H328">
        <v>184</v>
      </c>
      <c r="I328">
        <v>457</v>
      </c>
      <c r="J328">
        <v>6</v>
      </c>
      <c r="K328">
        <v>22</v>
      </c>
      <c r="L328">
        <v>119</v>
      </c>
      <c r="M328">
        <v>46</v>
      </c>
      <c r="N328">
        <v>110</v>
      </c>
      <c r="O328">
        <v>0</v>
      </c>
      <c r="P328">
        <v>5</v>
      </c>
      <c r="Q328">
        <v>0</v>
      </c>
      <c r="R328">
        <v>0</v>
      </c>
      <c r="S328">
        <v>3</v>
      </c>
      <c r="T328">
        <v>1</v>
      </c>
      <c r="U328">
        <v>10</v>
      </c>
      <c r="V328">
        <v>0</v>
      </c>
      <c r="W328">
        <v>0</v>
      </c>
      <c r="X328">
        <v>0</v>
      </c>
      <c r="Y328">
        <v>4</v>
      </c>
      <c r="Z328">
        <v>10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</v>
      </c>
      <c r="AH328">
        <v>0</v>
      </c>
    </row>
    <row r="329" spans="1:34" x14ac:dyDescent="0.3">
      <c r="A329" t="s">
        <v>128</v>
      </c>
      <c r="B329" t="s">
        <v>143</v>
      </c>
      <c r="C329" t="s">
        <v>34</v>
      </c>
      <c r="D329" s="1">
        <v>8454</v>
      </c>
      <c r="E329" s="1">
        <v>7291</v>
      </c>
      <c r="F329">
        <v>346</v>
      </c>
      <c r="G329">
        <v>288</v>
      </c>
      <c r="H329">
        <v>132</v>
      </c>
      <c r="I329">
        <v>236</v>
      </c>
      <c r="J329">
        <v>9</v>
      </c>
      <c r="K329">
        <v>11</v>
      </c>
      <c r="L329">
        <v>31</v>
      </c>
      <c r="M329">
        <v>15</v>
      </c>
      <c r="N329">
        <v>82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 x14ac:dyDescent="0.3">
      <c r="A330" t="s">
        <v>128</v>
      </c>
      <c r="B330" t="s">
        <v>144</v>
      </c>
      <c r="C330" t="s">
        <v>32</v>
      </c>
      <c r="D330" s="1">
        <v>17415</v>
      </c>
      <c r="E330" s="1">
        <v>14562</v>
      </c>
      <c r="F330">
        <v>587</v>
      </c>
      <c r="G330" s="1">
        <v>1012</v>
      </c>
      <c r="H330">
        <v>152</v>
      </c>
      <c r="I330">
        <v>730</v>
      </c>
      <c r="J330">
        <v>16</v>
      </c>
      <c r="K330">
        <v>19</v>
      </c>
      <c r="L330">
        <v>76</v>
      </c>
      <c r="M330">
        <v>140</v>
      </c>
      <c r="N330">
        <v>100</v>
      </c>
      <c r="O330">
        <v>1</v>
      </c>
      <c r="P330">
        <v>7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2</v>
      </c>
      <c r="W330">
        <v>0</v>
      </c>
      <c r="X330">
        <v>0</v>
      </c>
      <c r="Y330">
        <v>0</v>
      </c>
      <c r="Z330">
        <v>9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 x14ac:dyDescent="0.3">
      <c r="A331" t="s">
        <v>128</v>
      </c>
      <c r="B331" t="s">
        <v>144</v>
      </c>
      <c r="C331" t="s">
        <v>33</v>
      </c>
      <c r="D331" s="1">
        <v>10125</v>
      </c>
      <c r="E331" s="1">
        <v>8428</v>
      </c>
      <c r="F331">
        <v>355</v>
      </c>
      <c r="G331">
        <v>609</v>
      </c>
      <c r="H331">
        <v>88</v>
      </c>
      <c r="I331">
        <v>428</v>
      </c>
      <c r="J331">
        <v>8</v>
      </c>
      <c r="K331">
        <v>15</v>
      </c>
      <c r="L331">
        <v>37</v>
      </c>
      <c r="M331">
        <v>84</v>
      </c>
      <c r="N331">
        <v>57</v>
      </c>
      <c r="O331">
        <v>1</v>
      </c>
      <c r="P331">
        <v>6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2</v>
      </c>
      <c r="W331">
        <v>0</v>
      </c>
      <c r="X331">
        <v>0</v>
      </c>
      <c r="Y331">
        <v>0</v>
      </c>
      <c r="Z331">
        <v>6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</row>
    <row r="332" spans="1:34" x14ac:dyDescent="0.3">
      <c r="A332" t="s">
        <v>128</v>
      </c>
      <c r="B332" t="s">
        <v>144</v>
      </c>
      <c r="C332" t="s">
        <v>34</v>
      </c>
      <c r="D332" s="1">
        <v>7290</v>
      </c>
      <c r="E332" s="1">
        <v>6134</v>
      </c>
      <c r="F332">
        <v>232</v>
      </c>
      <c r="G332">
        <v>403</v>
      </c>
      <c r="H332">
        <v>64</v>
      </c>
      <c r="I332">
        <v>302</v>
      </c>
      <c r="J332">
        <v>8</v>
      </c>
      <c r="K332">
        <v>4</v>
      </c>
      <c r="L332">
        <v>39</v>
      </c>
      <c r="M332">
        <v>56</v>
      </c>
      <c r="N332">
        <v>43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 x14ac:dyDescent="0.3">
      <c r="A333" t="s">
        <v>128</v>
      </c>
      <c r="B333" t="s">
        <v>145</v>
      </c>
      <c r="C333" t="s">
        <v>32</v>
      </c>
      <c r="D333" s="1">
        <v>15906</v>
      </c>
      <c r="E333" s="1">
        <v>14700</v>
      </c>
      <c r="F333">
        <v>389</v>
      </c>
      <c r="G333">
        <v>446</v>
      </c>
      <c r="H333">
        <v>85</v>
      </c>
      <c r="I333">
        <v>156</v>
      </c>
      <c r="J333">
        <v>12</v>
      </c>
      <c r="K333">
        <v>14</v>
      </c>
      <c r="L333">
        <v>50</v>
      </c>
      <c r="M333">
        <v>22</v>
      </c>
      <c r="N333">
        <v>23</v>
      </c>
      <c r="O333">
        <v>0</v>
      </c>
      <c r="P333">
        <v>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3">
      <c r="A334" t="s">
        <v>128</v>
      </c>
      <c r="B334" t="s">
        <v>145</v>
      </c>
      <c r="C334" t="s">
        <v>33</v>
      </c>
      <c r="D334" s="1">
        <v>9778</v>
      </c>
      <c r="E334" s="1">
        <v>9075</v>
      </c>
      <c r="F334">
        <v>241</v>
      </c>
      <c r="G334">
        <v>240</v>
      </c>
      <c r="H334">
        <v>48</v>
      </c>
      <c r="I334">
        <v>83</v>
      </c>
      <c r="J334">
        <v>7</v>
      </c>
      <c r="K334">
        <v>9</v>
      </c>
      <c r="L334">
        <v>37</v>
      </c>
      <c r="M334">
        <v>14</v>
      </c>
      <c r="N334">
        <v>15</v>
      </c>
      <c r="O334">
        <v>0</v>
      </c>
      <c r="P334">
        <v>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3">
      <c r="A335" t="s">
        <v>128</v>
      </c>
      <c r="B335" t="s">
        <v>145</v>
      </c>
      <c r="C335" t="s">
        <v>34</v>
      </c>
      <c r="D335" s="1">
        <v>6128</v>
      </c>
      <c r="E335" s="1">
        <v>5625</v>
      </c>
      <c r="F335">
        <v>148</v>
      </c>
      <c r="G335">
        <v>206</v>
      </c>
      <c r="H335">
        <v>37</v>
      </c>
      <c r="I335">
        <v>73</v>
      </c>
      <c r="J335">
        <v>5</v>
      </c>
      <c r="K335">
        <v>5</v>
      </c>
      <c r="L335">
        <v>13</v>
      </c>
      <c r="M335">
        <v>8</v>
      </c>
      <c r="N335">
        <v>8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3">
      <c r="A336" t="s">
        <v>128</v>
      </c>
      <c r="B336" t="s">
        <v>146</v>
      </c>
      <c r="C336" t="s">
        <v>32</v>
      </c>
      <c r="D336" s="1">
        <v>15338</v>
      </c>
      <c r="E336" s="1">
        <v>12665</v>
      </c>
      <c r="F336">
        <v>586</v>
      </c>
      <c r="G336">
        <v>744</v>
      </c>
      <c r="H336">
        <v>231</v>
      </c>
      <c r="I336">
        <v>648</v>
      </c>
      <c r="J336">
        <v>34</v>
      </c>
      <c r="K336">
        <v>29</v>
      </c>
      <c r="L336">
        <v>137</v>
      </c>
      <c r="M336">
        <v>70</v>
      </c>
      <c r="N336">
        <v>148</v>
      </c>
      <c r="O336">
        <v>8</v>
      </c>
      <c r="P336">
        <v>0</v>
      </c>
      <c r="Q336">
        <v>0</v>
      </c>
      <c r="R336">
        <v>0</v>
      </c>
      <c r="S336">
        <v>14</v>
      </c>
      <c r="T336">
        <v>0</v>
      </c>
      <c r="U336">
        <v>4</v>
      </c>
      <c r="V336">
        <v>0</v>
      </c>
      <c r="W336">
        <v>0</v>
      </c>
      <c r="X336">
        <v>0</v>
      </c>
      <c r="Y336">
        <v>4</v>
      </c>
      <c r="Z336">
        <v>14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</v>
      </c>
      <c r="AH336">
        <v>0</v>
      </c>
    </row>
    <row r="337" spans="1:34" x14ac:dyDescent="0.3">
      <c r="A337" t="s">
        <v>128</v>
      </c>
      <c r="B337" t="s">
        <v>146</v>
      </c>
      <c r="C337" t="s">
        <v>33</v>
      </c>
      <c r="D337" s="1">
        <v>8826</v>
      </c>
      <c r="E337" s="1">
        <v>7232</v>
      </c>
      <c r="F337">
        <v>375</v>
      </c>
      <c r="G337">
        <v>446</v>
      </c>
      <c r="H337">
        <v>142</v>
      </c>
      <c r="I337">
        <v>366</v>
      </c>
      <c r="J337">
        <v>16</v>
      </c>
      <c r="K337">
        <v>22</v>
      </c>
      <c r="L337">
        <v>69</v>
      </c>
      <c r="M337">
        <v>44</v>
      </c>
      <c r="N337">
        <v>79</v>
      </c>
      <c r="O337">
        <v>8</v>
      </c>
      <c r="P337">
        <v>0</v>
      </c>
      <c r="Q337">
        <v>0</v>
      </c>
      <c r="R337">
        <v>0</v>
      </c>
      <c r="S337">
        <v>13</v>
      </c>
      <c r="T337">
        <v>0</v>
      </c>
      <c r="U337">
        <v>4</v>
      </c>
      <c r="V337">
        <v>0</v>
      </c>
      <c r="W337">
        <v>0</v>
      </c>
      <c r="X337">
        <v>0</v>
      </c>
      <c r="Y337">
        <v>4</v>
      </c>
      <c r="Z337">
        <v>6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3">
      <c r="A338" t="s">
        <v>128</v>
      </c>
      <c r="B338" t="s">
        <v>146</v>
      </c>
      <c r="C338" t="s">
        <v>34</v>
      </c>
      <c r="D338" s="1">
        <v>6512</v>
      </c>
      <c r="E338" s="1">
        <v>5433</v>
      </c>
      <c r="F338">
        <v>211</v>
      </c>
      <c r="G338">
        <v>298</v>
      </c>
      <c r="H338">
        <v>89</v>
      </c>
      <c r="I338">
        <v>282</v>
      </c>
      <c r="J338">
        <v>18</v>
      </c>
      <c r="K338">
        <v>7</v>
      </c>
      <c r="L338">
        <v>68</v>
      </c>
      <c r="M338">
        <v>26</v>
      </c>
      <c r="N338">
        <v>69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8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</v>
      </c>
      <c r="AH338">
        <v>0</v>
      </c>
    </row>
    <row r="339" spans="1:34" x14ac:dyDescent="0.3">
      <c r="A339" t="s">
        <v>128</v>
      </c>
      <c r="B339" t="s">
        <v>147</v>
      </c>
      <c r="C339" t="s">
        <v>32</v>
      </c>
      <c r="D339" s="1">
        <v>15042</v>
      </c>
      <c r="E339" s="1">
        <v>12293</v>
      </c>
      <c r="F339" s="1">
        <v>1248</v>
      </c>
      <c r="G339">
        <v>681</v>
      </c>
      <c r="H339">
        <v>103</v>
      </c>
      <c r="I339">
        <v>273</v>
      </c>
      <c r="J339">
        <v>23</v>
      </c>
      <c r="K339">
        <v>10</v>
      </c>
      <c r="L339">
        <v>37</v>
      </c>
      <c r="M339">
        <v>43</v>
      </c>
      <c r="N339">
        <v>140</v>
      </c>
      <c r="O339">
        <v>3</v>
      </c>
      <c r="P339">
        <v>132</v>
      </c>
      <c r="Q339">
        <v>8</v>
      </c>
      <c r="R339">
        <v>2</v>
      </c>
      <c r="S339">
        <v>27</v>
      </c>
      <c r="T339">
        <v>2</v>
      </c>
      <c r="U339">
        <v>3</v>
      </c>
      <c r="V339">
        <v>1</v>
      </c>
      <c r="W339">
        <v>0</v>
      </c>
      <c r="X339">
        <v>2</v>
      </c>
      <c r="Y339">
        <v>3</v>
      </c>
      <c r="Z339">
        <v>5</v>
      </c>
      <c r="AA339">
        <v>3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3">
      <c r="A340" t="s">
        <v>128</v>
      </c>
      <c r="B340" t="s">
        <v>147</v>
      </c>
      <c r="C340" t="s">
        <v>33</v>
      </c>
      <c r="D340" s="1">
        <v>8496</v>
      </c>
      <c r="E340" s="1">
        <v>6744</v>
      </c>
      <c r="F340">
        <v>856</v>
      </c>
      <c r="G340">
        <v>377</v>
      </c>
      <c r="H340">
        <v>71</v>
      </c>
      <c r="I340">
        <v>133</v>
      </c>
      <c r="J340">
        <v>11</v>
      </c>
      <c r="K340">
        <v>6</v>
      </c>
      <c r="L340">
        <v>27</v>
      </c>
      <c r="M340">
        <v>24</v>
      </c>
      <c r="N340">
        <v>70</v>
      </c>
      <c r="O340">
        <v>3</v>
      </c>
      <c r="P340">
        <v>123</v>
      </c>
      <c r="Q340">
        <v>8</v>
      </c>
      <c r="R340">
        <v>2</v>
      </c>
      <c r="S340">
        <v>24</v>
      </c>
      <c r="T340">
        <v>2</v>
      </c>
      <c r="U340">
        <v>3</v>
      </c>
      <c r="V340">
        <v>1</v>
      </c>
      <c r="W340">
        <v>0</v>
      </c>
      <c r="X340">
        <v>2</v>
      </c>
      <c r="Y340">
        <v>3</v>
      </c>
      <c r="Z340">
        <v>3</v>
      </c>
      <c r="AA340">
        <v>3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3">
      <c r="A341" t="s">
        <v>128</v>
      </c>
      <c r="B341" t="s">
        <v>147</v>
      </c>
      <c r="C341" t="s">
        <v>34</v>
      </c>
      <c r="D341" s="1">
        <v>6546</v>
      </c>
      <c r="E341" s="1">
        <v>5549</v>
      </c>
      <c r="F341">
        <v>392</v>
      </c>
      <c r="G341">
        <v>304</v>
      </c>
      <c r="H341">
        <v>32</v>
      </c>
      <c r="I341">
        <v>140</v>
      </c>
      <c r="J341">
        <v>12</v>
      </c>
      <c r="K341">
        <v>4</v>
      </c>
      <c r="L341">
        <v>10</v>
      </c>
      <c r="M341">
        <v>19</v>
      </c>
      <c r="N341">
        <v>70</v>
      </c>
      <c r="O341">
        <v>0</v>
      </c>
      <c r="P341">
        <v>9</v>
      </c>
      <c r="Q341">
        <v>0</v>
      </c>
      <c r="R341">
        <v>0</v>
      </c>
      <c r="S341">
        <v>3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3">
      <c r="A342" t="s">
        <v>128</v>
      </c>
      <c r="B342" t="s">
        <v>148</v>
      </c>
      <c r="C342" t="s">
        <v>32</v>
      </c>
      <c r="D342" s="1">
        <v>13354</v>
      </c>
      <c r="E342" s="1">
        <v>11841</v>
      </c>
      <c r="F342">
        <v>674</v>
      </c>
      <c r="G342">
        <v>440</v>
      </c>
      <c r="H342">
        <v>94</v>
      </c>
      <c r="I342">
        <v>118</v>
      </c>
      <c r="J342">
        <v>8</v>
      </c>
      <c r="K342">
        <v>31</v>
      </c>
      <c r="L342">
        <v>73</v>
      </c>
      <c r="M342">
        <v>23</v>
      </c>
      <c r="N342">
        <v>41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4</v>
      </c>
      <c r="V342">
        <v>3</v>
      </c>
      <c r="W342">
        <v>0</v>
      </c>
      <c r="X342">
        <v>0</v>
      </c>
      <c r="Y342">
        <v>0</v>
      </c>
      <c r="Z342">
        <v>4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 x14ac:dyDescent="0.3">
      <c r="A343" t="s">
        <v>128</v>
      </c>
      <c r="B343" t="s">
        <v>148</v>
      </c>
      <c r="C343" t="s">
        <v>33</v>
      </c>
      <c r="D343" s="1">
        <v>7420</v>
      </c>
      <c r="E343" s="1">
        <v>6509</v>
      </c>
      <c r="F343">
        <v>443</v>
      </c>
      <c r="G343">
        <v>240</v>
      </c>
      <c r="H343">
        <v>61</v>
      </c>
      <c r="I343">
        <v>63</v>
      </c>
      <c r="J343">
        <v>6</v>
      </c>
      <c r="K343">
        <v>17</v>
      </c>
      <c r="L343">
        <v>35</v>
      </c>
      <c r="M343">
        <v>19</v>
      </c>
      <c r="N343">
        <v>18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</v>
      </c>
      <c r="V343">
        <v>3</v>
      </c>
      <c r="W343">
        <v>0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 x14ac:dyDescent="0.3">
      <c r="A344" t="s">
        <v>128</v>
      </c>
      <c r="B344" t="s">
        <v>148</v>
      </c>
      <c r="C344" t="s">
        <v>34</v>
      </c>
      <c r="D344" s="1">
        <v>5934</v>
      </c>
      <c r="E344" s="1">
        <v>5332</v>
      </c>
      <c r="F344">
        <v>231</v>
      </c>
      <c r="G344">
        <v>200</v>
      </c>
      <c r="H344">
        <v>33</v>
      </c>
      <c r="I344">
        <v>55</v>
      </c>
      <c r="J344">
        <v>2</v>
      </c>
      <c r="K344">
        <v>14</v>
      </c>
      <c r="L344">
        <v>38</v>
      </c>
      <c r="M344">
        <v>4</v>
      </c>
      <c r="N344">
        <v>23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 x14ac:dyDescent="0.3">
      <c r="A345" t="s">
        <v>128</v>
      </c>
      <c r="B345" t="s">
        <v>149</v>
      </c>
      <c r="C345" t="s">
        <v>32</v>
      </c>
      <c r="D345" s="1">
        <v>12691</v>
      </c>
      <c r="E345" s="1">
        <v>7855</v>
      </c>
      <c r="F345" s="1">
        <v>1241</v>
      </c>
      <c r="G345">
        <v>336</v>
      </c>
      <c r="H345">
        <v>47</v>
      </c>
      <c r="I345">
        <v>965</v>
      </c>
      <c r="J345">
        <v>11</v>
      </c>
      <c r="K345">
        <v>11</v>
      </c>
      <c r="L345">
        <v>137</v>
      </c>
      <c r="M345">
        <v>338</v>
      </c>
      <c r="N345">
        <v>332</v>
      </c>
      <c r="O345">
        <v>173</v>
      </c>
      <c r="P345">
        <v>194</v>
      </c>
      <c r="Q345">
        <v>12</v>
      </c>
      <c r="R345">
        <v>40</v>
      </c>
      <c r="S345">
        <v>273</v>
      </c>
      <c r="T345">
        <v>214</v>
      </c>
      <c r="U345">
        <v>62</v>
      </c>
      <c r="V345">
        <v>67</v>
      </c>
      <c r="W345">
        <v>1</v>
      </c>
      <c r="X345">
        <v>1</v>
      </c>
      <c r="Y345">
        <v>139</v>
      </c>
      <c r="Z345">
        <v>2</v>
      </c>
      <c r="AA345">
        <v>121</v>
      </c>
      <c r="AB345">
        <v>71</v>
      </c>
      <c r="AC345">
        <v>0</v>
      </c>
      <c r="AD345">
        <v>22</v>
      </c>
      <c r="AE345">
        <v>4</v>
      </c>
      <c r="AF345">
        <v>20</v>
      </c>
      <c r="AG345">
        <v>2</v>
      </c>
      <c r="AH345">
        <v>0</v>
      </c>
    </row>
    <row r="346" spans="1:34" x14ac:dyDescent="0.3">
      <c r="A346" t="s">
        <v>128</v>
      </c>
      <c r="B346" t="s">
        <v>149</v>
      </c>
      <c r="C346" t="s">
        <v>33</v>
      </c>
      <c r="D346" s="1">
        <v>9147</v>
      </c>
      <c r="E346" s="1">
        <v>4783</v>
      </c>
      <c r="F346">
        <v>967</v>
      </c>
      <c r="G346">
        <v>238</v>
      </c>
      <c r="H346">
        <v>32</v>
      </c>
      <c r="I346">
        <v>934</v>
      </c>
      <c r="J346">
        <v>5</v>
      </c>
      <c r="K346">
        <v>8</v>
      </c>
      <c r="L346">
        <v>129</v>
      </c>
      <c r="M346">
        <v>333</v>
      </c>
      <c r="N346">
        <v>317</v>
      </c>
      <c r="O346">
        <v>170</v>
      </c>
      <c r="P346">
        <v>190</v>
      </c>
      <c r="Q346">
        <v>12</v>
      </c>
      <c r="R346">
        <v>40</v>
      </c>
      <c r="S346">
        <v>271</v>
      </c>
      <c r="T346">
        <v>212</v>
      </c>
      <c r="U346">
        <v>62</v>
      </c>
      <c r="V346">
        <v>67</v>
      </c>
      <c r="W346">
        <v>0</v>
      </c>
      <c r="X346">
        <v>1</v>
      </c>
      <c r="Y346">
        <v>138</v>
      </c>
      <c r="Z346">
        <v>1</v>
      </c>
      <c r="AA346">
        <v>118</v>
      </c>
      <c r="AB346">
        <v>71</v>
      </c>
      <c r="AC346">
        <v>0</v>
      </c>
      <c r="AD346">
        <v>22</v>
      </c>
      <c r="AE346">
        <v>4</v>
      </c>
      <c r="AF346">
        <v>20</v>
      </c>
      <c r="AG346">
        <v>2</v>
      </c>
      <c r="AH346">
        <v>0</v>
      </c>
    </row>
    <row r="347" spans="1:34" x14ac:dyDescent="0.3">
      <c r="A347" t="s">
        <v>128</v>
      </c>
      <c r="B347" t="s">
        <v>149</v>
      </c>
      <c r="C347" t="s">
        <v>34</v>
      </c>
      <c r="D347" s="1">
        <v>3544</v>
      </c>
      <c r="E347" s="1">
        <v>3072</v>
      </c>
      <c r="F347">
        <v>274</v>
      </c>
      <c r="G347">
        <v>98</v>
      </c>
      <c r="H347">
        <v>15</v>
      </c>
      <c r="I347">
        <v>31</v>
      </c>
      <c r="J347">
        <v>6</v>
      </c>
      <c r="K347">
        <v>3</v>
      </c>
      <c r="L347">
        <v>8</v>
      </c>
      <c r="M347">
        <v>5</v>
      </c>
      <c r="N347">
        <v>15</v>
      </c>
      <c r="O347">
        <v>3</v>
      </c>
      <c r="P347">
        <v>4</v>
      </c>
      <c r="Q347">
        <v>0</v>
      </c>
      <c r="R347">
        <v>0</v>
      </c>
      <c r="S347">
        <v>2</v>
      </c>
      <c r="T347">
        <v>2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1</v>
      </c>
      <c r="AA347">
        <v>3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3">
      <c r="A348" t="s">
        <v>128</v>
      </c>
      <c r="B348" t="s">
        <v>150</v>
      </c>
      <c r="C348" t="s">
        <v>32</v>
      </c>
      <c r="D348" s="1">
        <v>9420</v>
      </c>
      <c r="E348" s="1">
        <v>8070</v>
      </c>
      <c r="F348">
        <v>377</v>
      </c>
      <c r="G348">
        <v>278</v>
      </c>
      <c r="H348">
        <v>107</v>
      </c>
      <c r="I348">
        <v>219</v>
      </c>
      <c r="J348">
        <v>7</v>
      </c>
      <c r="K348">
        <v>23</v>
      </c>
      <c r="L348">
        <v>235</v>
      </c>
      <c r="M348">
        <v>51</v>
      </c>
      <c r="N348">
        <v>44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3</v>
      </c>
      <c r="V348">
        <v>0</v>
      </c>
      <c r="W348">
        <v>0</v>
      </c>
      <c r="X348">
        <v>0</v>
      </c>
      <c r="Y348">
        <v>3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3">
      <c r="A349" t="s">
        <v>128</v>
      </c>
      <c r="B349" t="s">
        <v>150</v>
      </c>
      <c r="C349" t="s">
        <v>33</v>
      </c>
      <c r="D349" s="1">
        <v>4907</v>
      </c>
      <c r="E349" s="1">
        <v>4035</v>
      </c>
      <c r="F349">
        <v>234</v>
      </c>
      <c r="G349">
        <v>145</v>
      </c>
      <c r="H349">
        <v>69</v>
      </c>
      <c r="I349">
        <v>145</v>
      </c>
      <c r="J349">
        <v>3</v>
      </c>
      <c r="K349">
        <v>17</v>
      </c>
      <c r="L349">
        <v>194</v>
      </c>
      <c r="M349">
        <v>29</v>
      </c>
      <c r="N349">
        <v>27</v>
      </c>
      <c r="O349">
        <v>0</v>
      </c>
      <c r="P349">
        <v>0</v>
      </c>
      <c r="Q349">
        <v>0</v>
      </c>
      <c r="R349">
        <v>0</v>
      </c>
      <c r="S349">
        <v>2</v>
      </c>
      <c r="T349">
        <v>0</v>
      </c>
      <c r="U349">
        <v>3</v>
      </c>
      <c r="V349">
        <v>0</v>
      </c>
      <c r="W349">
        <v>0</v>
      </c>
      <c r="X349">
        <v>0</v>
      </c>
      <c r="Y349">
        <v>3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3">
      <c r="A350" t="s">
        <v>128</v>
      </c>
      <c r="B350" t="s">
        <v>150</v>
      </c>
      <c r="C350" t="s">
        <v>34</v>
      </c>
      <c r="D350" s="1">
        <v>4513</v>
      </c>
      <c r="E350" s="1">
        <v>4035</v>
      </c>
      <c r="F350">
        <v>143</v>
      </c>
      <c r="G350">
        <v>133</v>
      </c>
      <c r="H350">
        <v>38</v>
      </c>
      <c r="I350">
        <v>74</v>
      </c>
      <c r="J350">
        <v>4</v>
      </c>
      <c r="K350">
        <v>6</v>
      </c>
      <c r="L350">
        <v>41</v>
      </c>
      <c r="M350">
        <v>22</v>
      </c>
      <c r="N350">
        <v>17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 x14ac:dyDescent="0.3">
      <c r="A351" t="s">
        <v>128</v>
      </c>
      <c r="B351" t="s">
        <v>151</v>
      </c>
      <c r="C351" t="s">
        <v>32</v>
      </c>
      <c r="D351" s="1">
        <v>7868</v>
      </c>
      <c r="E351" s="1">
        <v>4943</v>
      </c>
      <c r="F351">
        <v>454</v>
      </c>
      <c r="G351">
        <v>159</v>
      </c>
      <c r="H351">
        <v>23</v>
      </c>
      <c r="I351">
        <v>764</v>
      </c>
      <c r="J351">
        <v>2</v>
      </c>
      <c r="K351">
        <v>17</v>
      </c>
      <c r="L351">
        <v>347</v>
      </c>
      <c r="M351">
        <v>182</v>
      </c>
      <c r="N351">
        <v>228</v>
      </c>
      <c r="O351">
        <v>52</v>
      </c>
      <c r="P351">
        <v>204</v>
      </c>
      <c r="Q351">
        <v>6</v>
      </c>
      <c r="R351">
        <v>4</v>
      </c>
      <c r="S351">
        <v>62</v>
      </c>
      <c r="T351">
        <v>186</v>
      </c>
      <c r="U351">
        <v>9</v>
      </c>
      <c r="V351">
        <v>13</v>
      </c>
      <c r="W351">
        <v>0</v>
      </c>
      <c r="X351">
        <v>110</v>
      </c>
      <c r="Y351">
        <v>14</v>
      </c>
      <c r="Z351">
        <v>4</v>
      </c>
      <c r="AA351">
        <v>0</v>
      </c>
      <c r="AB351">
        <v>6</v>
      </c>
      <c r="AC351">
        <v>0</v>
      </c>
      <c r="AD351">
        <v>76</v>
      </c>
      <c r="AE351">
        <v>0</v>
      </c>
      <c r="AF351">
        <v>2</v>
      </c>
      <c r="AG351">
        <v>1</v>
      </c>
      <c r="AH351">
        <v>0</v>
      </c>
    </row>
    <row r="352" spans="1:34" x14ac:dyDescent="0.3">
      <c r="A352" t="s">
        <v>128</v>
      </c>
      <c r="B352" t="s">
        <v>151</v>
      </c>
      <c r="C352" t="s">
        <v>33</v>
      </c>
      <c r="D352" s="1">
        <v>4781</v>
      </c>
      <c r="E352" s="1">
        <v>2423</v>
      </c>
      <c r="F352">
        <v>213</v>
      </c>
      <c r="G352">
        <v>80</v>
      </c>
      <c r="H352">
        <v>14</v>
      </c>
      <c r="I352">
        <v>652</v>
      </c>
      <c r="J352">
        <v>2</v>
      </c>
      <c r="K352">
        <v>11</v>
      </c>
      <c r="L352">
        <v>262</v>
      </c>
      <c r="M352">
        <v>177</v>
      </c>
      <c r="N352">
        <v>198</v>
      </c>
      <c r="O352">
        <v>52</v>
      </c>
      <c r="P352">
        <v>204</v>
      </c>
      <c r="Q352">
        <v>6</v>
      </c>
      <c r="R352">
        <v>4</v>
      </c>
      <c r="S352">
        <v>62</v>
      </c>
      <c r="T352">
        <v>186</v>
      </c>
      <c r="U352">
        <v>9</v>
      </c>
      <c r="V352">
        <v>13</v>
      </c>
      <c r="W352">
        <v>0</v>
      </c>
      <c r="X352">
        <v>110</v>
      </c>
      <c r="Y352">
        <v>14</v>
      </c>
      <c r="Z352">
        <v>4</v>
      </c>
      <c r="AA352">
        <v>0</v>
      </c>
      <c r="AB352">
        <v>6</v>
      </c>
      <c r="AC352">
        <v>0</v>
      </c>
      <c r="AD352">
        <v>76</v>
      </c>
      <c r="AE352">
        <v>0</v>
      </c>
      <c r="AF352">
        <v>2</v>
      </c>
      <c r="AG352">
        <v>1</v>
      </c>
      <c r="AH352">
        <v>0</v>
      </c>
    </row>
    <row r="353" spans="1:34" x14ac:dyDescent="0.3">
      <c r="A353" t="s">
        <v>128</v>
      </c>
      <c r="B353" t="s">
        <v>151</v>
      </c>
      <c r="C353" t="s">
        <v>34</v>
      </c>
      <c r="D353" s="1">
        <v>3087</v>
      </c>
      <c r="E353" s="1">
        <v>2520</v>
      </c>
      <c r="F353">
        <v>241</v>
      </c>
      <c r="G353">
        <v>79</v>
      </c>
      <c r="H353">
        <v>9</v>
      </c>
      <c r="I353">
        <v>112</v>
      </c>
      <c r="J353">
        <v>0</v>
      </c>
      <c r="K353">
        <v>6</v>
      </c>
      <c r="L353">
        <v>85</v>
      </c>
      <c r="M353">
        <v>5</v>
      </c>
      <c r="N353">
        <v>30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 x14ac:dyDescent="0.3">
      <c r="A354" t="s">
        <v>128</v>
      </c>
      <c r="B354" t="s">
        <v>152</v>
      </c>
      <c r="C354" t="s">
        <v>32</v>
      </c>
      <c r="D354" s="1">
        <v>7143</v>
      </c>
      <c r="E354" s="1">
        <v>3749</v>
      </c>
      <c r="F354">
        <v>411</v>
      </c>
      <c r="G354">
        <v>134</v>
      </c>
      <c r="H354">
        <v>25</v>
      </c>
      <c r="I354">
        <v>907</v>
      </c>
      <c r="J354">
        <v>2</v>
      </c>
      <c r="K354">
        <v>8</v>
      </c>
      <c r="L354">
        <v>451</v>
      </c>
      <c r="M354">
        <v>348</v>
      </c>
      <c r="N354">
        <v>346</v>
      </c>
      <c r="O354">
        <v>81</v>
      </c>
      <c r="P354">
        <v>118</v>
      </c>
      <c r="Q354">
        <v>6</v>
      </c>
      <c r="R354">
        <v>3</v>
      </c>
      <c r="S354">
        <v>231</v>
      </c>
      <c r="T354">
        <v>48</v>
      </c>
      <c r="U354">
        <v>50</v>
      </c>
      <c r="V354">
        <v>22</v>
      </c>
      <c r="W354">
        <v>0</v>
      </c>
      <c r="X354">
        <v>10</v>
      </c>
      <c r="Y354">
        <v>85</v>
      </c>
      <c r="Z354">
        <v>20</v>
      </c>
      <c r="AA354">
        <v>50</v>
      </c>
      <c r="AB354">
        <v>5</v>
      </c>
      <c r="AC354">
        <v>0</v>
      </c>
      <c r="AD354">
        <v>0</v>
      </c>
      <c r="AE354">
        <v>0</v>
      </c>
      <c r="AF354">
        <v>33</v>
      </c>
      <c r="AG354">
        <v>0</v>
      </c>
      <c r="AH354">
        <v>0</v>
      </c>
    </row>
    <row r="355" spans="1:34" x14ac:dyDescent="0.3">
      <c r="A355" t="s">
        <v>128</v>
      </c>
      <c r="B355" t="s">
        <v>152</v>
      </c>
      <c r="C355" t="s">
        <v>33</v>
      </c>
      <c r="D355" s="1">
        <v>5393</v>
      </c>
      <c r="E355" s="1">
        <v>2210</v>
      </c>
      <c r="F355">
        <v>334</v>
      </c>
      <c r="G355">
        <v>79</v>
      </c>
      <c r="H355">
        <v>14</v>
      </c>
      <c r="I355">
        <v>863</v>
      </c>
      <c r="J355">
        <v>1</v>
      </c>
      <c r="K355">
        <v>5</v>
      </c>
      <c r="L355">
        <v>446</v>
      </c>
      <c r="M355">
        <v>341</v>
      </c>
      <c r="N355">
        <v>340</v>
      </c>
      <c r="O355">
        <v>80</v>
      </c>
      <c r="P355">
        <v>117</v>
      </c>
      <c r="Q355">
        <v>6</v>
      </c>
      <c r="R355">
        <v>3</v>
      </c>
      <c r="S355">
        <v>231</v>
      </c>
      <c r="T355">
        <v>48</v>
      </c>
      <c r="U355">
        <v>50</v>
      </c>
      <c r="V355">
        <v>22</v>
      </c>
      <c r="W355">
        <v>0</v>
      </c>
      <c r="X355">
        <v>10</v>
      </c>
      <c r="Y355">
        <v>85</v>
      </c>
      <c r="Z355">
        <v>20</v>
      </c>
      <c r="AA355">
        <v>50</v>
      </c>
      <c r="AB355">
        <v>5</v>
      </c>
      <c r="AC355">
        <v>0</v>
      </c>
      <c r="AD355">
        <v>0</v>
      </c>
      <c r="AE355">
        <v>0</v>
      </c>
      <c r="AF355">
        <v>33</v>
      </c>
      <c r="AG355">
        <v>0</v>
      </c>
      <c r="AH355">
        <v>0</v>
      </c>
    </row>
    <row r="356" spans="1:34" x14ac:dyDescent="0.3">
      <c r="A356" t="s">
        <v>128</v>
      </c>
      <c r="B356" t="s">
        <v>152</v>
      </c>
      <c r="C356" t="s">
        <v>34</v>
      </c>
      <c r="D356" s="1">
        <v>1750</v>
      </c>
      <c r="E356" s="1">
        <v>1539</v>
      </c>
      <c r="F356">
        <v>77</v>
      </c>
      <c r="G356">
        <v>55</v>
      </c>
      <c r="H356">
        <v>11</v>
      </c>
      <c r="I356">
        <v>44</v>
      </c>
      <c r="J356">
        <v>1</v>
      </c>
      <c r="K356">
        <v>3</v>
      </c>
      <c r="L356">
        <v>5</v>
      </c>
      <c r="M356">
        <v>7</v>
      </c>
      <c r="N356">
        <v>6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x14ac:dyDescent="0.3">
      <c r="A357" t="s">
        <v>128</v>
      </c>
      <c r="B357" t="s">
        <v>153</v>
      </c>
      <c r="C357" t="s">
        <v>32</v>
      </c>
      <c r="D357" s="1">
        <v>6547</v>
      </c>
      <c r="E357" s="1">
        <v>5331</v>
      </c>
      <c r="F357">
        <v>548</v>
      </c>
      <c r="G357">
        <v>176</v>
      </c>
      <c r="H357">
        <v>373</v>
      </c>
      <c r="I357">
        <v>47</v>
      </c>
      <c r="J357">
        <v>29</v>
      </c>
      <c r="K357">
        <v>28</v>
      </c>
      <c r="L357">
        <v>3</v>
      </c>
      <c r="M357">
        <v>0</v>
      </c>
      <c r="N357">
        <v>12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3">
      <c r="A358" t="s">
        <v>128</v>
      </c>
      <c r="B358" t="s">
        <v>153</v>
      </c>
      <c r="C358" t="s">
        <v>33</v>
      </c>
      <c r="D358" s="1">
        <v>2768</v>
      </c>
      <c r="E358" s="1">
        <v>2185</v>
      </c>
      <c r="F358">
        <v>255</v>
      </c>
      <c r="G358">
        <v>95</v>
      </c>
      <c r="H358">
        <v>170</v>
      </c>
      <c r="I358">
        <v>22</v>
      </c>
      <c r="J358">
        <v>15</v>
      </c>
      <c r="K358">
        <v>17</v>
      </c>
      <c r="L358">
        <v>2</v>
      </c>
      <c r="M358">
        <v>0</v>
      </c>
      <c r="N358">
        <v>7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3">
      <c r="A359" t="s">
        <v>128</v>
      </c>
      <c r="B359" t="s">
        <v>153</v>
      </c>
      <c r="C359" t="s">
        <v>34</v>
      </c>
      <c r="D359" s="1">
        <v>3779</v>
      </c>
      <c r="E359" s="1">
        <v>3146</v>
      </c>
      <c r="F359">
        <v>293</v>
      </c>
      <c r="G359">
        <v>81</v>
      </c>
      <c r="H359">
        <v>203</v>
      </c>
      <c r="I359">
        <v>25</v>
      </c>
      <c r="J359">
        <v>14</v>
      </c>
      <c r="K359">
        <v>11</v>
      </c>
      <c r="L359">
        <v>1</v>
      </c>
      <c r="M359">
        <v>0</v>
      </c>
      <c r="N359">
        <v>5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 x14ac:dyDescent="0.3">
      <c r="A360" t="s">
        <v>128</v>
      </c>
      <c r="B360" t="s">
        <v>154</v>
      </c>
      <c r="C360" t="s">
        <v>32</v>
      </c>
      <c r="D360" s="1">
        <v>6013</v>
      </c>
      <c r="E360" s="1">
        <v>5113</v>
      </c>
      <c r="F360">
        <v>242</v>
      </c>
      <c r="G360">
        <v>190</v>
      </c>
      <c r="H360">
        <v>32</v>
      </c>
      <c r="I360">
        <v>150</v>
      </c>
      <c r="J360">
        <v>18</v>
      </c>
      <c r="K360">
        <v>10</v>
      </c>
      <c r="L360">
        <v>59</v>
      </c>
      <c r="M360">
        <v>16</v>
      </c>
      <c r="N360">
        <v>44</v>
      </c>
      <c r="O360">
        <v>29</v>
      </c>
      <c r="P360">
        <v>26</v>
      </c>
      <c r="Q360">
        <v>4</v>
      </c>
      <c r="R360">
        <v>1</v>
      </c>
      <c r="S360">
        <v>14</v>
      </c>
      <c r="T360">
        <v>15</v>
      </c>
      <c r="U360">
        <v>28</v>
      </c>
      <c r="V360">
        <v>3</v>
      </c>
      <c r="W360">
        <v>0</v>
      </c>
      <c r="X360">
        <v>9</v>
      </c>
      <c r="Y360">
        <v>2</v>
      </c>
      <c r="Z360">
        <v>0</v>
      </c>
      <c r="AA360">
        <v>6</v>
      </c>
      <c r="AB360">
        <v>2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 x14ac:dyDescent="0.3">
      <c r="A361" t="s">
        <v>128</v>
      </c>
      <c r="B361" t="s">
        <v>154</v>
      </c>
      <c r="C361" t="s">
        <v>33</v>
      </c>
      <c r="D361" s="1">
        <v>2945</v>
      </c>
      <c r="E361" s="1">
        <v>2395</v>
      </c>
      <c r="F361">
        <v>117</v>
      </c>
      <c r="G361">
        <v>83</v>
      </c>
      <c r="H361">
        <v>19</v>
      </c>
      <c r="I361">
        <v>104</v>
      </c>
      <c r="J361">
        <v>6</v>
      </c>
      <c r="K361">
        <v>4</v>
      </c>
      <c r="L361">
        <v>52</v>
      </c>
      <c r="M361">
        <v>12</v>
      </c>
      <c r="N361">
        <v>14</v>
      </c>
      <c r="O361">
        <v>29</v>
      </c>
      <c r="P361">
        <v>26</v>
      </c>
      <c r="Q361">
        <v>4</v>
      </c>
      <c r="R361">
        <v>1</v>
      </c>
      <c r="S361">
        <v>14</v>
      </c>
      <c r="T361">
        <v>15</v>
      </c>
      <c r="U361">
        <v>28</v>
      </c>
      <c r="V361">
        <v>3</v>
      </c>
      <c r="W361">
        <v>0</v>
      </c>
      <c r="X361">
        <v>9</v>
      </c>
      <c r="Y361">
        <v>2</v>
      </c>
      <c r="Z361">
        <v>0</v>
      </c>
      <c r="AA361">
        <v>6</v>
      </c>
      <c r="AB361">
        <v>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3">
      <c r="A362" t="s">
        <v>128</v>
      </c>
      <c r="B362" t="s">
        <v>154</v>
      </c>
      <c r="C362" t="s">
        <v>34</v>
      </c>
      <c r="D362" s="1">
        <v>3068</v>
      </c>
      <c r="E362" s="1">
        <v>2718</v>
      </c>
      <c r="F362">
        <v>125</v>
      </c>
      <c r="G362">
        <v>107</v>
      </c>
      <c r="H362">
        <v>13</v>
      </c>
      <c r="I362">
        <v>46</v>
      </c>
      <c r="J362">
        <v>12</v>
      </c>
      <c r="K362">
        <v>6</v>
      </c>
      <c r="L362">
        <v>7</v>
      </c>
      <c r="M362">
        <v>4</v>
      </c>
      <c r="N362">
        <v>30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 x14ac:dyDescent="0.3">
      <c r="A363" t="s">
        <v>128</v>
      </c>
      <c r="B363" t="s">
        <v>155</v>
      </c>
      <c r="C363" t="s">
        <v>32</v>
      </c>
      <c r="D363" s="1">
        <v>5261</v>
      </c>
      <c r="E363" s="1">
        <v>4646</v>
      </c>
      <c r="F363">
        <v>218</v>
      </c>
      <c r="G363">
        <v>185</v>
      </c>
      <c r="H363">
        <v>58</v>
      </c>
      <c r="I363">
        <v>81</v>
      </c>
      <c r="J363">
        <v>9</v>
      </c>
      <c r="K363">
        <v>4</v>
      </c>
      <c r="L363">
        <v>22</v>
      </c>
      <c r="M363">
        <v>26</v>
      </c>
      <c r="N363">
        <v>10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 x14ac:dyDescent="0.3">
      <c r="A364" t="s">
        <v>128</v>
      </c>
      <c r="B364" t="s">
        <v>155</v>
      </c>
      <c r="C364" t="s">
        <v>33</v>
      </c>
      <c r="D364" s="1">
        <v>2913</v>
      </c>
      <c r="E364" s="1">
        <v>2562</v>
      </c>
      <c r="F364">
        <v>120</v>
      </c>
      <c r="G364">
        <v>106</v>
      </c>
      <c r="H364">
        <v>30</v>
      </c>
      <c r="I364">
        <v>50</v>
      </c>
      <c r="J364">
        <v>2</v>
      </c>
      <c r="K364">
        <v>2</v>
      </c>
      <c r="L364">
        <v>13</v>
      </c>
      <c r="M364">
        <v>20</v>
      </c>
      <c r="N364">
        <v>6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2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 x14ac:dyDescent="0.3">
      <c r="A365" t="s">
        <v>128</v>
      </c>
      <c r="B365" t="s">
        <v>155</v>
      </c>
      <c r="C365" t="s">
        <v>34</v>
      </c>
      <c r="D365" s="1">
        <v>2348</v>
      </c>
      <c r="E365" s="1">
        <v>2084</v>
      </c>
      <c r="F365">
        <v>98</v>
      </c>
      <c r="G365">
        <v>79</v>
      </c>
      <c r="H365">
        <v>28</v>
      </c>
      <c r="I365">
        <v>31</v>
      </c>
      <c r="J365">
        <v>7</v>
      </c>
      <c r="K365">
        <v>2</v>
      </c>
      <c r="L365">
        <v>9</v>
      </c>
      <c r="M365">
        <v>6</v>
      </c>
      <c r="N365">
        <v>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 x14ac:dyDescent="0.3">
      <c r="A366" t="s">
        <v>128</v>
      </c>
      <c r="B366" t="s">
        <v>156</v>
      </c>
      <c r="C366" t="s">
        <v>32</v>
      </c>
      <c r="D366" s="1">
        <v>4188</v>
      </c>
      <c r="E366" s="1">
        <v>2753</v>
      </c>
      <c r="F366">
        <v>151</v>
      </c>
      <c r="G366">
        <v>175</v>
      </c>
      <c r="H366">
        <v>43</v>
      </c>
      <c r="I366">
        <v>569</v>
      </c>
      <c r="J366">
        <v>2</v>
      </c>
      <c r="K366">
        <v>4</v>
      </c>
      <c r="L366">
        <v>176</v>
      </c>
      <c r="M366">
        <v>104</v>
      </c>
      <c r="N366">
        <v>174</v>
      </c>
      <c r="O366">
        <v>0</v>
      </c>
      <c r="P366">
        <v>5</v>
      </c>
      <c r="Q366">
        <v>1</v>
      </c>
      <c r="R366">
        <v>0</v>
      </c>
      <c r="S366">
        <v>9</v>
      </c>
      <c r="T366">
        <v>3</v>
      </c>
      <c r="U366">
        <v>0</v>
      </c>
      <c r="V366">
        <v>7</v>
      </c>
      <c r="W366">
        <v>0</v>
      </c>
      <c r="X366">
        <v>0</v>
      </c>
      <c r="Y366">
        <v>0</v>
      </c>
      <c r="Z366">
        <v>9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</v>
      </c>
      <c r="AH366">
        <v>0</v>
      </c>
    </row>
    <row r="367" spans="1:34" x14ac:dyDescent="0.3">
      <c r="A367" t="s">
        <v>128</v>
      </c>
      <c r="B367" t="s">
        <v>156</v>
      </c>
      <c r="C367" t="s">
        <v>33</v>
      </c>
      <c r="D367" s="1">
        <v>2823</v>
      </c>
      <c r="E367" s="1">
        <v>1568</v>
      </c>
      <c r="F367">
        <v>109</v>
      </c>
      <c r="G367">
        <v>88</v>
      </c>
      <c r="H367">
        <v>25</v>
      </c>
      <c r="I367">
        <v>544</v>
      </c>
      <c r="J367">
        <v>2</v>
      </c>
      <c r="K367">
        <v>3</v>
      </c>
      <c r="L367">
        <v>175</v>
      </c>
      <c r="M367">
        <v>102</v>
      </c>
      <c r="N367">
        <v>172</v>
      </c>
      <c r="O367">
        <v>0</v>
      </c>
      <c r="P367">
        <v>3</v>
      </c>
      <c r="Q367">
        <v>1</v>
      </c>
      <c r="R367">
        <v>0</v>
      </c>
      <c r="S367">
        <v>9</v>
      </c>
      <c r="T367">
        <v>3</v>
      </c>
      <c r="U367">
        <v>0</v>
      </c>
      <c r="V367">
        <v>7</v>
      </c>
      <c r="W367">
        <v>0</v>
      </c>
      <c r="X367">
        <v>0</v>
      </c>
      <c r="Y367">
        <v>0</v>
      </c>
      <c r="Z367">
        <v>9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</v>
      </c>
      <c r="AH367">
        <v>0</v>
      </c>
    </row>
    <row r="368" spans="1:34" x14ac:dyDescent="0.3">
      <c r="A368" t="s">
        <v>128</v>
      </c>
      <c r="B368" t="s">
        <v>156</v>
      </c>
      <c r="C368" t="s">
        <v>34</v>
      </c>
      <c r="D368" s="1">
        <v>1365</v>
      </c>
      <c r="E368" s="1">
        <v>1185</v>
      </c>
      <c r="F368">
        <v>42</v>
      </c>
      <c r="G368">
        <v>87</v>
      </c>
      <c r="H368">
        <v>18</v>
      </c>
      <c r="I368">
        <v>25</v>
      </c>
      <c r="J368">
        <v>0</v>
      </c>
      <c r="K368">
        <v>1</v>
      </c>
      <c r="L368">
        <v>1</v>
      </c>
      <c r="M368">
        <v>2</v>
      </c>
      <c r="N368">
        <v>2</v>
      </c>
      <c r="O368">
        <v>0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 x14ac:dyDescent="0.3">
      <c r="A369" t="s">
        <v>128</v>
      </c>
      <c r="B369" t="s">
        <v>157</v>
      </c>
      <c r="C369" t="s">
        <v>32</v>
      </c>
      <c r="D369" s="1">
        <v>3615</v>
      </c>
      <c r="E369" s="1">
        <v>2626</v>
      </c>
      <c r="F369">
        <v>134</v>
      </c>
      <c r="G369">
        <v>105</v>
      </c>
      <c r="H369">
        <v>16</v>
      </c>
      <c r="I369">
        <v>116</v>
      </c>
      <c r="J369">
        <v>11</v>
      </c>
      <c r="K369">
        <v>4</v>
      </c>
      <c r="L369">
        <v>3</v>
      </c>
      <c r="M369">
        <v>44</v>
      </c>
      <c r="N369">
        <v>21</v>
      </c>
      <c r="O369">
        <v>14</v>
      </c>
      <c r="P369">
        <v>215</v>
      </c>
      <c r="Q369">
        <v>16</v>
      </c>
      <c r="R369">
        <v>3</v>
      </c>
      <c r="S369">
        <v>161</v>
      </c>
      <c r="T369">
        <v>3</v>
      </c>
      <c r="U369">
        <v>48</v>
      </c>
      <c r="V369">
        <v>0</v>
      </c>
      <c r="W369">
        <v>0</v>
      </c>
      <c r="X369">
        <v>12</v>
      </c>
      <c r="Y369">
        <v>59</v>
      </c>
      <c r="Z369">
        <v>0</v>
      </c>
      <c r="AA369">
        <v>4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3">
      <c r="A370" t="s">
        <v>128</v>
      </c>
      <c r="B370" t="s">
        <v>157</v>
      </c>
      <c r="C370" t="s">
        <v>33</v>
      </c>
      <c r="D370" s="1">
        <v>2117</v>
      </c>
      <c r="E370" s="1">
        <v>1290</v>
      </c>
      <c r="F370">
        <v>87</v>
      </c>
      <c r="G370">
        <v>54</v>
      </c>
      <c r="H370">
        <v>13</v>
      </c>
      <c r="I370">
        <v>88</v>
      </c>
      <c r="J370">
        <v>6</v>
      </c>
      <c r="K370">
        <v>0</v>
      </c>
      <c r="L370">
        <v>1</v>
      </c>
      <c r="M370">
        <v>43</v>
      </c>
      <c r="N370">
        <v>6</v>
      </c>
      <c r="O370">
        <v>14</v>
      </c>
      <c r="P370">
        <v>212</v>
      </c>
      <c r="Q370">
        <v>16</v>
      </c>
      <c r="R370">
        <v>3</v>
      </c>
      <c r="S370">
        <v>159</v>
      </c>
      <c r="T370">
        <v>3</v>
      </c>
      <c r="U370">
        <v>48</v>
      </c>
      <c r="V370">
        <v>0</v>
      </c>
      <c r="W370">
        <v>0</v>
      </c>
      <c r="X370">
        <v>12</v>
      </c>
      <c r="Y370">
        <v>58</v>
      </c>
      <c r="Z370">
        <v>0</v>
      </c>
      <c r="AA370">
        <v>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 x14ac:dyDescent="0.3">
      <c r="A371" t="s">
        <v>128</v>
      </c>
      <c r="B371" t="s">
        <v>157</v>
      </c>
      <c r="C371" t="s">
        <v>34</v>
      </c>
      <c r="D371" s="1">
        <v>1498</v>
      </c>
      <c r="E371" s="1">
        <v>1336</v>
      </c>
      <c r="F371">
        <v>47</v>
      </c>
      <c r="G371">
        <v>51</v>
      </c>
      <c r="H371">
        <v>3</v>
      </c>
      <c r="I371">
        <v>28</v>
      </c>
      <c r="J371">
        <v>5</v>
      </c>
      <c r="K371">
        <v>4</v>
      </c>
      <c r="L371">
        <v>2</v>
      </c>
      <c r="M371">
        <v>1</v>
      </c>
      <c r="N371">
        <v>15</v>
      </c>
      <c r="O371">
        <v>0</v>
      </c>
      <c r="P371">
        <v>3</v>
      </c>
      <c r="Q371">
        <v>0</v>
      </c>
      <c r="R371">
        <v>0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2" spans="1:34" x14ac:dyDescent="0.3">
      <c r="A372" t="s">
        <v>128</v>
      </c>
      <c r="B372" t="s">
        <v>158</v>
      </c>
      <c r="C372" t="s">
        <v>32</v>
      </c>
      <c r="D372" s="1">
        <v>2809</v>
      </c>
      <c r="E372" s="1">
        <v>2407</v>
      </c>
      <c r="F372">
        <v>74</v>
      </c>
      <c r="G372">
        <v>102</v>
      </c>
      <c r="H372">
        <v>26</v>
      </c>
      <c r="I372">
        <v>78</v>
      </c>
      <c r="J372">
        <v>4</v>
      </c>
      <c r="K372">
        <v>17</v>
      </c>
      <c r="L372">
        <v>3</v>
      </c>
      <c r="M372">
        <v>7</v>
      </c>
      <c r="N372">
        <v>83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2</v>
      </c>
      <c r="U372">
        <v>0</v>
      </c>
      <c r="V372">
        <v>2</v>
      </c>
      <c r="W372">
        <v>0</v>
      </c>
      <c r="X372">
        <v>1</v>
      </c>
      <c r="Y372">
        <v>0</v>
      </c>
      <c r="Z372">
        <v>3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 x14ac:dyDescent="0.3">
      <c r="A373" t="s">
        <v>128</v>
      </c>
      <c r="B373" t="s">
        <v>158</v>
      </c>
      <c r="C373" t="s">
        <v>33</v>
      </c>
      <c r="D373" s="1">
        <v>1567</v>
      </c>
      <c r="E373" s="1">
        <v>1317</v>
      </c>
      <c r="F373">
        <v>49</v>
      </c>
      <c r="G373">
        <v>61</v>
      </c>
      <c r="H373">
        <v>18</v>
      </c>
      <c r="I373">
        <v>46</v>
      </c>
      <c r="J373">
        <v>4</v>
      </c>
      <c r="K373">
        <v>14</v>
      </c>
      <c r="L373">
        <v>2</v>
      </c>
      <c r="M373">
        <v>4</v>
      </c>
      <c r="N373">
        <v>45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2</v>
      </c>
      <c r="U373">
        <v>0</v>
      </c>
      <c r="V373">
        <v>2</v>
      </c>
      <c r="W373">
        <v>0</v>
      </c>
      <c r="X373">
        <v>1</v>
      </c>
      <c r="Y373">
        <v>0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 x14ac:dyDescent="0.3">
      <c r="A374" t="s">
        <v>128</v>
      </c>
      <c r="B374" t="s">
        <v>158</v>
      </c>
      <c r="C374" t="s">
        <v>34</v>
      </c>
      <c r="D374" s="1">
        <v>1242</v>
      </c>
      <c r="E374" s="1">
        <v>1090</v>
      </c>
      <c r="F374">
        <v>25</v>
      </c>
      <c r="G374">
        <v>41</v>
      </c>
      <c r="H374">
        <v>8</v>
      </c>
      <c r="I374">
        <v>32</v>
      </c>
      <c r="J374">
        <v>0</v>
      </c>
      <c r="K374">
        <v>3</v>
      </c>
      <c r="L374">
        <v>1</v>
      </c>
      <c r="M374">
        <v>3</v>
      </c>
      <c r="N374">
        <v>38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 x14ac:dyDescent="0.3">
      <c r="A375" t="s">
        <v>128</v>
      </c>
      <c r="B375" t="s">
        <v>159</v>
      </c>
      <c r="C375" t="s">
        <v>32</v>
      </c>
      <c r="D375" s="1">
        <v>2737</v>
      </c>
      <c r="E375" s="1">
        <v>1897</v>
      </c>
      <c r="F375">
        <v>66</v>
      </c>
      <c r="G375">
        <v>285</v>
      </c>
      <c r="H375">
        <v>112</v>
      </c>
      <c r="I375">
        <v>125</v>
      </c>
      <c r="J375">
        <v>2</v>
      </c>
      <c r="K375">
        <v>8</v>
      </c>
      <c r="L375">
        <v>109</v>
      </c>
      <c r="M375">
        <v>19</v>
      </c>
      <c r="N375">
        <v>88</v>
      </c>
      <c r="O375">
        <v>2</v>
      </c>
      <c r="P375">
        <v>9</v>
      </c>
      <c r="Q375">
        <v>5</v>
      </c>
      <c r="R375">
        <v>0</v>
      </c>
      <c r="S375">
        <v>2</v>
      </c>
      <c r="T375">
        <v>2</v>
      </c>
      <c r="U375">
        <v>2</v>
      </c>
      <c r="V375">
        <v>0</v>
      </c>
      <c r="W375">
        <v>0</v>
      </c>
      <c r="X375">
        <v>1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</row>
    <row r="376" spans="1:34" x14ac:dyDescent="0.3">
      <c r="A376" t="s">
        <v>128</v>
      </c>
      <c r="B376" t="s">
        <v>159</v>
      </c>
      <c r="C376" t="s">
        <v>33</v>
      </c>
      <c r="D376" s="1">
        <v>1238</v>
      </c>
      <c r="E376">
        <v>778</v>
      </c>
      <c r="F376">
        <v>26</v>
      </c>
      <c r="G376">
        <v>109</v>
      </c>
      <c r="H376">
        <v>48</v>
      </c>
      <c r="I376">
        <v>97</v>
      </c>
      <c r="J376">
        <v>0</v>
      </c>
      <c r="K376">
        <v>4</v>
      </c>
      <c r="L376">
        <v>61</v>
      </c>
      <c r="M376">
        <v>12</v>
      </c>
      <c r="N376">
        <v>79</v>
      </c>
      <c r="O376">
        <v>2</v>
      </c>
      <c r="P376">
        <v>9</v>
      </c>
      <c r="Q376">
        <v>5</v>
      </c>
      <c r="R376">
        <v>0</v>
      </c>
      <c r="S376">
        <v>2</v>
      </c>
      <c r="T376">
        <v>2</v>
      </c>
      <c r="U376">
        <v>0</v>
      </c>
      <c r="V376">
        <v>0</v>
      </c>
      <c r="W376">
        <v>0</v>
      </c>
      <c r="X376">
        <v>1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</row>
    <row r="377" spans="1:34" x14ac:dyDescent="0.3">
      <c r="A377" t="s">
        <v>128</v>
      </c>
      <c r="B377" t="s">
        <v>159</v>
      </c>
      <c r="C377" t="s">
        <v>34</v>
      </c>
      <c r="D377" s="1">
        <v>1499</v>
      </c>
      <c r="E377" s="1">
        <v>1119</v>
      </c>
      <c r="F377">
        <v>40</v>
      </c>
      <c r="G377">
        <v>176</v>
      </c>
      <c r="H377">
        <v>64</v>
      </c>
      <c r="I377">
        <v>28</v>
      </c>
      <c r="J377">
        <v>2</v>
      </c>
      <c r="K377">
        <v>4</v>
      </c>
      <c r="L377">
        <v>48</v>
      </c>
      <c r="M377">
        <v>7</v>
      </c>
      <c r="N377">
        <v>9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x14ac:dyDescent="0.3">
      <c r="A378" t="s">
        <v>128</v>
      </c>
      <c r="B378" t="s">
        <v>160</v>
      </c>
      <c r="C378" t="s">
        <v>32</v>
      </c>
      <c r="D378" s="1">
        <v>2706</v>
      </c>
      <c r="E378" s="1">
        <v>2373</v>
      </c>
      <c r="F378">
        <v>95</v>
      </c>
      <c r="G378">
        <v>65</v>
      </c>
      <c r="H378">
        <v>23</v>
      </c>
      <c r="I378">
        <v>91</v>
      </c>
      <c r="J378">
        <v>0</v>
      </c>
      <c r="K378">
        <v>12</v>
      </c>
      <c r="L378">
        <v>9</v>
      </c>
      <c r="M378">
        <v>6</v>
      </c>
      <c r="N378">
        <v>10</v>
      </c>
      <c r="O378">
        <v>0</v>
      </c>
      <c r="P378">
        <v>10</v>
      </c>
      <c r="Q378">
        <v>0</v>
      </c>
      <c r="R378">
        <v>0</v>
      </c>
      <c r="S378">
        <v>2</v>
      </c>
      <c r="T378">
        <v>2</v>
      </c>
      <c r="U378">
        <v>1</v>
      </c>
      <c r="V378">
        <v>1</v>
      </c>
      <c r="W378">
        <v>0</v>
      </c>
      <c r="X378">
        <v>5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 x14ac:dyDescent="0.3">
      <c r="A379" t="s">
        <v>128</v>
      </c>
      <c r="B379" t="s">
        <v>160</v>
      </c>
      <c r="C379" t="s">
        <v>33</v>
      </c>
      <c r="D379" s="1">
        <v>1317</v>
      </c>
      <c r="E379" s="1">
        <v>1088</v>
      </c>
      <c r="F379">
        <v>73</v>
      </c>
      <c r="G379">
        <v>30</v>
      </c>
      <c r="H379">
        <v>15</v>
      </c>
      <c r="I379">
        <v>69</v>
      </c>
      <c r="J379">
        <v>0</v>
      </c>
      <c r="K379">
        <v>8</v>
      </c>
      <c r="L379">
        <v>6</v>
      </c>
      <c r="M379">
        <v>5</v>
      </c>
      <c r="N379">
        <v>1</v>
      </c>
      <c r="O379">
        <v>0</v>
      </c>
      <c r="P379">
        <v>10</v>
      </c>
      <c r="Q379">
        <v>0</v>
      </c>
      <c r="R379">
        <v>0</v>
      </c>
      <c r="S379">
        <v>2</v>
      </c>
      <c r="T379">
        <v>2</v>
      </c>
      <c r="U379">
        <v>1</v>
      </c>
      <c r="V379">
        <v>1</v>
      </c>
      <c r="W379">
        <v>0</v>
      </c>
      <c r="X379">
        <v>5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 x14ac:dyDescent="0.3">
      <c r="A380" t="s">
        <v>128</v>
      </c>
      <c r="B380" t="s">
        <v>160</v>
      </c>
      <c r="C380" t="s">
        <v>34</v>
      </c>
      <c r="D380" s="1">
        <v>1389</v>
      </c>
      <c r="E380" s="1">
        <v>1285</v>
      </c>
      <c r="F380">
        <v>22</v>
      </c>
      <c r="G380">
        <v>35</v>
      </c>
      <c r="H380">
        <v>8</v>
      </c>
      <c r="I380">
        <v>22</v>
      </c>
      <c r="J380">
        <v>0</v>
      </c>
      <c r="K380">
        <v>4</v>
      </c>
      <c r="L380">
        <v>3</v>
      </c>
      <c r="M380">
        <v>1</v>
      </c>
      <c r="N380">
        <v>9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1:34" x14ac:dyDescent="0.3">
      <c r="A381" t="s">
        <v>128</v>
      </c>
      <c r="B381" t="s">
        <v>161</v>
      </c>
      <c r="C381" t="s">
        <v>32</v>
      </c>
      <c r="D381" s="1">
        <v>2310</v>
      </c>
      <c r="E381">
        <v>336</v>
      </c>
      <c r="F381">
        <v>173</v>
      </c>
      <c r="G381">
        <v>26</v>
      </c>
      <c r="H381">
        <v>5</v>
      </c>
      <c r="I381">
        <v>999</v>
      </c>
      <c r="J381">
        <v>0</v>
      </c>
      <c r="K381">
        <v>1</v>
      </c>
      <c r="L381">
        <v>270</v>
      </c>
      <c r="M381">
        <v>82</v>
      </c>
      <c r="N381">
        <v>142</v>
      </c>
      <c r="O381">
        <v>12</v>
      </c>
      <c r="P381">
        <v>47</v>
      </c>
      <c r="Q381">
        <v>2</v>
      </c>
      <c r="R381">
        <v>0</v>
      </c>
      <c r="S381">
        <v>70</v>
      </c>
      <c r="T381">
        <v>54</v>
      </c>
      <c r="U381">
        <v>3</v>
      </c>
      <c r="V381">
        <v>55</v>
      </c>
      <c r="W381">
        <v>0</v>
      </c>
      <c r="X381">
        <v>7</v>
      </c>
      <c r="Y381">
        <v>14</v>
      </c>
      <c r="Z381">
        <v>0</v>
      </c>
      <c r="AA381">
        <v>2</v>
      </c>
      <c r="AB381">
        <v>5</v>
      </c>
      <c r="AC381">
        <v>0</v>
      </c>
      <c r="AD381">
        <v>0</v>
      </c>
      <c r="AE381">
        <v>0</v>
      </c>
      <c r="AF381">
        <v>5</v>
      </c>
      <c r="AG381">
        <v>0</v>
      </c>
      <c r="AH381">
        <v>0</v>
      </c>
    </row>
    <row r="382" spans="1:34" x14ac:dyDescent="0.3">
      <c r="A382" t="s">
        <v>128</v>
      </c>
      <c r="B382" t="s">
        <v>161</v>
      </c>
      <c r="C382" t="s">
        <v>33</v>
      </c>
      <c r="D382" s="1">
        <v>2158</v>
      </c>
      <c r="E382">
        <v>221</v>
      </c>
      <c r="F382">
        <v>171</v>
      </c>
      <c r="G382">
        <v>10</v>
      </c>
      <c r="H382">
        <v>2</v>
      </c>
      <c r="I382">
        <v>990</v>
      </c>
      <c r="J382">
        <v>0</v>
      </c>
      <c r="K382">
        <v>1</v>
      </c>
      <c r="L382">
        <v>263</v>
      </c>
      <c r="M382">
        <v>82</v>
      </c>
      <c r="N382">
        <v>142</v>
      </c>
      <c r="O382">
        <v>12</v>
      </c>
      <c r="P382">
        <v>47</v>
      </c>
      <c r="Q382">
        <v>2</v>
      </c>
      <c r="R382">
        <v>0</v>
      </c>
      <c r="S382">
        <v>70</v>
      </c>
      <c r="T382">
        <v>54</v>
      </c>
      <c r="U382">
        <v>3</v>
      </c>
      <c r="V382">
        <v>55</v>
      </c>
      <c r="W382">
        <v>0</v>
      </c>
      <c r="X382">
        <v>7</v>
      </c>
      <c r="Y382">
        <v>14</v>
      </c>
      <c r="Z382">
        <v>0</v>
      </c>
      <c r="AA382">
        <v>2</v>
      </c>
      <c r="AB382">
        <v>5</v>
      </c>
      <c r="AC382">
        <v>0</v>
      </c>
      <c r="AD382">
        <v>0</v>
      </c>
      <c r="AE382">
        <v>0</v>
      </c>
      <c r="AF382">
        <v>5</v>
      </c>
      <c r="AG382">
        <v>0</v>
      </c>
      <c r="AH382">
        <v>0</v>
      </c>
    </row>
    <row r="383" spans="1:34" x14ac:dyDescent="0.3">
      <c r="A383" t="s">
        <v>128</v>
      </c>
      <c r="B383" t="s">
        <v>161</v>
      </c>
      <c r="C383" t="s">
        <v>34</v>
      </c>
      <c r="D383">
        <v>152</v>
      </c>
      <c r="E383">
        <v>115</v>
      </c>
      <c r="F383">
        <v>2</v>
      </c>
      <c r="G383">
        <v>16</v>
      </c>
      <c r="H383">
        <v>3</v>
      </c>
      <c r="I383">
        <v>9</v>
      </c>
      <c r="J383">
        <v>0</v>
      </c>
      <c r="K383">
        <v>0</v>
      </c>
      <c r="L383">
        <v>7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x14ac:dyDescent="0.3">
      <c r="A384" t="s">
        <v>128</v>
      </c>
      <c r="B384" t="s">
        <v>162</v>
      </c>
      <c r="C384" t="s">
        <v>32</v>
      </c>
      <c r="D384" s="1">
        <v>2188</v>
      </c>
      <c r="E384" s="1">
        <v>1976</v>
      </c>
      <c r="F384">
        <v>44</v>
      </c>
      <c r="G384">
        <v>43</v>
      </c>
      <c r="H384">
        <v>18</v>
      </c>
      <c r="I384">
        <v>48</v>
      </c>
      <c r="J384">
        <v>2</v>
      </c>
      <c r="K384">
        <v>3</v>
      </c>
      <c r="L384">
        <v>2</v>
      </c>
      <c r="M384">
        <v>7</v>
      </c>
      <c r="N384">
        <v>2</v>
      </c>
      <c r="O384">
        <v>0</v>
      </c>
      <c r="P384">
        <v>5</v>
      </c>
      <c r="Q384">
        <v>8</v>
      </c>
      <c r="R384">
        <v>8</v>
      </c>
      <c r="S384">
        <v>0</v>
      </c>
      <c r="T384">
        <v>8</v>
      </c>
      <c r="U384">
        <v>1</v>
      </c>
      <c r="V384">
        <v>7</v>
      </c>
      <c r="W384">
        <v>0</v>
      </c>
      <c r="X384">
        <v>4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</v>
      </c>
      <c r="AE384">
        <v>0</v>
      </c>
      <c r="AF384">
        <v>0</v>
      </c>
      <c r="AG384">
        <v>0</v>
      </c>
      <c r="AH384">
        <v>0</v>
      </c>
    </row>
    <row r="385" spans="1:34" x14ac:dyDescent="0.3">
      <c r="A385" t="s">
        <v>128</v>
      </c>
      <c r="B385" t="s">
        <v>162</v>
      </c>
      <c r="C385" t="s">
        <v>33</v>
      </c>
      <c r="D385" s="1">
        <v>1263</v>
      </c>
      <c r="E385" s="1">
        <v>1120</v>
      </c>
      <c r="F385">
        <v>25</v>
      </c>
      <c r="G385">
        <v>22</v>
      </c>
      <c r="H385">
        <v>10</v>
      </c>
      <c r="I385">
        <v>36</v>
      </c>
      <c r="J385">
        <v>0</v>
      </c>
      <c r="K385">
        <v>1</v>
      </c>
      <c r="L385">
        <v>1</v>
      </c>
      <c r="M385">
        <v>6</v>
      </c>
      <c r="N385">
        <v>0</v>
      </c>
      <c r="O385">
        <v>0</v>
      </c>
      <c r="P385">
        <v>4</v>
      </c>
      <c r="Q385">
        <v>8</v>
      </c>
      <c r="R385">
        <v>8</v>
      </c>
      <c r="S385">
        <v>0</v>
      </c>
      <c r="T385">
        <v>8</v>
      </c>
      <c r="U385">
        <v>1</v>
      </c>
      <c r="V385">
        <v>7</v>
      </c>
      <c r="W385">
        <v>0</v>
      </c>
      <c r="X385">
        <v>4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</v>
      </c>
      <c r="AE385">
        <v>0</v>
      </c>
      <c r="AF385">
        <v>0</v>
      </c>
      <c r="AG385">
        <v>0</v>
      </c>
      <c r="AH385">
        <v>0</v>
      </c>
    </row>
    <row r="386" spans="1:34" x14ac:dyDescent="0.3">
      <c r="A386" t="s">
        <v>128</v>
      </c>
      <c r="B386" t="s">
        <v>162</v>
      </c>
      <c r="C386" t="s">
        <v>34</v>
      </c>
      <c r="D386">
        <v>925</v>
      </c>
      <c r="E386">
        <v>856</v>
      </c>
      <c r="F386">
        <v>19</v>
      </c>
      <c r="G386">
        <v>21</v>
      </c>
      <c r="H386">
        <v>8</v>
      </c>
      <c r="I386">
        <v>12</v>
      </c>
      <c r="J386">
        <v>2</v>
      </c>
      <c r="K386">
        <v>2</v>
      </c>
      <c r="L386">
        <v>1</v>
      </c>
      <c r="M386">
        <v>1</v>
      </c>
      <c r="N386">
        <v>2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</row>
    <row r="387" spans="1:34" x14ac:dyDescent="0.3">
      <c r="A387" t="s">
        <v>128</v>
      </c>
      <c r="B387" t="s">
        <v>163</v>
      </c>
      <c r="C387" t="s">
        <v>32</v>
      </c>
      <c r="D387" s="1">
        <v>1982</v>
      </c>
      <c r="E387" s="1">
        <v>1709</v>
      </c>
      <c r="F387">
        <v>73</v>
      </c>
      <c r="G387">
        <v>68</v>
      </c>
      <c r="H387">
        <v>17</v>
      </c>
      <c r="I387">
        <v>84</v>
      </c>
      <c r="J387">
        <v>2</v>
      </c>
      <c r="K387">
        <v>2</v>
      </c>
      <c r="L387">
        <v>4</v>
      </c>
      <c r="M387">
        <v>8</v>
      </c>
      <c r="N387">
        <v>14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 x14ac:dyDescent="0.3">
      <c r="A388" t="s">
        <v>128</v>
      </c>
      <c r="B388" t="s">
        <v>163</v>
      </c>
      <c r="C388" t="s">
        <v>33</v>
      </c>
      <c r="D388" s="1">
        <v>1038</v>
      </c>
      <c r="E388">
        <v>895</v>
      </c>
      <c r="F388">
        <v>40</v>
      </c>
      <c r="G388">
        <v>37</v>
      </c>
      <c r="H388">
        <v>6</v>
      </c>
      <c r="I388">
        <v>42</v>
      </c>
      <c r="J388">
        <v>2</v>
      </c>
      <c r="K388">
        <v>2</v>
      </c>
      <c r="L388">
        <v>2</v>
      </c>
      <c r="M388">
        <v>3</v>
      </c>
      <c r="N388">
        <v>9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 x14ac:dyDescent="0.3">
      <c r="A389" t="s">
        <v>128</v>
      </c>
      <c r="B389" t="s">
        <v>163</v>
      </c>
      <c r="C389" t="s">
        <v>34</v>
      </c>
      <c r="D389">
        <v>944</v>
      </c>
      <c r="E389">
        <v>814</v>
      </c>
      <c r="F389">
        <v>33</v>
      </c>
      <c r="G389">
        <v>31</v>
      </c>
      <c r="H389">
        <v>11</v>
      </c>
      <c r="I389">
        <v>42</v>
      </c>
      <c r="J389">
        <v>0</v>
      </c>
      <c r="K389">
        <v>0</v>
      </c>
      <c r="L389">
        <v>2</v>
      </c>
      <c r="M389">
        <v>5</v>
      </c>
      <c r="N389">
        <v>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 x14ac:dyDescent="0.3">
      <c r="A390" t="s">
        <v>128</v>
      </c>
      <c r="B390" t="s">
        <v>164</v>
      </c>
      <c r="C390" t="s">
        <v>32</v>
      </c>
      <c r="D390" s="1">
        <v>1868</v>
      </c>
      <c r="E390" s="1">
        <v>1066</v>
      </c>
      <c r="F390">
        <v>49</v>
      </c>
      <c r="G390">
        <v>13</v>
      </c>
      <c r="H390">
        <v>18</v>
      </c>
      <c r="I390">
        <v>274</v>
      </c>
      <c r="J390">
        <v>0</v>
      </c>
      <c r="K390">
        <v>0</v>
      </c>
      <c r="L390">
        <v>12</v>
      </c>
      <c r="M390">
        <v>15</v>
      </c>
      <c r="N390">
        <v>3</v>
      </c>
      <c r="O390">
        <v>16</v>
      </c>
      <c r="P390">
        <v>113</v>
      </c>
      <c r="Q390">
        <v>8</v>
      </c>
      <c r="R390">
        <v>2</v>
      </c>
      <c r="S390">
        <v>142</v>
      </c>
      <c r="T390">
        <v>30</v>
      </c>
      <c r="U390">
        <v>16</v>
      </c>
      <c r="V390">
        <v>17</v>
      </c>
      <c r="W390">
        <v>0</v>
      </c>
      <c r="X390">
        <v>5</v>
      </c>
      <c r="Y390">
        <v>58</v>
      </c>
      <c r="Z390">
        <v>1</v>
      </c>
      <c r="AA390">
        <v>0</v>
      </c>
      <c r="AB390">
        <v>8</v>
      </c>
      <c r="AC390">
        <v>0</v>
      </c>
      <c r="AD390">
        <v>2</v>
      </c>
      <c r="AE390">
        <v>0</v>
      </c>
      <c r="AF390">
        <v>0</v>
      </c>
      <c r="AG390">
        <v>0</v>
      </c>
      <c r="AH390">
        <v>0</v>
      </c>
    </row>
    <row r="391" spans="1:34" x14ac:dyDescent="0.3">
      <c r="A391" t="s">
        <v>128</v>
      </c>
      <c r="B391" t="s">
        <v>164</v>
      </c>
      <c r="C391" t="s">
        <v>33</v>
      </c>
      <c r="D391" s="1">
        <v>1282</v>
      </c>
      <c r="E391">
        <v>511</v>
      </c>
      <c r="F391">
        <v>46</v>
      </c>
      <c r="G391">
        <v>4</v>
      </c>
      <c r="H391">
        <v>7</v>
      </c>
      <c r="I391">
        <v>271</v>
      </c>
      <c r="J391">
        <v>0</v>
      </c>
      <c r="K391">
        <v>0</v>
      </c>
      <c r="L391">
        <v>8</v>
      </c>
      <c r="M391">
        <v>15</v>
      </c>
      <c r="N391">
        <v>3</v>
      </c>
      <c r="O391">
        <v>16</v>
      </c>
      <c r="P391">
        <v>113</v>
      </c>
      <c r="Q391">
        <v>8</v>
      </c>
      <c r="R391">
        <v>2</v>
      </c>
      <c r="S391">
        <v>141</v>
      </c>
      <c r="T391">
        <v>30</v>
      </c>
      <c r="U391">
        <v>16</v>
      </c>
      <c r="V391">
        <v>17</v>
      </c>
      <c r="W391">
        <v>0</v>
      </c>
      <c r="X391">
        <v>5</v>
      </c>
      <c r="Y391">
        <v>58</v>
      </c>
      <c r="Z391">
        <v>1</v>
      </c>
      <c r="AA391">
        <v>0</v>
      </c>
      <c r="AB391">
        <v>8</v>
      </c>
      <c r="AC391">
        <v>0</v>
      </c>
      <c r="AD391">
        <v>2</v>
      </c>
      <c r="AE391">
        <v>0</v>
      </c>
      <c r="AF391">
        <v>0</v>
      </c>
      <c r="AG391">
        <v>0</v>
      </c>
      <c r="AH391">
        <v>0</v>
      </c>
    </row>
    <row r="392" spans="1:34" x14ac:dyDescent="0.3">
      <c r="A392" t="s">
        <v>128</v>
      </c>
      <c r="B392" t="s">
        <v>164</v>
      </c>
      <c r="C392" t="s">
        <v>34</v>
      </c>
      <c r="D392">
        <v>586</v>
      </c>
      <c r="E392">
        <v>555</v>
      </c>
      <c r="F392">
        <v>3</v>
      </c>
      <c r="G392">
        <v>9</v>
      </c>
      <c r="H392">
        <v>11</v>
      </c>
      <c r="I392">
        <v>3</v>
      </c>
      <c r="J392">
        <v>0</v>
      </c>
      <c r="K392">
        <v>0</v>
      </c>
      <c r="L392">
        <v>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3">
      <c r="A393" t="s">
        <v>128</v>
      </c>
      <c r="B393" t="s">
        <v>165</v>
      </c>
      <c r="C393" t="s">
        <v>32</v>
      </c>
      <c r="D393" s="1">
        <v>1121</v>
      </c>
      <c r="E393">
        <v>761</v>
      </c>
      <c r="F393">
        <v>27</v>
      </c>
      <c r="G393">
        <v>42</v>
      </c>
      <c r="H393">
        <v>17</v>
      </c>
      <c r="I393">
        <v>150</v>
      </c>
      <c r="J393">
        <v>0</v>
      </c>
      <c r="K393">
        <v>0</v>
      </c>
      <c r="L393">
        <v>14</v>
      </c>
      <c r="M393">
        <v>27</v>
      </c>
      <c r="N393">
        <v>82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3">
      <c r="A394" t="s">
        <v>128</v>
      </c>
      <c r="B394" t="s">
        <v>165</v>
      </c>
      <c r="C394" t="s">
        <v>33</v>
      </c>
      <c r="D394">
        <v>580</v>
      </c>
      <c r="E394">
        <v>375</v>
      </c>
      <c r="F394">
        <v>16</v>
      </c>
      <c r="G394">
        <v>27</v>
      </c>
      <c r="H394">
        <v>11</v>
      </c>
      <c r="I394">
        <v>79</v>
      </c>
      <c r="J394">
        <v>0</v>
      </c>
      <c r="K394">
        <v>0</v>
      </c>
      <c r="L394">
        <v>10</v>
      </c>
      <c r="M394">
        <v>14</v>
      </c>
      <c r="N394">
        <v>47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3">
      <c r="A395" t="s">
        <v>128</v>
      </c>
      <c r="B395" t="s">
        <v>165</v>
      </c>
      <c r="C395" t="s">
        <v>34</v>
      </c>
      <c r="D395">
        <v>540</v>
      </c>
      <c r="E395">
        <v>385</v>
      </c>
      <c r="F395">
        <v>11</v>
      </c>
      <c r="G395">
        <v>15</v>
      </c>
      <c r="H395">
        <v>6</v>
      </c>
      <c r="I395">
        <v>71</v>
      </c>
      <c r="J395">
        <v>0</v>
      </c>
      <c r="K395">
        <v>0</v>
      </c>
      <c r="L395">
        <v>4</v>
      </c>
      <c r="M395">
        <v>13</v>
      </c>
      <c r="N395">
        <v>35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 x14ac:dyDescent="0.3">
      <c r="A396" t="s">
        <v>128</v>
      </c>
      <c r="B396" t="s">
        <v>165</v>
      </c>
      <c r="C396" t="s">
        <v>35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</row>
    <row r="397" spans="1:34" x14ac:dyDescent="0.3">
      <c r="A397" t="s">
        <v>128</v>
      </c>
      <c r="B397" t="s">
        <v>166</v>
      </c>
      <c r="C397" t="s">
        <v>32</v>
      </c>
      <c r="D397" s="1">
        <v>1028</v>
      </c>
      <c r="E397">
        <v>939</v>
      </c>
      <c r="F397">
        <v>26</v>
      </c>
      <c r="G397">
        <v>29</v>
      </c>
      <c r="H397">
        <v>2</v>
      </c>
      <c r="I397">
        <v>16</v>
      </c>
      <c r="J397">
        <v>0</v>
      </c>
      <c r="K397">
        <v>1</v>
      </c>
      <c r="L397">
        <v>8</v>
      </c>
      <c r="M397">
        <v>5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</row>
    <row r="398" spans="1:34" x14ac:dyDescent="0.3">
      <c r="A398" t="s">
        <v>128</v>
      </c>
      <c r="B398" t="s">
        <v>166</v>
      </c>
      <c r="C398" t="s">
        <v>33</v>
      </c>
      <c r="D398">
        <v>619</v>
      </c>
      <c r="E398">
        <v>557</v>
      </c>
      <c r="F398">
        <v>12</v>
      </c>
      <c r="G398">
        <v>19</v>
      </c>
      <c r="H398">
        <v>1</v>
      </c>
      <c r="I398">
        <v>15</v>
      </c>
      <c r="J398">
        <v>0</v>
      </c>
      <c r="K398">
        <v>1</v>
      </c>
      <c r="L398">
        <v>8</v>
      </c>
      <c r="M398">
        <v>4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</row>
    <row r="399" spans="1:34" x14ac:dyDescent="0.3">
      <c r="A399" t="s">
        <v>128</v>
      </c>
      <c r="B399" t="s">
        <v>166</v>
      </c>
      <c r="C399" t="s">
        <v>34</v>
      </c>
      <c r="D399">
        <v>409</v>
      </c>
      <c r="E399">
        <v>382</v>
      </c>
      <c r="F399">
        <v>14</v>
      </c>
      <c r="G399">
        <v>10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</row>
    <row r="400" spans="1:34" x14ac:dyDescent="0.3">
      <c r="A400" t="s">
        <v>128</v>
      </c>
      <c r="B400" t="s">
        <v>167</v>
      </c>
      <c r="C400" t="s">
        <v>32</v>
      </c>
      <c r="D400">
        <v>859</v>
      </c>
      <c r="E400">
        <v>754</v>
      </c>
      <c r="F400">
        <v>35</v>
      </c>
      <c r="G400">
        <v>43</v>
      </c>
      <c r="H400">
        <v>4</v>
      </c>
      <c r="I400">
        <v>13</v>
      </c>
      <c r="J400">
        <v>0</v>
      </c>
      <c r="K400">
        <v>0</v>
      </c>
      <c r="L400">
        <v>2</v>
      </c>
      <c r="M400">
        <v>3</v>
      </c>
      <c r="N400">
        <v>4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 x14ac:dyDescent="0.3">
      <c r="A401" t="s">
        <v>128</v>
      </c>
      <c r="B401" t="s">
        <v>167</v>
      </c>
      <c r="C401" t="s">
        <v>33</v>
      </c>
      <c r="D401">
        <v>442</v>
      </c>
      <c r="E401">
        <v>371</v>
      </c>
      <c r="F401">
        <v>26</v>
      </c>
      <c r="G401">
        <v>29</v>
      </c>
      <c r="H401">
        <v>4</v>
      </c>
      <c r="I401">
        <v>7</v>
      </c>
      <c r="J401">
        <v>0</v>
      </c>
      <c r="K401">
        <v>0</v>
      </c>
      <c r="L401">
        <v>0</v>
      </c>
      <c r="M401">
        <v>2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 x14ac:dyDescent="0.3">
      <c r="A402" t="s">
        <v>128</v>
      </c>
      <c r="B402" t="s">
        <v>167</v>
      </c>
      <c r="C402" t="s">
        <v>34</v>
      </c>
      <c r="D402">
        <v>415</v>
      </c>
      <c r="E402">
        <v>381</v>
      </c>
      <c r="F402">
        <v>9</v>
      </c>
      <c r="G402">
        <v>14</v>
      </c>
      <c r="H402">
        <v>0</v>
      </c>
      <c r="I402">
        <v>6</v>
      </c>
      <c r="J402">
        <v>0</v>
      </c>
      <c r="K402">
        <v>0</v>
      </c>
      <c r="L402">
        <v>2</v>
      </c>
      <c r="M402">
        <v>1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 x14ac:dyDescent="0.3">
      <c r="A403" t="s">
        <v>128</v>
      </c>
      <c r="B403" t="s">
        <v>167</v>
      </c>
      <c r="C403" t="s">
        <v>35</v>
      </c>
      <c r="D403">
        <v>2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</row>
    <row r="404" spans="1:34" x14ac:dyDescent="0.3">
      <c r="A404" t="s">
        <v>128</v>
      </c>
      <c r="B404" t="s">
        <v>168</v>
      </c>
      <c r="C404" t="s">
        <v>32</v>
      </c>
      <c r="D404">
        <v>694</v>
      </c>
      <c r="E404">
        <v>610</v>
      </c>
      <c r="F404">
        <v>17</v>
      </c>
      <c r="G404">
        <v>26</v>
      </c>
      <c r="H404">
        <v>3</v>
      </c>
      <c r="I404">
        <v>10</v>
      </c>
      <c r="J404">
        <v>0</v>
      </c>
      <c r="K404">
        <v>0</v>
      </c>
      <c r="L404">
        <v>13</v>
      </c>
      <c r="M404">
        <v>10</v>
      </c>
      <c r="N404">
        <v>5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 x14ac:dyDescent="0.3">
      <c r="A405" t="s">
        <v>128</v>
      </c>
      <c r="B405" t="s">
        <v>168</v>
      </c>
      <c r="C405" t="s">
        <v>33</v>
      </c>
      <c r="D405">
        <v>369</v>
      </c>
      <c r="E405">
        <v>320</v>
      </c>
      <c r="F405">
        <v>10</v>
      </c>
      <c r="G405">
        <v>17</v>
      </c>
      <c r="H405">
        <v>2</v>
      </c>
      <c r="I405">
        <v>6</v>
      </c>
      <c r="J405">
        <v>0</v>
      </c>
      <c r="K405">
        <v>0</v>
      </c>
      <c r="L405">
        <v>7</v>
      </c>
      <c r="M405">
        <v>5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 x14ac:dyDescent="0.3">
      <c r="A406" t="s">
        <v>128</v>
      </c>
      <c r="B406" t="s">
        <v>168</v>
      </c>
      <c r="C406" t="s">
        <v>34</v>
      </c>
      <c r="D406">
        <v>325</v>
      </c>
      <c r="E406">
        <v>290</v>
      </c>
      <c r="F406">
        <v>7</v>
      </c>
      <c r="G406">
        <v>9</v>
      </c>
      <c r="H406">
        <v>1</v>
      </c>
      <c r="I406">
        <v>4</v>
      </c>
      <c r="J406">
        <v>0</v>
      </c>
      <c r="K406">
        <v>0</v>
      </c>
      <c r="L406">
        <v>6</v>
      </c>
      <c r="M406">
        <v>5</v>
      </c>
      <c r="N406">
        <v>3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</row>
    <row r="407" spans="1:34" x14ac:dyDescent="0.3">
      <c r="A407" t="s">
        <v>128</v>
      </c>
      <c r="B407" t="s">
        <v>169</v>
      </c>
      <c r="C407" t="s">
        <v>32</v>
      </c>
      <c r="D407">
        <v>549</v>
      </c>
      <c r="E407">
        <v>279</v>
      </c>
      <c r="F407">
        <v>24</v>
      </c>
      <c r="G407">
        <v>12</v>
      </c>
      <c r="H407">
        <v>2</v>
      </c>
      <c r="I407">
        <v>36</v>
      </c>
      <c r="J407">
        <v>1</v>
      </c>
      <c r="K407">
        <v>6</v>
      </c>
      <c r="L407">
        <v>43</v>
      </c>
      <c r="M407">
        <v>11</v>
      </c>
      <c r="N407">
        <v>126</v>
      </c>
      <c r="O407">
        <v>0</v>
      </c>
      <c r="P407">
        <v>3</v>
      </c>
      <c r="Q407">
        <v>0</v>
      </c>
      <c r="R407">
        <v>0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3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 x14ac:dyDescent="0.3">
      <c r="A408" t="s">
        <v>128</v>
      </c>
      <c r="B408" t="s">
        <v>169</v>
      </c>
      <c r="C408" t="s">
        <v>33</v>
      </c>
      <c r="D408">
        <v>383</v>
      </c>
      <c r="E408">
        <v>136</v>
      </c>
      <c r="F408">
        <v>16</v>
      </c>
      <c r="G408">
        <v>7</v>
      </c>
      <c r="H408">
        <v>1</v>
      </c>
      <c r="I408">
        <v>35</v>
      </c>
      <c r="J408">
        <v>0</v>
      </c>
      <c r="K408">
        <v>4</v>
      </c>
      <c r="L408">
        <v>41</v>
      </c>
      <c r="M408">
        <v>11</v>
      </c>
      <c r="N408">
        <v>123</v>
      </c>
      <c r="O408">
        <v>0</v>
      </c>
      <c r="P408">
        <v>3</v>
      </c>
      <c r="Q408">
        <v>0</v>
      </c>
      <c r="R408">
        <v>0</v>
      </c>
      <c r="S408">
        <v>2</v>
      </c>
      <c r="T408">
        <v>0</v>
      </c>
      <c r="U408">
        <v>0</v>
      </c>
      <c r="V408">
        <v>0</v>
      </c>
      <c r="W408">
        <v>0</v>
      </c>
      <c r="X408">
        <v>3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 x14ac:dyDescent="0.3">
      <c r="A409" t="s">
        <v>128</v>
      </c>
      <c r="B409" t="s">
        <v>169</v>
      </c>
      <c r="C409" t="s">
        <v>34</v>
      </c>
      <c r="D409">
        <v>166</v>
      </c>
      <c r="E409">
        <v>143</v>
      </c>
      <c r="F409">
        <v>8</v>
      </c>
      <c r="G409">
        <v>5</v>
      </c>
      <c r="H409">
        <v>1</v>
      </c>
      <c r="I409">
        <v>1</v>
      </c>
      <c r="J409">
        <v>1</v>
      </c>
      <c r="K409">
        <v>2</v>
      </c>
      <c r="L409">
        <v>2</v>
      </c>
      <c r="M409">
        <v>0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 x14ac:dyDescent="0.3">
      <c r="A410" t="s">
        <v>128</v>
      </c>
      <c r="B410" t="s">
        <v>170</v>
      </c>
      <c r="C410" t="s">
        <v>32</v>
      </c>
      <c r="D410">
        <v>470</v>
      </c>
      <c r="E410">
        <v>384</v>
      </c>
      <c r="F410">
        <v>30</v>
      </c>
      <c r="G410">
        <v>22</v>
      </c>
      <c r="H410">
        <v>7</v>
      </c>
      <c r="I410">
        <v>17</v>
      </c>
      <c r="J410">
        <v>0</v>
      </c>
      <c r="K410">
        <v>1</v>
      </c>
      <c r="L410">
        <v>7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 x14ac:dyDescent="0.3">
      <c r="A411" t="s">
        <v>128</v>
      </c>
      <c r="B411" t="s">
        <v>170</v>
      </c>
      <c r="C411" t="s">
        <v>33</v>
      </c>
      <c r="D411">
        <v>180</v>
      </c>
      <c r="E411">
        <v>160</v>
      </c>
      <c r="F411">
        <v>3</v>
      </c>
      <c r="G411">
        <v>5</v>
      </c>
      <c r="H411">
        <v>3</v>
      </c>
      <c r="I411">
        <v>4</v>
      </c>
      <c r="J411">
        <v>0</v>
      </c>
      <c r="K411">
        <v>0</v>
      </c>
      <c r="L411">
        <v>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</row>
    <row r="412" spans="1:34" x14ac:dyDescent="0.3">
      <c r="A412" t="s">
        <v>128</v>
      </c>
      <c r="B412" t="s">
        <v>170</v>
      </c>
      <c r="C412" t="s">
        <v>34</v>
      </c>
      <c r="D412">
        <v>290</v>
      </c>
      <c r="E412">
        <v>224</v>
      </c>
      <c r="F412">
        <v>27</v>
      </c>
      <c r="G412">
        <v>17</v>
      </c>
      <c r="H412">
        <v>4</v>
      </c>
      <c r="I412">
        <v>13</v>
      </c>
      <c r="J412">
        <v>0</v>
      </c>
      <c r="K412">
        <v>1</v>
      </c>
      <c r="L412">
        <v>3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 x14ac:dyDescent="0.3">
      <c r="A413" t="s">
        <v>128</v>
      </c>
      <c r="B413" t="s">
        <v>171</v>
      </c>
      <c r="C413" t="s">
        <v>32</v>
      </c>
      <c r="D413">
        <v>293</v>
      </c>
      <c r="E413">
        <v>109</v>
      </c>
      <c r="F413">
        <v>6</v>
      </c>
      <c r="G413">
        <v>8</v>
      </c>
      <c r="H413">
        <v>0</v>
      </c>
      <c r="I413">
        <v>89</v>
      </c>
      <c r="J413">
        <v>0</v>
      </c>
      <c r="K413">
        <v>1</v>
      </c>
      <c r="L413">
        <v>31</v>
      </c>
      <c r="M413">
        <v>20</v>
      </c>
      <c r="N413">
        <v>26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</row>
    <row r="414" spans="1:34" x14ac:dyDescent="0.3">
      <c r="A414" t="s">
        <v>128</v>
      </c>
      <c r="B414" t="s">
        <v>171</v>
      </c>
      <c r="C414" t="s">
        <v>33</v>
      </c>
      <c r="D414">
        <v>293</v>
      </c>
      <c r="E414">
        <v>109</v>
      </c>
      <c r="F414">
        <v>6</v>
      </c>
      <c r="G414">
        <v>8</v>
      </c>
      <c r="H414">
        <v>0</v>
      </c>
      <c r="I414">
        <v>89</v>
      </c>
      <c r="J414">
        <v>0</v>
      </c>
      <c r="K414">
        <v>1</v>
      </c>
      <c r="L414">
        <v>31</v>
      </c>
      <c r="M414">
        <v>20</v>
      </c>
      <c r="N414">
        <v>26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</row>
    <row r="415" spans="1:34" x14ac:dyDescent="0.3">
      <c r="A415" t="s">
        <v>128</v>
      </c>
      <c r="B415" t="s">
        <v>172</v>
      </c>
      <c r="C415" t="s">
        <v>32</v>
      </c>
      <c r="D415">
        <v>216</v>
      </c>
      <c r="E415">
        <v>27</v>
      </c>
      <c r="F415">
        <v>8</v>
      </c>
      <c r="G415">
        <v>4</v>
      </c>
      <c r="H415">
        <v>0</v>
      </c>
      <c r="I415">
        <v>81</v>
      </c>
      <c r="J415">
        <v>0</v>
      </c>
      <c r="K415">
        <v>0</v>
      </c>
      <c r="L415">
        <v>7</v>
      </c>
      <c r="M415">
        <v>31</v>
      </c>
      <c r="N415">
        <v>55</v>
      </c>
      <c r="O415">
        <v>0</v>
      </c>
      <c r="P415">
        <v>0</v>
      </c>
      <c r="Q415">
        <v>0</v>
      </c>
      <c r="R415">
        <v>0</v>
      </c>
      <c r="S415">
        <v>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 x14ac:dyDescent="0.3">
      <c r="A416" t="s">
        <v>128</v>
      </c>
      <c r="B416" t="s">
        <v>172</v>
      </c>
      <c r="C416" t="s">
        <v>33</v>
      </c>
      <c r="D416">
        <v>216</v>
      </c>
      <c r="E416">
        <v>27</v>
      </c>
      <c r="F416">
        <v>8</v>
      </c>
      <c r="G416">
        <v>4</v>
      </c>
      <c r="H416">
        <v>0</v>
      </c>
      <c r="I416">
        <v>81</v>
      </c>
      <c r="J416">
        <v>0</v>
      </c>
      <c r="K416">
        <v>0</v>
      </c>
      <c r="L416">
        <v>7</v>
      </c>
      <c r="M416">
        <v>31</v>
      </c>
      <c r="N416">
        <v>55</v>
      </c>
      <c r="O416">
        <v>0</v>
      </c>
      <c r="P416">
        <v>0</v>
      </c>
      <c r="Q416">
        <v>0</v>
      </c>
      <c r="R416">
        <v>0</v>
      </c>
      <c r="S416">
        <v>3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</row>
    <row r="417" spans="1:34" x14ac:dyDescent="0.3">
      <c r="A417" t="s">
        <v>128</v>
      </c>
      <c r="B417" t="s">
        <v>173</v>
      </c>
      <c r="C417" t="s">
        <v>32</v>
      </c>
      <c r="D417">
        <v>163</v>
      </c>
      <c r="E417">
        <v>153</v>
      </c>
      <c r="F417">
        <v>4</v>
      </c>
      <c r="G417">
        <v>4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 x14ac:dyDescent="0.3">
      <c r="A418" t="s">
        <v>128</v>
      </c>
      <c r="B418" t="s">
        <v>173</v>
      </c>
      <c r="C418" t="s">
        <v>33</v>
      </c>
      <c r="D418">
        <v>94</v>
      </c>
      <c r="E418">
        <v>88</v>
      </c>
      <c r="F418">
        <v>3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</row>
    <row r="419" spans="1:34" x14ac:dyDescent="0.3">
      <c r="A419" t="s">
        <v>128</v>
      </c>
      <c r="B419" t="s">
        <v>173</v>
      </c>
      <c r="C419" t="s">
        <v>34</v>
      </c>
      <c r="D419">
        <v>69</v>
      </c>
      <c r="E419">
        <v>65</v>
      </c>
      <c r="F419">
        <v>1</v>
      </c>
      <c r="G419">
        <v>1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 x14ac:dyDescent="0.3">
      <c r="A420" t="s">
        <v>128</v>
      </c>
      <c r="B420" t="s">
        <v>174</v>
      </c>
      <c r="C420" t="s">
        <v>32</v>
      </c>
      <c r="D420">
        <v>127</v>
      </c>
      <c r="E420">
        <v>102</v>
      </c>
      <c r="F420">
        <v>5</v>
      </c>
      <c r="G420">
        <v>6</v>
      </c>
      <c r="H420">
        <v>0</v>
      </c>
      <c r="I420">
        <v>14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 x14ac:dyDescent="0.3">
      <c r="A421" t="s">
        <v>128</v>
      </c>
      <c r="B421" t="s">
        <v>174</v>
      </c>
      <c r="C421" t="s">
        <v>33</v>
      </c>
      <c r="D421">
        <v>69</v>
      </c>
      <c r="E421">
        <v>56</v>
      </c>
      <c r="F421">
        <v>2</v>
      </c>
      <c r="G421">
        <v>2</v>
      </c>
      <c r="H421">
        <v>0</v>
      </c>
      <c r="I421">
        <v>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3">
      <c r="A422" t="s">
        <v>128</v>
      </c>
      <c r="B422" t="s">
        <v>174</v>
      </c>
      <c r="C422" t="s">
        <v>34</v>
      </c>
      <c r="D422">
        <v>58</v>
      </c>
      <c r="E422">
        <v>46</v>
      </c>
      <c r="F422">
        <v>3</v>
      </c>
      <c r="G422">
        <v>4</v>
      </c>
      <c r="H422">
        <v>0</v>
      </c>
      <c r="I422">
        <v>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3">
      <c r="A423" t="s">
        <v>128</v>
      </c>
      <c r="B423" t="s">
        <v>175</v>
      </c>
      <c r="C423" t="s">
        <v>32</v>
      </c>
      <c r="D423">
        <v>111</v>
      </c>
      <c r="E423">
        <v>101</v>
      </c>
      <c r="F423">
        <v>6</v>
      </c>
      <c r="G423">
        <v>3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</row>
    <row r="424" spans="1:34" x14ac:dyDescent="0.3">
      <c r="A424" t="s">
        <v>128</v>
      </c>
      <c r="B424" t="s">
        <v>175</v>
      </c>
      <c r="C424" t="s">
        <v>33</v>
      </c>
      <c r="D424">
        <v>67</v>
      </c>
      <c r="E424">
        <v>64</v>
      </c>
      <c r="F424">
        <v>2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 x14ac:dyDescent="0.3">
      <c r="A425" t="s">
        <v>128</v>
      </c>
      <c r="B425" t="s">
        <v>175</v>
      </c>
      <c r="C425" t="s">
        <v>34</v>
      </c>
      <c r="D425">
        <v>44</v>
      </c>
      <c r="E425">
        <v>37</v>
      </c>
      <c r="F425">
        <v>4</v>
      </c>
      <c r="G425">
        <v>2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 x14ac:dyDescent="0.3">
      <c r="A426" t="s">
        <v>128</v>
      </c>
      <c r="B426" t="s">
        <v>176</v>
      </c>
      <c r="C426" t="s">
        <v>32</v>
      </c>
      <c r="D426">
        <v>80</v>
      </c>
      <c r="E426">
        <v>64</v>
      </c>
      <c r="F426">
        <v>15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</row>
    <row r="427" spans="1:34" x14ac:dyDescent="0.3">
      <c r="A427" t="s">
        <v>128</v>
      </c>
      <c r="B427" t="s">
        <v>176</v>
      </c>
      <c r="C427" t="s">
        <v>33</v>
      </c>
      <c r="D427">
        <v>80</v>
      </c>
      <c r="E427">
        <v>64</v>
      </c>
      <c r="F427">
        <v>15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</row>
    <row r="428" spans="1:34" x14ac:dyDescent="0.3">
      <c r="A428" t="s">
        <v>128</v>
      </c>
      <c r="B428" t="s">
        <v>177</v>
      </c>
      <c r="C428" t="s">
        <v>32</v>
      </c>
      <c r="D428">
        <v>71</v>
      </c>
      <c r="E428">
        <v>54</v>
      </c>
      <c r="F428">
        <v>5</v>
      </c>
      <c r="G428">
        <v>3</v>
      </c>
      <c r="H428">
        <v>0</v>
      </c>
      <c r="I428">
        <v>4</v>
      </c>
      <c r="J428">
        <v>0</v>
      </c>
      <c r="K428">
        <v>0</v>
      </c>
      <c r="L428">
        <v>2</v>
      </c>
      <c r="M428">
        <v>0</v>
      </c>
      <c r="N428">
        <v>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 spans="1:34" x14ac:dyDescent="0.3">
      <c r="A429" t="s">
        <v>128</v>
      </c>
      <c r="B429" t="s">
        <v>177</v>
      </c>
      <c r="C429" t="s">
        <v>33</v>
      </c>
      <c r="D429">
        <v>37</v>
      </c>
      <c r="E429">
        <v>27</v>
      </c>
      <c r="F429">
        <v>3</v>
      </c>
      <c r="G429">
        <v>3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 x14ac:dyDescent="0.3">
      <c r="A430" t="s">
        <v>128</v>
      </c>
      <c r="B430" t="s">
        <v>177</v>
      </c>
      <c r="C430" t="s">
        <v>34</v>
      </c>
      <c r="D430">
        <v>34</v>
      </c>
      <c r="E430">
        <v>27</v>
      </c>
      <c r="F430">
        <v>2</v>
      </c>
      <c r="G430">
        <v>0</v>
      </c>
      <c r="H430">
        <v>0</v>
      </c>
      <c r="I430">
        <v>3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</row>
    <row r="431" spans="1:34" x14ac:dyDescent="0.3">
      <c r="A431" t="s">
        <v>128</v>
      </c>
      <c r="B431" t="s">
        <v>178</v>
      </c>
      <c r="C431" t="s">
        <v>32</v>
      </c>
      <c r="D431">
        <v>43</v>
      </c>
      <c r="E431">
        <v>40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</row>
    <row r="432" spans="1:34" x14ac:dyDescent="0.3">
      <c r="A432" t="s">
        <v>128</v>
      </c>
      <c r="B432" t="s">
        <v>178</v>
      </c>
      <c r="C432" t="s">
        <v>33</v>
      </c>
      <c r="D432">
        <v>25</v>
      </c>
      <c r="E432">
        <v>22</v>
      </c>
      <c r="F432">
        <v>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</row>
    <row r="433" spans="1:34" x14ac:dyDescent="0.3">
      <c r="A433" t="s">
        <v>128</v>
      </c>
      <c r="B433" t="s">
        <v>178</v>
      </c>
      <c r="C433" t="s">
        <v>34</v>
      </c>
      <c r="D433">
        <v>18</v>
      </c>
      <c r="E433">
        <v>18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</row>
    <row r="434" spans="1:34" x14ac:dyDescent="0.3">
      <c r="A434" t="s">
        <v>128</v>
      </c>
      <c r="B434" t="s">
        <v>179</v>
      </c>
      <c r="C434" t="s">
        <v>32</v>
      </c>
      <c r="D434">
        <v>7</v>
      </c>
      <c r="E434">
        <v>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 x14ac:dyDescent="0.3">
      <c r="A435" t="s">
        <v>128</v>
      </c>
      <c r="B435" t="s">
        <v>179</v>
      </c>
      <c r="C435" t="s">
        <v>33</v>
      </c>
      <c r="D435">
        <v>7</v>
      </c>
      <c r="E435">
        <v>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 x14ac:dyDescent="0.3">
      <c r="A436" t="s">
        <v>180</v>
      </c>
      <c r="B436" t="s">
        <v>252</v>
      </c>
      <c r="C436" t="s">
        <v>32</v>
      </c>
      <c r="D436" s="1">
        <v>318535</v>
      </c>
      <c r="E436" s="1">
        <v>259681</v>
      </c>
      <c r="F436" s="1">
        <v>12988</v>
      </c>
      <c r="G436" s="1">
        <v>10549</v>
      </c>
      <c r="H436" s="1">
        <v>3554</v>
      </c>
      <c r="I436" s="1">
        <v>19827</v>
      </c>
      <c r="J436">
        <v>347</v>
      </c>
      <c r="K436">
        <v>557</v>
      </c>
      <c r="L436" s="1">
        <v>3140</v>
      </c>
      <c r="M436" s="1">
        <v>1649</v>
      </c>
      <c r="N436" s="1">
        <v>4893</v>
      </c>
      <c r="O436">
        <v>15</v>
      </c>
      <c r="P436">
        <v>315</v>
      </c>
      <c r="Q436">
        <v>64</v>
      </c>
      <c r="R436">
        <v>25</v>
      </c>
      <c r="S436">
        <v>9</v>
      </c>
      <c r="T436">
        <v>5</v>
      </c>
      <c r="U436">
        <v>5</v>
      </c>
      <c r="V436">
        <v>0</v>
      </c>
      <c r="W436">
        <v>76</v>
      </c>
      <c r="X436">
        <v>11</v>
      </c>
      <c r="Y436">
        <v>1</v>
      </c>
      <c r="Z436">
        <v>812</v>
      </c>
      <c r="AA436">
        <v>7</v>
      </c>
      <c r="AB436">
        <v>0</v>
      </c>
      <c r="AC436">
        <v>1</v>
      </c>
      <c r="AD436">
        <v>1</v>
      </c>
      <c r="AE436">
        <v>2</v>
      </c>
      <c r="AF436">
        <v>0</v>
      </c>
      <c r="AG436">
        <v>1</v>
      </c>
      <c r="AH436">
        <v>0</v>
      </c>
    </row>
    <row r="437" spans="1:34" x14ac:dyDescent="0.3">
      <c r="A437" t="s">
        <v>180</v>
      </c>
      <c r="B437" t="s">
        <v>252</v>
      </c>
      <c r="C437" t="s">
        <v>33</v>
      </c>
      <c r="D437" s="1">
        <f>D441+D445+D449+D452+D455+D458+D461+D464+D467+D470+D473+D476+D479+D482+D485</f>
        <v>160888</v>
      </c>
      <c r="E437" s="1">
        <f t="shared" ref="E437:AH437" si="13">E441+E445+E449+E452+E455+E458+E461+E464+E467+E470+E473+E476+E479+E482+E485</f>
        <v>130875</v>
      </c>
      <c r="F437" s="1">
        <f t="shared" si="13"/>
        <v>7035</v>
      </c>
      <c r="G437" s="1">
        <f t="shared" si="13"/>
        <v>5764</v>
      </c>
      <c r="H437" s="1">
        <f t="shared" si="13"/>
        <v>1786</v>
      </c>
      <c r="I437" s="1">
        <f t="shared" si="13"/>
        <v>9344</v>
      </c>
      <c r="J437" s="1">
        <f t="shared" si="13"/>
        <v>208</v>
      </c>
      <c r="K437" s="1">
        <f t="shared" si="13"/>
        <v>319</v>
      </c>
      <c r="L437" s="1">
        <f t="shared" si="13"/>
        <v>1586</v>
      </c>
      <c r="M437" s="1">
        <f t="shared" si="13"/>
        <v>853</v>
      </c>
      <c r="N437" s="1">
        <f t="shared" si="13"/>
        <v>2402</v>
      </c>
      <c r="O437" s="1">
        <f t="shared" si="13"/>
        <v>12</v>
      </c>
      <c r="P437" s="1">
        <f t="shared" si="13"/>
        <v>145</v>
      </c>
      <c r="Q437" s="1">
        <f t="shared" si="13"/>
        <v>63</v>
      </c>
      <c r="R437" s="1">
        <f t="shared" si="13"/>
        <v>23</v>
      </c>
      <c r="S437" s="1">
        <f t="shared" si="13"/>
        <v>5</v>
      </c>
      <c r="T437" s="1">
        <f t="shared" si="13"/>
        <v>5</v>
      </c>
      <c r="U437" s="1">
        <f t="shared" si="13"/>
        <v>3</v>
      </c>
      <c r="V437" s="1">
        <f t="shared" si="13"/>
        <v>0</v>
      </c>
      <c r="W437" s="1">
        <f t="shared" si="13"/>
        <v>64</v>
      </c>
      <c r="X437" s="1">
        <f t="shared" si="13"/>
        <v>11</v>
      </c>
      <c r="Y437" s="1">
        <f t="shared" si="13"/>
        <v>1</v>
      </c>
      <c r="Z437" s="1">
        <f t="shared" si="13"/>
        <v>372</v>
      </c>
      <c r="AA437" s="1">
        <f t="shared" si="13"/>
        <v>7</v>
      </c>
      <c r="AB437" s="1">
        <f t="shared" si="13"/>
        <v>0</v>
      </c>
      <c r="AC437" s="1">
        <f t="shared" si="13"/>
        <v>1</v>
      </c>
      <c r="AD437" s="1">
        <f t="shared" si="13"/>
        <v>1</v>
      </c>
      <c r="AE437" s="1">
        <f t="shared" si="13"/>
        <v>2</v>
      </c>
      <c r="AF437" s="1">
        <f t="shared" si="13"/>
        <v>0</v>
      </c>
      <c r="AG437" s="1">
        <f t="shared" si="13"/>
        <v>1</v>
      </c>
      <c r="AH437" s="1">
        <f t="shared" si="13"/>
        <v>0</v>
      </c>
    </row>
    <row r="438" spans="1:34" x14ac:dyDescent="0.3">
      <c r="A438" t="s">
        <v>180</v>
      </c>
      <c r="B438" t="s">
        <v>252</v>
      </c>
      <c r="C438" t="s">
        <v>34</v>
      </c>
      <c r="D438" s="1">
        <f>D442+D446+D450+D453+D456+D459+D462+D465+D468+D471+D474+D477+D480+D483</f>
        <v>157627</v>
      </c>
      <c r="E438" s="1">
        <f t="shared" ref="E438:AH438" si="14">E442+E446+E450+E453+E456+E459+E462+E465+E468+E471+E474+E477+E480+E483</f>
        <v>128789</v>
      </c>
      <c r="F438" s="1">
        <f t="shared" si="14"/>
        <v>5952</v>
      </c>
      <c r="G438" s="1">
        <f t="shared" si="14"/>
        <v>4784</v>
      </c>
      <c r="H438" s="1">
        <f t="shared" si="14"/>
        <v>1768</v>
      </c>
      <c r="I438" s="1">
        <f t="shared" si="14"/>
        <v>10483</v>
      </c>
      <c r="J438" s="1">
        <f t="shared" si="14"/>
        <v>139</v>
      </c>
      <c r="K438" s="1">
        <f t="shared" si="14"/>
        <v>238</v>
      </c>
      <c r="L438" s="1">
        <f t="shared" si="14"/>
        <v>1554</v>
      </c>
      <c r="M438" s="1">
        <f t="shared" si="14"/>
        <v>795</v>
      </c>
      <c r="N438" s="1">
        <f t="shared" si="14"/>
        <v>2491</v>
      </c>
      <c r="O438" s="1">
        <f t="shared" si="14"/>
        <v>3</v>
      </c>
      <c r="P438" s="1">
        <f t="shared" si="14"/>
        <v>170</v>
      </c>
      <c r="Q438" s="1">
        <f t="shared" si="14"/>
        <v>1</v>
      </c>
      <c r="R438" s="1">
        <f t="shared" si="14"/>
        <v>2</v>
      </c>
      <c r="S438" s="1">
        <f t="shared" si="14"/>
        <v>4</v>
      </c>
      <c r="T438" s="1">
        <f t="shared" si="14"/>
        <v>0</v>
      </c>
      <c r="U438" s="1">
        <f t="shared" si="14"/>
        <v>2</v>
      </c>
      <c r="V438" s="1">
        <f t="shared" si="14"/>
        <v>0</v>
      </c>
      <c r="W438" s="1">
        <f t="shared" si="14"/>
        <v>12</v>
      </c>
      <c r="X438" s="1">
        <f t="shared" si="14"/>
        <v>0</v>
      </c>
      <c r="Y438" s="1">
        <f t="shared" si="14"/>
        <v>0</v>
      </c>
      <c r="Z438" s="1">
        <f t="shared" si="14"/>
        <v>440</v>
      </c>
      <c r="AA438" s="1">
        <f t="shared" si="14"/>
        <v>0</v>
      </c>
      <c r="AB438" s="1">
        <f t="shared" si="14"/>
        <v>0</v>
      </c>
      <c r="AC438" s="1">
        <f t="shared" si="14"/>
        <v>0</v>
      </c>
      <c r="AD438" s="1">
        <f t="shared" si="14"/>
        <v>0</v>
      </c>
      <c r="AE438" s="1">
        <f t="shared" si="14"/>
        <v>0</v>
      </c>
      <c r="AF438" s="1">
        <f t="shared" si="14"/>
        <v>0</v>
      </c>
      <c r="AG438" s="1">
        <f t="shared" si="14"/>
        <v>0</v>
      </c>
      <c r="AH438" s="1">
        <f t="shared" si="14"/>
        <v>0</v>
      </c>
    </row>
    <row r="439" spans="1:34" x14ac:dyDescent="0.3">
      <c r="A439" t="s">
        <v>180</v>
      </c>
      <c r="B439" t="s">
        <v>252</v>
      </c>
      <c r="C439" t="s">
        <v>35</v>
      </c>
      <c r="D439" s="1">
        <f>D443+D447</f>
        <v>20</v>
      </c>
      <c r="E439" s="1">
        <f t="shared" ref="E439:AH439" si="15">E443+E447</f>
        <v>17</v>
      </c>
      <c r="F439" s="1">
        <f t="shared" si="15"/>
        <v>1</v>
      </c>
      <c r="G439" s="1">
        <f t="shared" si="15"/>
        <v>1</v>
      </c>
      <c r="H439" s="1">
        <f t="shared" si="15"/>
        <v>0</v>
      </c>
      <c r="I439" s="1">
        <f t="shared" si="15"/>
        <v>0</v>
      </c>
      <c r="J439" s="1">
        <f t="shared" si="15"/>
        <v>0</v>
      </c>
      <c r="K439" s="1">
        <f t="shared" si="15"/>
        <v>0</v>
      </c>
      <c r="L439" s="1">
        <f t="shared" si="15"/>
        <v>0</v>
      </c>
      <c r="M439" s="1">
        <f t="shared" si="15"/>
        <v>1</v>
      </c>
      <c r="N439" s="1">
        <f t="shared" si="15"/>
        <v>0</v>
      </c>
      <c r="O439" s="1">
        <f t="shared" si="15"/>
        <v>0</v>
      </c>
      <c r="P439" s="1">
        <f t="shared" si="15"/>
        <v>0</v>
      </c>
      <c r="Q439" s="1">
        <f t="shared" si="15"/>
        <v>0</v>
      </c>
      <c r="R439" s="1">
        <f t="shared" si="15"/>
        <v>0</v>
      </c>
      <c r="S439" s="1">
        <f t="shared" si="15"/>
        <v>0</v>
      </c>
      <c r="T439" s="1">
        <f t="shared" si="15"/>
        <v>0</v>
      </c>
      <c r="U439" s="1">
        <f t="shared" si="15"/>
        <v>0</v>
      </c>
      <c r="V439" s="1">
        <f t="shared" si="15"/>
        <v>0</v>
      </c>
      <c r="W439" s="1">
        <f t="shared" si="15"/>
        <v>0</v>
      </c>
      <c r="X439" s="1">
        <f t="shared" si="15"/>
        <v>0</v>
      </c>
      <c r="Y439" s="1">
        <f t="shared" si="15"/>
        <v>0</v>
      </c>
      <c r="Z439" s="1">
        <f t="shared" si="15"/>
        <v>0</v>
      </c>
      <c r="AA439" s="1">
        <f t="shared" si="15"/>
        <v>0</v>
      </c>
      <c r="AB439" s="1">
        <f t="shared" si="15"/>
        <v>0</v>
      </c>
      <c r="AC439" s="1">
        <f t="shared" si="15"/>
        <v>0</v>
      </c>
      <c r="AD439" s="1">
        <f t="shared" si="15"/>
        <v>0</v>
      </c>
      <c r="AE439" s="1">
        <f t="shared" si="15"/>
        <v>0</v>
      </c>
      <c r="AF439" s="1">
        <f t="shared" si="15"/>
        <v>0</v>
      </c>
      <c r="AG439" s="1">
        <f t="shared" si="15"/>
        <v>0</v>
      </c>
      <c r="AH439" s="1">
        <f t="shared" si="15"/>
        <v>0</v>
      </c>
    </row>
    <row r="440" spans="1:34" x14ac:dyDescent="0.3">
      <c r="A440" t="s">
        <v>180</v>
      </c>
      <c r="B440" t="s">
        <v>181</v>
      </c>
      <c r="C440" t="s">
        <v>32</v>
      </c>
      <c r="D440" s="1">
        <v>269487</v>
      </c>
      <c r="E440" s="1">
        <v>219948</v>
      </c>
      <c r="F440" s="1">
        <v>10794</v>
      </c>
      <c r="G440" s="1">
        <v>8876</v>
      </c>
      <c r="H440" s="1">
        <v>2958</v>
      </c>
      <c r="I440" s="1">
        <v>17109</v>
      </c>
      <c r="J440">
        <v>267</v>
      </c>
      <c r="K440">
        <v>459</v>
      </c>
      <c r="L440" s="1">
        <v>2516</v>
      </c>
      <c r="M440" s="1">
        <v>1397</v>
      </c>
      <c r="N440" s="1">
        <v>4192</v>
      </c>
      <c r="O440">
        <v>5</v>
      </c>
      <c r="P440">
        <v>214</v>
      </c>
      <c r="Q440" s="1">
        <v>0</v>
      </c>
      <c r="R440" s="1">
        <v>0</v>
      </c>
      <c r="S440">
        <v>9</v>
      </c>
      <c r="T440">
        <v>4</v>
      </c>
      <c r="U440">
        <v>3</v>
      </c>
      <c r="V440">
        <v>0</v>
      </c>
      <c r="W440">
        <v>6</v>
      </c>
      <c r="X440">
        <v>0</v>
      </c>
      <c r="Y440">
        <v>1</v>
      </c>
      <c r="Z440">
        <v>727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1</v>
      </c>
      <c r="AH440">
        <v>0</v>
      </c>
    </row>
    <row r="441" spans="1:34" x14ac:dyDescent="0.3">
      <c r="A441" t="s">
        <v>180</v>
      </c>
      <c r="B441" t="s">
        <v>181</v>
      </c>
      <c r="C441" t="s">
        <v>33</v>
      </c>
      <c r="D441" s="1">
        <v>134261</v>
      </c>
      <c r="E441" s="1">
        <v>109587</v>
      </c>
      <c r="F441" s="1">
        <v>5719</v>
      </c>
      <c r="G441" s="1">
        <v>4781</v>
      </c>
      <c r="H441" s="1">
        <v>1454</v>
      </c>
      <c r="I441" s="1">
        <v>7901</v>
      </c>
      <c r="J441">
        <v>152</v>
      </c>
      <c r="K441">
        <v>256</v>
      </c>
      <c r="L441" s="1">
        <v>1213</v>
      </c>
      <c r="M441">
        <v>705</v>
      </c>
      <c r="N441" s="1">
        <v>2047</v>
      </c>
      <c r="O441">
        <v>3</v>
      </c>
      <c r="P441">
        <v>91</v>
      </c>
      <c r="Q441">
        <v>0</v>
      </c>
      <c r="R441">
        <v>0</v>
      </c>
      <c r="S441">
        <v>5</v>
      </c>
      <c r="T441">
        <v>4</v>
      </c>
      <c r="U441">
        <v>2</v>
      </c>
      <c r="V441">
        <v>0</v>
      </c>
      <c r="W441">
        <v>5</v>
      </c>
      <c r="X441">
        <v>0</v>
      </c>
      <c r="Y441">
        <v>1</v>
      </c>
      <c r="Z441">
        <v>333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1</v>
      </c>
      <c r="AH441">
        <v>0</v>
      </c>
    </row>
    <row r="442" spans="1:34" x14ac:dyDescent="0.3">
      <c r="A442" t="s">
        <v>180</v>
      </c>
      <c r="B442" t="s">
        <v>181</v>
      </c>
      <c r="C442" t="s">
        <v>34</v>
      </c>
      <c r="D442" s="1">
        <v>135210</v>
      </c>
      <c r="E442" s="1">
        <v>110348</v>
      </c>
      <c r="F442" s="1">
        <v>5074</v>
      </c>
      <c r="G442" s="1">
        <v>4094</v>
      </c>
      <c r="H442" s="1">
        <v>1504</v>
      </c>
      <c r="I442" s="1">
        <v>9208</v>
      </c>
      <c r="J442">
        <v>115</v>
      </c>
      <c r="K442">
        <v>203</v>
      </c>
      <c r="L442" s="1">
        <v>1303</v>
      </c>
      <c r="M442">
        <v>691</v>
      </c>
      <c r="N442" s="1">
        <v>2145</v>
      </c>
      <c r="O442">
        <v>2</v>
      </c>
      <c r="P442">
        <v>123</v>
      </c>
      <c r="Q442">
        <v>0</v>
      </c>
      <c r="R442">
        <v>0</v>
      </c>
      <c r="S442">
        <v>4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394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 x14ac:dyDescent="0.3">
      <c r="A443" t="s">
        <v>180</v>
      </c>
      <c r="B443" t="s">
        <v>181</v>
      </c>
      <c r="C443" t="s">
        <v>35</v>
      </c>
      <c r="D443">
        <v>16</v>
      </c>
      <c r="E443">
        <v>13</v>
      </c>
      <c r="F443">
        <v>1</v>
      </c>
      <c r="G443">
        <v>1</v>
      </c>
      <c r="H443" s="1">
        <v>0</v>
      </c>
      <c r="I443" s="1">
        <v>0</v>
      </c>
      <c r="J443">
        <v>0</v>
      </c>
      <c r="K443">
        <v>0</v>
      </c>
      <c r="L443" s="1">
        <v>0</v>
      </c>
      <c r="M443">
        <v>1</v>
      </c>
      <c r="N443" s="1">
        <v>0</v>
      </c>
      <c r="O443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</row>
    <row r="444" spans="1:34" x14ac:dyDescent="0.3">
      <c r="A444" t="s">
        <v>180</v>
      </c>
      <c r="B444" t="s">
        <v>182</v>
      </c>
      <c r="C444" t="s">
        <v>32</v>
      </c>
      <c r="D444" s="1">
        <v>45556</v>
      </c>
      <c r="E444" s="1">
        <v>37301</v>
      </c>
      <c r="F444" s="1">
        <v>1875</v>
      </c>
      <c r="G444" s="1">
        <v>1634</v>
      </c>
      <c r="H444">
        <v>487</v>
      </c>
      <c r="I444" s="1">
        <v>2364</v>
      </c>
      <c r="J444">
        <v>76</v>
      </c>
      <c r="K444">
        <v>95</v>
      </c>
      <c r="L444">
        <v>491</v>
      </c>
      <c r="M444">
        <v>250</v>
      </c>
      <c r="N444">
        <v>697</v>
      </c>
      <c r="O444">
        <v>10</v>
      </c>
      <c r="P444">
        <v>97</v>
      </c>
      <c r="Q444" s="1">
        <v>0</v>
      </c>
      <c r="R444">
        <v>25</v>
      </c>
      <c r="S444">
        <v>0</v>
      </c>
      <c r="T444">
        <v>0</v>
      </c>
      <c r="U444">
        <v>2</v>
      </c>
      <c r="V444">
        <v>0</v>
      </c>
      <c r="W444">
        <v>64</v>
      </c>
      <c r="X444">
        <v>1</v>
      </c>
      <c r="Y444">
        <v>0</v>
      </c>
      <c r="Z444">
        <v>85</v>
      </c>
      <c r="AA444">
        <v>0</v>
      </c>
      <c r="AB444">
        <v>0</v>
      </c>
      <c r="AC444">
        <v>1</v>
      </c>
      <c r="AD444">
        <v>0</v>
      </c>
      <c r="AE444">
        <v>1</v>
      </c>
      <c r="AF444">
        <v>0</v>
      </c>
      <c r="AG444">
        <v>0</v>
      </c>
      <c r="AH444">
        <v>0</v>
      </c>
    </row>
    <row r="445" spans="1:34" x14ac:dyDescent="0.3">
      <c r="A445" t="s">
        <v>180</v>
      </c>
      <c r="B445" t="s">
        <v>182</v>
      </c>
      <c r="C445" t="s">
        <v>33</v>
      </c>
      <c r="D445" s="1">
        <v>24405</v>
      </c>
      <c r="E445" s="1">
        <v>19968</v>
      </c>
      <c r="F445" s="1">
        <v>1101</v>
      </c>
      <c r="G445">
        <v>959</v>
      </c>
      <c r="H445">
        <v>251</v>
      </c>
      <c r="I445" s="1">
        <v>1093</v>
      </c>
      <c r="J445">
        <v>52</v>
      </c>
      <c r="K445">
        <v>62</v>
      </c>
      <c r="L445">
        <v>240</v>
      </c>
      <c r="M445">
        <v>146</v>
      </c>
      <c r="N445">
        <v>352</v>
      </c>
      <c r="O445">
        <v>9</v>
      </c>
      <c r="P445">
        <v>50</v>
      </c>
      <c r="Q445" s="1">
        <v>0</v>
      </c>
      <c r="R445">
        <v>23</v>
      </c>
      <c r="S445">
        <v>0</v>
      </c>
      <c r="T445">
        <v>0</v>
      </c>
      <c r="U445">
        <v>1</v>
      </c>
      <c r="V445">
        <v>0</v>
      </c>
      <c r="W445">
        <v>56</v>
      </c>
      <c r="X445">
        <v>1</v>
      </c>
      <c r="Y445">
        <v>0</v>
      </c>
      <c r="Z445">
        <v>39</v>
      </c>
      <c r="AA445">
        <v>0</v>
      </c>
      <c r="AB445">
        <v>0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</row>
    <row r="446" spans="1:34" x14ac:dyDescent="0.3">
      <c r="A446" t="s">
        <v>180</v>
      </c>
      <c r="B446" t="s">
        <v>182</v>
      </c>
      <c r="C446" t="s">
        <v>34</v>
      </c>
      <c r="D446" s="1">
        <v>21147</v>
      </c>
      <c r="E446" s="1">
        <v>17329</v>
      </c>
      <c r="F446">
        <v>774</v>
      </c>
      <c r="G446">
        <v>675</v>
      </c>
      <c r="H446">
        <v>236</v>
      </c>
      <c r="I446" s="1">
        <v>1271</v>
      </c>
      <c r="J446">
        <v>24</v>
      </c>
      <c r="K446">
        <v>33</v>
      </c>
      <c r="L446">
        <v>251</v>
      </c>
      <c r="M446">
        <v>104</v>
      </c>
      <c r="N446">
        <v>345</v>
      </c>
      <c r="O446">
        <v>1</v>
      </c>
      <c r="P446">
        <v>47</v>
      </c>
      <c r="Q446" s="1">
        <v>0</v>
      </c>
      <c r="R446">
        <v>2</v>
      </c>
      <c r="S446">
        <v>0</v>
      </c>
      <c r="T446">
        <v>0</v>
      </c>
      <c r="U446">
        <v>1</v>
      </c>
      <c r="V446">
        <v>0</v>
      </c>
      <c r="W446">
        <v>8</v>
      </c>
      <c r="X446">
        <v>0</v>
      </c>
      <c r="Y446">
        <v>0</v>
      </c>
      <c r="Z446">
        <v>46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 x14ac:dyDescent="0.3">
      <c r="A447" t="s">
        <v>180</v>
      </c>
      <c r="B447" t="s">
        <v>182</v>
      </c>
      <c r="C447" t="s">
        <v>35</v>
      </c>
      <c r="D447">
        <v>4</v>
      </c>
      <c r="E447">
        <v>4</v>
      </c>
      <c r="F447" s="1">
        <v>0</v>
      </c>
      <c r="G447">
        <v>0</v>
      </c>
      <c r="H447">
        <v>0</v>
      </c>
      <c r="I447" s="1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s="1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 x14ac:dyDescent="0.3">
      <c r="A448" t="s">
        <v>180</v>
      </c>
      <c r="B448" t="s">
        <v>183</v>
      </c>
      <c r="C448" t="s">
        <v>32</v>
      </c>
      <c r="D448">
        <v>944</v>
      </c>
      <c r="E448">
        <v>757</v>
      </c>
      <c r="F448">
        <v>78</v>
      </c>
      <c r="G448">
        <v>8</v>
      </c>
      <c r="H448">
        <v>16</v>
      </c>
      <c r="I448">
        <v>80</v>
      </c>
      <c r="J448">
        <v>0</v>
      </c>
      <c r="K448">
        <v>1</v>
      </c>
      <c r="L448">
        <v>0</v>
      </c>
      <c r="M448">
        <v>0</v>
      </c>
      <c r="N448">
        <v>2</v>
      </c>
      <c r="O448">
        <v>0</v>
      </c>
      <c r="P448">
        <v>2</v>
      </c>
      <c r="Q448" s="1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 x14ac:dyDescent="0.3">
      <c r="A449" t="s">
        <v>180</v>
      </c>
      <c r="B449" t="s">
        <v>183</v>
      </c>
      <c r="C449" t="s">
        <v>33</v>
      </c>
      <c r="D449">
        <v>570</v>
      </c>
      <c r="E449">
        <v>423</v>
      </c>
      <c r="F449">
        <v>54</v>
      </c>
      <c r="G449">
        <v>6</v>
      </c>
      <c r="H449">
        <v>7</v>
      </c>
      <c r="I449">
        <v>77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2</v>
      </c>
      <c r="Q449" s="1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 x14ac:dyDescent="0.3">
      <c r="A450" t="s">
        <v>180</v>
      </c>
      <c r="B450" t="s">
        <v>183</v>
      </c>
      <c r="C450" t="s">
        <v>34</v>
      </c>
      <c r="D450">
        <v>374</v>
      </c>
      <c r="E450">
        <v>334</v>
      </c>
      <c r="F450">
        <v>24</v>
      </c>
      <c r="G450">
        <v>2</v>
      </c>
      <c r="H450">
        <v>9</v>
      </c>
      <c r="I450">
        <v>3</v>
      </c>
      <c r="J450">
        <v>0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0</v>
      </c>
      <c r="Q450" s="1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 x14ac:dyDescent="0.3">
      <c r="A451" t="s">
        <v>180</v>
      </c>
      <c r="B451" t="s">
        <v>184</v>
      </c>
      <c r="C451" t="s">
        <v>32</v>
      </c>
      <c r="D451">
        <v>574</v>
      </c>
      <c r="E451">
        <v>336</v>
      </c>
      <c r="F451">
        <v>72</v>
      </c>
      <c r="G451">
        <v>2</v>
      </c>
      <c r="H451">
        <v>12</v>
      </c>
      <c r="I451">
        <v>147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s="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</v>
      </c>
      <c r="Y451">
        <v>0</v>
      </c>
      <c r="Z451">
        <v>0</v>
      </c>
      <c r="AA451">
        <v>2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 x14ac:dyDescent="0.3">
      <c r="A452" t="s">
        <v>180</v>
      </c>
      <c r="B452" t="s">
        <v>184</v>
      </c>
      <c r="C452" t="s">
        <v>33</v>
      </c>
      <c r="D452">
        <v>413</v>
      </c>
      <c r="E452">
        <v>208</v>
      </c>
      <c r="F452">
        <v>47</v>
      </c>
      <c r="G452">
        <v>1</v>
      </c>
      <c r="H452">
        <v>6</v>
      </c>
      <c r="I452">
        <v>146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s="1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3</v>
      </c>
      <c r="Y452">
        <v>0</v>
      </c>
      <c r="Z452">
        <v>0</v>
      </c>
      <c r="AA452">
        <v>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 x14ac:dyDescent="0.3">
      <c r="A453" t="s">
        <v>180</v>
      </c>
      <c r="B453" t="s">
        <v>184</v>
      </c>
      <c r="C453" t="s">
        <v>34</v>
      </c>
      <c r="D453">
        <v>161</v>
      </c>
      <c r="E453">
        <v>128</v>
      </c>
      <c r="F453">
        <v>25</v>
      </c>
      <c r="G453">
        <v>1</v>
      </c>
      <c r="H453">
        <v>6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s="1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 x14ac:dyDescent="0.3">
      <c r="A454" t="s">
        <v>180</v>
      </c>
      <c r="B454" t="s">
        <v>185</v>
      </c>
      <c r="C454" t="s">
        <v>32</v>
      </c>
      <c r="D454">
        <v>399</v>
      </c>
      <c r="E454">
        <v>360</v>
      </c>
      <c r="F454">
        <v>32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6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 x14ac:dyDescent="0.3">
      <c r="A455" t="s">
        <v>180</v>
      </c>
      <c r="B455" t="s">
        <v>185</v>
      </c>
      <c r="C455" t="s">
        <v>33</v>
      </c>
      <c r="D455">
        <v>182</v>
      </c>
      <c r="E455">
        <v>161</v>
      </c>
      <c r="F455">
        <v>17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</row>
    <row r="456" spans="1:34" x14ac:dyDescent="0.3">
      <c r="A456" t="s">
        <v>180</v>
      </c>
      <c r="B456" t="s">
        <v>185</v>
      </c>
      <c r="C456" t="s">
        <v>34</v>
      </c>
      <c r="D456">
        <v>217</v>
      </c>
      <c r="E456">
        <v>199</v>
      </c>
      <c r="F456">
        <v>15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s="1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</row>
    <row r="457" spans="1:34" x14ac:dyDescent="0.3">
      <c r="A457" t="s">
        <v>180</v>
      </c>
      <c r="B457" t="s">
        <v>186</v>
      </c>
      <c r="C457" t="s">
        <v>32</v>
      </c>
      <c r="D457">
        <v>313</v>
      </c>
      <c r="E457">
        <v>73</v>
      </c>
      <c r="F457">
        <v>14</v>
      </c>
      <c r="G457">
        <v>0</v>
      </c>
      <c r="H457">
        <v>0</v>
      </c>
      <c r="I457">
        <v>92</v>
      </c>
      <c r="J457">
        <v>0</v>
      </c>
      <c r="K457">
        <v>0</v>
      </c>
      <c r="L457">
        <v>133</v>
      </c>
      <c r="M457">
        <v>0</v>
      </c>
      <c r="N457">
        <v>0</v>
      </c>
      <c r="O457">
        <v>0</v>
      </c>
      <c r="P457">
        <v>0</v>
      </c>
      <c r="Q457" s="1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</row>
    <row r="458" spans="1:34" x14ac:dyDescent="0.3">
      <c r="A458" t="s">
        <v>180</v>
      </c>
      <c r="B458" t="s">
        <v>186</v>
      </c>
      <c r="C458" t="s">
        <v>33</v>
      </c>
      <c r="D458">
        <v>275</v>
      </c>
      <c r="E458">
        <v>38</v>
      </c>
      <c r="F458">
        <v>11</v>
      </c>
      <c r="G458">
        <v>0</v>
      </c>
      <c r="H458">
        <v>0</v>
      </c>
      <c r="I458">
        <v>92</v>
      </c>
      <c r="J458">
        <v>0</v>
      </c>
      <c r="K458">
        <v>0</v>
      </c>
      <c r="L458">
        <v>133</v>
      </c>
      <c r="M458">
        <v>0</v>
      </c>
      <c r="N458">
        <v>0</v>
      </c>
      <c r="O458">
        <v>0</v>
      </c>
      <c r="P458">
        <v>0</v>
      </c>
      <c r="Q458" s="1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 x14ac:dyDescent="0.3">
      <c r="A459" t="s">
        <v>180</v>
      </c>
      <c r="B459" t="s">
        <v>186</v>
      </c>
      <c r="C459" t="s">
        <v>34</v>
      </c>
      <c r="D459">
        <v>38</v>
      </c>
      <c r="E459">
        <v>35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s="1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 x14ac:dyDescent="0.3">
      <c r="A460" t="s">
        <v>180</v>
      </c>
      <c r="B460" t="s">
        <v>187</v>
      </c>
      <c r="C460" t="s">
        <v>32</v>
      </c>
      <c r="D460">
        <v>293</v>
      </c>
      <c r="E460">
        <v>197</v>
      </c>
      <c r="F460">
        <v>14</v>
      </c>
      <c r="G460">
        <v>13</v>
      </c>
      <c r="H460">
        <v>58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9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 x14ac:dyDescent="0.3">
      <c r="A461" t="s">
        <v>180</v>
      </c>
      <c r="B461" t="s">
        <v>187</v>
      </c>
      <c r="C461" t="s">
        <v>33</v>
      </c>
      <c r="D461">
        <v>225</v>
      </c>
      <c r="E461">
        <v>146</v>
      </c>
      <c r="F461">
        <v>5</v>
      </c>
      <c r="G461">
        <v>11</v>
      </c>
      <c r="H461">
        <v>53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8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 x14ac:dyDescent="0.3">
      <c r="A462" t="s">
        <v>180</v>
      </c>
      <c r="B462" t="s">
        <v>187</v>
      </c>
      <c r="C462" t="s">
        <v>34</v>
      </c>
      <c r="D462">
        <v>68</v>
      </c>
      <c r="E462">
        <v>51</v>
      </c>
      <c r="F462">
        <v>9</v>
      </c>
      <c r="G462">
        <v>2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3">
      <c r="A463" t="s">
        <v>180</v>
      </c>
      <c r="B463" t="s">
        <v>188</v>
      </c>
      <c r="C463" t="s">
        <v>32</v>
      </c>
      <c r="D463">
        <v>231</v>
      </c>
      <c r="E463">
        <v>186</v>
      </c>
      <c r="F463">
        <v>12</v>
      </c>
      <c r="G463">
        <v>14</v>
      </c>
      <c r="H463">
        <v>16</v>
      </c>
      <c r="I463">
        <v>0</v>
      </c>
      <c r="J463">
        <v>2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x14ac:dyDescent="0.3">
      <c r="A464" t="s">
        <v>180</v>
      </c>
      <c r="B464" t="s">
        <v>188</v>
      </c>
      <c r="C464" t="s">
        <v>33</v>
      </c>
      <c r="D464">
        <v>123</v>
      </c>
      <c r="E464">
        <v>96</v>
      </c>
      <c r="F464">
        <v>8</v>
      </c>
      <c r="G464">
        <v>4</v>
      </c>
      <c r="H464">
        <v>12</v>
      </c>
      <c r="I464">
        <v>0</v>
      </c>
      <c r="J464">
        <v>2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 x14ac:dyDescent="0.3">
      <c r="A465" t="s">
        <v>180</v>
      </c>
      <c r="B465" t="s">
        <v>188</v>
      </c>
      <c r="C465" t="s">
        <v>34</v>
      </c>
      <c r="D465">
        <v>108</v>
      </c>
      <c r="E465">
        <v>90</v>
      </c>
      <c r="F465">
        <v>4</v>
      </c>
      <c r="G465">
        <v>10</v>
      </c>
      <c r="H465">
        <v>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 x14ac:dyDescent="0.3">
      <c r="A466" t="s">
        <v>180</v>
      </c>
      <c r="B466" t="s">
        <v>189</v>
      </c>
      <c r="C466" t="s">
        <v>32</v>
      </c>
      <c r="D466">
        <v>187</v>
      </c>
      <c r="E466">
        <v>151</v>
      </c>
      <c r="F466">
        <v>17</v>
      </c>
      <c r="G466">
        <v>1</v>
      </c>
      <c r="H466">
        <v>1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3">
      <c r="A467" t="s">
        <v>180</v>
      </c>
      <c r="B467" t="s">
        <v>189</v>
      </c>
      <c r="C467" t="s">
        <v>33</v>
      </c>
      <c r="D467">
        <v>111</v>
      </c>
      <c r="E467">
        <v>81</v>
      </c>
      <c r="F467">
        <v>11</v>
      </c>
      <c r="G467">
        <v>1</v>
      </c>
      <c r="H467">
        <v>1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3">
      <c r="A468" t="s">
        <v>180</v>
      </c>
      <c r="B468" t="s">
        <v>189</v>
      </c>
      <c r="C468" t="s">
        <v>34</v>
      </c>
      <c r="D468">
        <v>76</v>
      </c>
      <c r="E468">
        <v>70</v>
      </c>
      <c r="F468">
        <v>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 x14ac:dyDescent="0.3">
      <c r="A469" t="s">
        <v>180</v>
      </c>
      <c r="B469" t="s">
        <v>190</v>
      </c>
      <c r="C469" t="s">
        <v>32</v>
      </c>
      <c r="D469">
        <v>165</v>
      </c>
      <c r="E469">
        <v>146</v>
      </c>
      <c r="F469">
        <v>18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x14ac:dyDescent="0.3">
      <c r="A470" t="s">
        <v>180</v>
      </c>
      <c r="B470" t="s">
        <v>190</v>
      </c>
      <c r="C470" t="s">
        <v>33</v>
      </c>
      <c r="D470">
        <v>53</v>
      </c>
      <c r="E470">
        <v>43</v>
      </c>
      <c r="F470">
        <v>10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3">
      <c r="A471" t="s">
        <v>180</v>
      </c>
      <c r="B471" t="s">
        <v>190</v>
      </c>
      <c r="C471" t="s">
        <v>34</v>
      </c>
      <c r="D471">
        <v>112</v>
      </c>
      <c r="E471">
        <v>103</v>
      </c>
      <c r="F471">
        <v>8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 x14ac:dyDescent="0.3">
      <c r="A472" t="s">
        <v>180</v>
      </c>
      <c r="B472" t="s">
        <v>191</v>
      </c>
      <c r="C472" t="s">
        <v>32</v>
      </c>
      <c r="D472">
        <v>136</v>
      </c>
      <c r="E472">
        <v>105</v>
      </c>
      <c r="F472">
        <v>12</v>
      </c>
      <c r="G472">
        <v>1</v>
      </c>
      <c r="H472">
        <v>3</v>
      </c>
      <c r="I472">
        <v>6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7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 x14ac:dyDescent="0.3">
      <c r="A473" t="s">
        <v>180</v>
      </c>
      <c r="B473" t="s">
        <v>191</v>
      </c>
      <c r="C473" t="s">
        <v>33</v>
      </c>
      <c r="D473">
        <v>77</v>
      </c>
      <c r="E473">
        <v>52</v>
      </c>
      <c r="F473">
        <v>7</v>
      </c>
      <c r="G473">
        <v>1</v>
      </c>
      <c r="H473">
        <v>2</v>
      </c>
      <c r="I473">
        <v>6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7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 x14ac:dyDescent="0.3">
      <c r="A474" t="s">
        <v>180</v>
      </c>
      <c r="B474" t="s">
        <v>191</v>
      </c>
      <c r="C474" t="s">
        <v>34</v>
      </c>
      <c r="D474">
        <v>59</v>
      </c>
      <c r="E474">
        <v>53</v>
      </c>
      <c r="F474">
        <v>5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 x14ac:dyDescent="0.3">
      <c r="A475" t="s">
        <v>180</v>
      </c>
      <c r="B475" t="s">
        <v>192</v>
      </c>
      <c r="C475" t="s">
        <v>32</v>
      </c>
      <c r="D475">
        <v>123</v>
      </c>
      <c r="E475">
        <v>62</v>
      </c>
      <c r="F475">
        <v>11</v>
      </c>
      <c r="G475">
        <v>0</v>
      </c>
      <c r="H475">
        <v>0</v>
      </c>
      <c r="I475">
        <v>23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</v>
      </c>
      <c r="Q475">
        <v>24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 x14ac:dyDescent="0.3">
      <c r="A476" t="s">
        <v>180</v>
      </c>
      <c r="B476" t="s">
        <v>192</v>
      </c>
      <c r="C476" t="s">
        <v>33</v>
      </c>
      <c r="D476">
        <v>90</v>
      </c>
      <c r="E476">
        <v>32</v>
      </c>
      <c r="F476">
        <v>8</v>
      </c>
      <c r="G476">
        <v>0</v>
      </c>
      <c r="H476">
        <v>0</v>
      </c>
      <c r="I476">
        <v>23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</v>
      </c>
      <c r="Q476">
        <v>24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 x14ac:dyDescent="0.3">
      <c r="A477" t="s">
        <v>180</v>
      </c>
      <c r="B477" t="s">
        <v>192</v>
      </c>
      <c r="C477" t="s">
        <v>34</v>
      </c>
      <c r="D477">
        <v>33</v>
      </c>
      <c r="E477">
        <v>30</v>
      </c>
      <c r="F477">
        <v>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 x14ac:dyDescent="0.3">
      <c r="A478" t="s">
        <v>180</v>
      </c>
      <c r="B478" t="s">
        <v>193</v>
      </c>
      <c r="C478" t="s">
        <v>32</v>
      </c>
      <c r="D478">
        <v>77</v>
      </c>
      <c r="E478">
        <v>25</v>
      </c>
      <c r="F478">
        <v>32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</row>
    <row r="479" spans="1:34" x14ac:dyDescent="0.3">
      <c r="A479" t="s">
        <v>180</v>
      </c>
      <c r="B479" t="s">
        <v>193</v>
      </c>
      <c r="C479" t="s">
        <v>33</v>
      </c>
      <c r="D479">
        <v>66</v>
      </c>
      <c r="E479">
        <v>15</v>
      </c>
      <c r="F479">
        <v>31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</row>
    <row r="480" spans="1:34" x14ac:dyDescent="0.3">
      <c r="A480" t="s">
        <v>180</v>
      </c>
      <c r="B480" t="s">
        <v>193</v>
      </c>
      <c r="C480" t="s">
        <v>34</v>
      </c>
      <c r="D480">
        <v>11</v>
      </c>
      <c r="E480">
        <v>10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 x14ac:dyDescent="0.3">
      <c r="A481" t="s">
        <v>180</v>
      </c>
      <c r="B481" t="s">
        <v>194</v>
      </c>
      <c r="C481" t="s">
        <v>32</v>
      </c>
      <c r="D481">
        <v>46</v>
      </c>
      <c r="E481">
        <v>34</v>
      </c>
      <c r="F481">
        <v>7</v>
      </c>
      <c r="G481">
        <v>0</v>
      </c>
      <c r="H481">
        <v>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 x14ac:dyDescent="0.3">
      <c r="A482" t="s">
        <v>180</v>
      </c>
      <c r="B482" t="s">
        <v>194</v>
      </c>
      <c r="C482" t="s">
        <v>33</v>
      </c>
      <c r="D482">
        <v>33</v>
      </c>
      <c r="E482">
        <v>25</v>
      </c>
      <c r="F482">
        <v>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 x14ac:dyDescent="0.3">
      <c r="A483" t="s">
        <v>180</v>
      </c>
      <c r="B483" t="s">
        <v>194</v>
      </c>
      <c r="C483" t="s">
        <v>34</v>
      </c>
      <c r="D483">
        <v>13</v>
      </c>
      <c r="E483">
        <v>9</v>
      </c>
      <c r="F483">
        <v>1</v>
      </c>
      <c r="G483">
        <v>0</v>
      </c>
      <c r="H483">
        <v>3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 x14ac:dyDescent="0.3">
      <c r="A484" t="s">
        <v>180</v>
      </c>
      <c r="B484" t="s">
        <v>195</v>
      </c>
      <c r="C484" t="s">
        <v>32</v>
      </c>
      <c r="D484">
        <v>4</v>
      </c>
      <c r="E484">
        <v>0</v>
      </c>
      <c r="F484">
        <v>0</v>
      </c>
      <c r="G484">
        <v>0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 x14ac:dyDescent="0.3">
      <c r="A485" t="s">
        <v>180</v>
      </c>
      <c r="B485" t="s">
        <v>195</v>
      </c>
      <c r="C485" t="s">
        <v>33</v>
      </c>
      <c r="D485">
        <v>4</v>
      </c>
      <c r="E485">
        <v>0</v>
      </c>
      <c r="F485">
        <v>0</v>
      </c>
      <c r="G485">
        <v>0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 x14ac:dyDescent="0.3">
      <c r="A486" t="s">
        <v>196</v>
      </c>
      <c r="B486" t="s">
        <v>252</v>
      </c>
      <c r="C486" t="s">
        <v>32</v>
      </c>
      <c r="D486" s="1">
        <v>80363</v>
      </c>
      <c r="E486" s="1">
        <v>58228</v>
      </c>
      <c r="F486" s="1">
        <v>2557</v>
      </c>
      <c r="G486">
        <v>807</v>
      </c>
      <c r="H486">
        <v>451</v>
      </c>
      <c r="I486" s="1">
        <v>8555</v>
      </c>
      <c r="J486">
        <v>72</v>
      </c>
      <c r="K486">
        <v>209</v>
      </c>
      <c r="L486" s="1">
        <v>4184</v>
      </c>
      <c r="M486" s="1">
        <v>1602</v>
      </c>
      <c r="N486" s="1">
        <v>2611</v>
      </c>
      <c r="O486">
        <v>60</v>
      </c>
      <c r="P486">
        <v>144</v>
      </c>
      <c r="Q486">
        <v>110</v>
      </c>
      <c r="R486">
        <v>150</v>
      </c>
      <c r="S486">
        <v>190</v>
      </c>
      <c r="T486">
        <v>53</v>
      </c>
      <c r="U486">
        <v>34</v>
      </c>
      <c r="V486">
        <v>53</v>
      </c>
      <c r="W486">
        <v>4</v>
      </c>
      <c r="X486">
        <v>42</v>
      </c>
      <c r="Y486">
        <v>58</v>
      </c>
      <c r="Z486">
        <v>51</v>
      </c>
      <c r="AA486">
        <v>23</v>
      </c>
      <c r="AB486">
        <v>48</v>
      </c>
      <c r="AC486">
        <v>1</v>
      </c>
      <c r="AD486">
        <v>2</v>
      </c>
      <c r="AE486">
        <v>1</v>
      </c>
      <c r="AF486">
        <v>0</v>
      </c>
      <c r="AG486">
        <v>63</v>
      </c>
      <c r="AH486">
        <v>0</v>
      </c>
    </row>
    <row r="487" spans="1:34" x14ac:dyDescent="0.3">
      <c r="A487" t="s">
        <v>196</v>
      </c>
      <c r="B487" t="s">
        <v>252</v>
      </c>
      <c r="C487" t="s">
        <v>253</v>
      </c>
      <c r="D487" s="1">
        <f>D490+D493+D496+D499+D502+D505+D508+D511+D514+D517+D520+D523+D526+D529+D532+D535+D538+D541+D544+D547+D550+D553+D556+D559+D562+D565+D568+D571+D574+D577+D580+D583+D586+D589+D592+D595+D598+D601+D604+D607+D610+D613+D616+D619+D622+D625+D628+D631+D634+D637+D640+D643+D646+D649</f>
        <v>58543</v>
      </c>
      <c r="E487" s="1">
        <f t="shared" ref="E487:AH487" si="16">E490+E493+E496+E499+E502+E505+E508+E511+E514+E517+E520+E523+E526+E529+E532+E535+E538+E541+E544+E547+E550+E553+E556+E559+E562+E565+E568+E571+E574+E577+E580+E583+E586+E589+E592+E595+E598+E601+E604+E607+E610+E613+E616+E619+E622+E625+E628+E631+E634+E637+E640+E643+E646+E649</f>
        <v>38497</v>
      </c>
      <c r="F487" s="1">
        <f t="shared" si="16"/>
        <v>1688</v>
      </c>
      <c r="G487" s="1">
        <f t="shared" si="16"/>
        <v>456</v>
      </c>
      <c r="H487" s="1">
        <f t="shared" si="16"/>
        <v>218</v>
      </c>
      <c r="I487" s="1">
        <f t="shared" si="16"/>
        <v>8260</v>
      </c>
      <c r="J487" s="1">
        <f t="shared" si="16"/>
        <v>42</v>
      </c>
      <c r="K487" s="1">
        <f t="shared" si="16"/>
        <v>128</v>
      </c>
      <c r="L487" s="1">
        <f t="shared" si="16"/>
        <v>4101</v>
      </c>
      <c r="M487" s="1">
        <f t="shared" si="16"/>
        <v>1575</v>
      </c>
      <c r="N487" s="1">
        <f t="shared" si="16"/>
        <v>2514</v>
      </c>
      <c r="O487" s="1">
        <f t="shared" si="16"/>
        <v>60</v>
      </c>
      <c r="P487" s="1">
        <f t="shared" si="16"/>
        <v>141</v>
      </c>
      <c r="Q487" s="1">
        <f t="shared" si="16"/>
        <v>110</v>
      </c>
      <c r="R487" s="1">
        <f t="shared" si="16"/>
        <v>150</v>
      </c>
      <c r="S487" s="1">
        <f t="shared" si="16"/>
        <v>189</v>
      </c>
      <c r="T487" s="1">
        <f t="shared" si="16"/>
        <v>53</v>
      </c>
      <c r="U487" s="1">
        <f t="shared" si="16"/>
        <v>34</v>
      </c>
      <c r="V487" s="1">
        <f t="shared" si="16"/>
        <v>53</v>
      </c>
      <c r="W487" s="1">
        <f t="shared" si="16"/>
        <v>0</v>
      </c>
      <c r="X487" s="1">
        <f t="shared" si="16"/>
        <v>42</v>
      </c>
      <c r="Y487" s="1">
        <f t="shared" si="16"/>
        <v>56</v>
      </c>
      <c r="Z487" s="1">
        <f t="shared" si="16"/>
        <v>48</v>
      </c>
      <c r="AA487" s="1">
        <f t="shared" si="16"/>
        <v>23</v>
      </c>
      <c r="AB487" s="1">
        <f t="shared" si="16"/>
        <v>48</v>
      </c>
      <c r="AC487" s="1">
        <f t="shared" si="16"/>
        <v>0</v>
      </c>
      <c r="AD487" s="1">
        <f t="shared" si="16"/>
        <v>2</v>
      </c>
      <c r="AE487" s="1">
        <f t="shared" si="16"/>
        <v>1</v>
      </c>
      <c r="AF487" s="1">
        <f t="shared" si="16"/>
        <v>0</v>
      </c>
      <c r="AG487" s="1">
        <f t="shared" si="16"/>
        <v>54</v>
      </c>
      <c r="AH487" s="1">
        <f t="shared" si="16"/>
        <v>0</v>
      </c>
    </row>
    <row r="488" spans="1:34" x14ac:dyDescent="0.3">
      <c r="A488" t="s">
        <v>196</v>
      </c>
      <c r="B488" t="s">
        <v>252</v>
      </c>
      <c r="C488" t="s">
        <v>254</v>
      </c>
      <c r="D488" s="1">
        <f>D491+D494+D497+D500+D503+D506+D509+D512+D515+D518+D521+D524+D527+D530+D533+D536+D539+D542+D545+D548+D551+D554+D557+D560+D563+D566+D569+D572+D575+D578+D581+D584+D587+D590+D593+D596+D599+D602+D605+D608+D611+D614+D617+D620+D623+D626+D629+D632+D635+D638+D641+D644+D647+D650</f>
        <v>21820</v>
      </c>
      <c r="E488" s="1">
        <f t="shared" ref="E488:AH488" si="17">E491+E494+E497+E500+E503+E506+E509+E512+E515+E518+E521+E524+E527+E530+E533+E536+E539+E542+E545+E548+E551+E554+E557+E560+E563+E566+E569+E572+E575+E578+E581+E584+E587+E590+E593+E596+E599+E602+E605+E608+E611+E614+E617+E620+E623+E626+E629+E632+E635+E638+E641+E644+E647+E650</f>
        <v>19731</v>
      </c>
      <c r="F488" s="1">
        <f t="shared" si="17"/>
        <v>869</v>
      </c>
      <c r="G488" s="1">
        <f t="shared" si="17"/>
        <v>351</v>
      </c>
      <c r="H488" s="1">
        <f t="shared" si="17"/>
        <v>233</v>
      </c>
      <c r="I488" s="1">
        <f t="shared" si="17"/>
        <v>295</v>
      </c>
      <c r="J488" s="1">
        <f t="shared" si="17"/>
        <v>30</v>
      </c>
      <c r="K488" s="1">
        <f t="shared" si="17"/>
        <v>81</v>
      </c>
      <c r="L488" s="1">
        <f t="shared" si="17"/>
        <v>83</v>
      </c>
      <c r="M488" s="1">
        <f t="shared" si="17"/>
        <v>27</v>
      </c>
      <c r="N488" s="1">
        <f t="shared" si="17"/>
        <v>97</v>
      </c>
      <c r="O488" s="1">
        <f t="shared" si="17"/>
        <v>0</v>
      </c>
      <c r="P488" s="1">
        <f t="shared" si="17"/>
        <v>3</v>
      </c>
      <c r="Q488" s="1">
        <f t="shared" si="17"/>
        <v>0</v>
      </c>
      <c r="R488" s="1">
        <f t="shared" si="17"/>
        <v>0</v>
      </c>
      <c r="S488" s="1">
        <f t="shared" si="17"/>
        <v>1</v>
      </c>
      <c r="T488" s="1">
        <f t="shared" si="17"/>
        <v>0</v>
      </c>
      <c r="U488" s="1">
        <f t="shared" si="17"/>
        <v>0</v>
      </c>
      <c r="V488" s="1">
        <f t="shared" si="17"/>
        <v>0</v>
      </c>
      <c r="W488" s="1">
        <f t="shared" si="17"/>
        <v>4</v>
      </c>
      <c r="X488" s="1">
        <f t="shared" si="17"/>
        <v>0</v>
      </c>
      <c r="Y488" s="1">
        <f t="shared" si="17"/>
        <v>2</v>
      </c>
      <c r="Z488" s="1">
        <f t="shared" si="17"/>
        <v>3</v>
      </c>
      <c r="AA488" s="1">
        <f t="shared" si="17"/>
        <v>0</v>
      </c>
      <c r="AB488" s="1">
        <f t="shared" si="17"/>
        <v>0</v>
      </c>
      <c r="AC488" s="1">
        <f t="shared" si="17"/>
        <v>1</v>
      </c>
      <c r="AD488" s="1">
        <f t="shared" si="17"/>
        <v>0</v>
      </c>
      <c r="AE488" s="1">
        <f t="shared" si="17"/>
        <v>0</v>
      </c>
      <c r="AF488" s="1">
        <f t="shared" si="17"/>
        <v>0</v>
      </c>
      <c r="AG488" s="1">
        <f t="shared" si="17"/>
        <v>9</v>
      </c>
      <c r="AH488" s="1">
        <f t="shared" si="17"/>
        <v>0</v>
      </c>
    </row>
    <row r="489" spans="1:34" x14ac:dyDescent="0.3">
      <c r="A489" t="s">
        <v>196</v>
      </c>
      <c r="B489" t="s">
        <v>197</v>
      </c>
      <c r="C489" t="s">
        <v>32</v>
      </c>
      <c r="D489" s="1">
        <v>19882</v>
      </c>
      <c r="E489" s="1">
        <v>12566</v>
      </c>
      <c r="F489">
        <v>897</v>
      </c>
      <c r="G489">
        <v>300</v>
      </c>
      <c r="H489">
        <v>231</v>
      </c>
      <c r="I489" s="1">
        <v>2640</v>
      </c>
      <c r="J489">
        <v>35</v>
      </c>
      <c r="K489">
        <v>80</v>
      </c>
      <c r="L489" s="1">
        <v>1279</v>
      </c>
      <c r="M489">
        <v>608</v>
      </c>
      <c r="N489" s="1">
        <v>1088</v>
      </c>
      <c r="O489">
        <v>0</v>
      </c>
      <c r="P489">
        <v>19</v>
      </c>
      <c r="Q489">
        <v>2</v>
      </c>
      <c r="R489">
        <v>0</v>
      </c>
      <c r="S489">
        <v>49</v>
      </c>
      <c r="T489">
        <v>10</v>
      </c>
      <c r="U489">
        <v>1</v>
      </c>
      <c r="V489">
        <v>19</v>
      </c>
      <c r="W489">
        <v>1</v>
      </c>
      <c r="X489">
        <v>0</v>
      </c>
      <c r="Y489">
        <v>13</v>
      </c>
      <c r="Z489">
        <v>33</v>
      </c>
      <c r="AA489">
        <v>0</v>
      </c>
      <c r="AB489">
        <v>10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</row>
    <row r="490" spans="1:34" x14ac:dyDescent="0.3">
      <c r="A490" t="s">
        <v>196</v>
      </c>
      <c r="B490" t="s">
        <v>197</v>
      </c>
      <c r="C490" t="s">
        <v>33</v>
      </c>
      <c r="D490" s="1">
        <v>11616</v>
      </c>
      <c r="E490" s="1">
        <v>5439</v>
      </c>
      <c r="F490">
        <v>413</v>
      </c>
      <c r="G490">
        <v>139</v>
      </c>
      <c r="H490">
        <v>91</v>
      </c>
      <c r="I490" s="1">
        <v>2471</v>
      </c>
      <c r="J490">
        <v>18</v>
      </c>
      <c r="K490">
        <v>34</v>
      </c>
      <c r="L490" s="1">
        <v>1231</v>
      </c>
      <c r="M490">
        <v>590</v>
      </c>
      <c r="N490" s="1">
        <v>1040</v>
      </c>
      <c r="O490">
        <v>0</v>
      </c>
      <c r="P490">
        <v>18</v>
      </c>
      <c r="Q490">
        <v>2</v>
      </c>
      <c r="R490">
        <v>0</v>
      </c>
      <c r="S490">
        <v>48</v>
      </c>
      <c r="T490">
        <v>10</v>
      </c>
      <c r="U490">
        <v>1</v>
      </c>
      <c r="V490">
        <v>19</v>
      </c>
      <c r="W490">
        <v>0</v>
      </c>
      <c r="X490">
        <v>0</v>
      </c>
      <c r="Y490">
        <v>11</v>
      </c>
      <c r="Z490">
        <v>30</v>
      </c>
      <c r="AA490">
        <v>0</v>
      </c>
      <c r="AB490">
        <v>10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</row>
    <row r="491" spans="1:34" x14ac:dyDescent="0.3">
      <c r="A491" t="s">
        <v>196</v>
      </c>
      <c r="B491" t="s">
        <v>197</v>
      </c>
      <c r="C491" t="s">
        <v>34</v>
      </c>
      <c r="D491" s="1">
        <v>8266</v>
      </c>
      <c r="E491" s="1">
        <v>7127</v>
      </c>
      <c r="F491">
        <v>484</v>
      </c>
      <c r="G491">
        <v>161</v>
      </c>
      <c r="H491">
        <v>140</v>
      </c>
      <c r="I491">
        <v>169</v>
      </c>
      <c r="J491">
        <v>17</v>
      </c>
      <c r="K491">
        <v>46</v>
      </c>
      <c r="L491">
        <v>48</v>
      </c>
      <c r="M491">
        <v>18</v>
      </c>
      <c r="N491">
        <v>48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2</v>
      </c>
      <c r="Z491">
        <v>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 x14ac:dyDescent="0.3">
      <c r="A492" t="s">
        <v>196</v>
      </c>
      <c r="B492" t="s">
        <v>198</v>
      </c>
      <c r="C492" t="s">
        <v>32</v>
      </c>
      <c r="D492" s="1">
        <v>9965</v>
      </c>
      <c r="E492" s="1">
        <v>9068</v>
      </c>
      <c r="F492">
        <v>112</v>
      </c>
      <c r="G492">
        <v>10</v>
      </c>
      <c r="H492">
        <v>5</v>
      </c>
      <c r="I492">
        <v>467</v>
      </c>
      <c r="J492">
        <v>0</v>
      </c>
      <c r="K492">
        <v>0</v>
      </c>
      <c r="L492">
        <v>28</v>
      </c>
      <c r="M492">
        <v>14</v>
      </c>
      <c r="N492">
        <v>6</v>
      </c>
      <c r="O492">
        <v>10</v>
      </c>
      <c r="P492">
        <v>25</v>
      </c>
      <c r="Q492">
        <v>16</v>
      </c>
      <c r="R492">
        <v>104</v>
      </c>
      <c r="S492">
        <v>21</v>
      </c>
      <c r="T492">
        <v>17</v>
      </c>
      <c r="U492">
        <v>3</v>
      </c>
      <c r="V492">
        <v>3</v>
      </c>
      <c r="W492">
        <v>0</v>
      </c>
      <c r="X492">
        <v>36</v>
      </c>
      <c r="Y492">
        <v>14</v>
      </c>
      <c r="Z492">
        <v>0</v>
      </c>
      <c r="AA492">
        <v>0</v>
      </c>
      <c r="AB492">
        <v>3</v>
      </c>
      <c r="AC492">
        <v>0</v>
      </c>
      <c r="AD492">
        <v>0</v>
      </c>
      <c r="AE492">
        <v>0</v>
      </c>
      <c r="AF492">
        <v>0</v>
      </c>
      <c r="AG492">
        <v>3</v>
      </c>
      <c r="AH492">
        <v>0</v>
      </c>
    </row>
    <row r="493" spans="1:34" x14ac:dyDescent="0.3">
      <c r="A493" t="s">
        <v>196</v>
      </c>
      <c r="B493" t="s">
        <v>198</v>
      </c>
      <c r="C493" t="s">
        <v>33</v>
      </c>
      <c r="D493" s="1">
        <v>9481</v>
      </c>
      <c r="E493" s="1">
        <v>8600</v>
      </c>
      <c r="F493">
        <v>104</v>
      </c>
      <c r="G493">
        <v>8</v>
      </c>
      <c r="H493">
        <v>3</v>
      </c>
      <c r="I493">
        <v>465</v>
      </c>
      <c r="J493">
        <v>0</v>
      </c>
      <c r="K493">
        <v>0</v>
      </c>
      <c r="L493">
        <v>28</v>
      </c>
      <c r="M493">
        <v>14</v>
      </c>
      <c r="N493">
        <v>6</v>
      </c>
      <c r="O493">
        <v>10</v>
      </c>
      <c r="P493">
        <v>25</v>
      </c>
      <c r="Q493">
        <v>16</v>
      </c>
      <c r="R493">
        <v>104</v>
      </c>
      <c r="S493">
        <v>21</v>
      </c>
      <c r="T493">
        <v>17</v>
      </c>
      <c r="U493">
        <v>3</v>
      </c>
      <c r="V493">
        <v>3</v>
      </c>
      <c r="W493">
        <v>0</v>
      </c>
      <c r="X493">
        <v>36</v>
      </c>
      <c r="Y493">
        <v>14</v>
      </c>
      <c r="Z493">
        <v>0</v>
      </c>
      <c r="AA493">
        <v>0</v>
      </c>
      <c r="AB493">
        <v>3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</row>
    <row r="494" spans="1:34" x14ac:dyDescent="0.3">
      <c r="A494" t="s">
        <v>196</v>
      </c>
      <c r="B494" t="s">
        <v>198</v>
      </c>
      <c r="C494" t="s">
        <v>34</v>
      </c>
      <c r="D494">
        <v>484</v>
      </c>
      <c r="E494">
        <v>468</v>
      </c>
      <c r="F494">
        <v>8</v>
      </c>
      <c r="G494">
        <v>2</v>
      </c>
      <c r="H494">
        <v>2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</v>
      </c>
      <c r="AH494">
        <v>0</v>
      </c>
    </row>
    <row r="495" spans="1:34" x14ac:dyDescent="0.3">
      <c r="A495" t="s">
        <v>196</v>
      </c>
      <c r="B495" t="s">
        <v>199</v>
      </c>
      <c r="C495" t="s">
        <v>32</v>
      </c>
      <c r="D495" s="1">
        <v>7640</v>
      </c>
      <c r="E495" s="1">
        <v>6504</v>
      </c>
      <c r="F495">
        <v>356</v>
      </c>
      <c r="G495">
        <v>76</v>
      </c>
      <c r="H495">
        <v>31</v>
      </c>
      <c r="I495">
        <v>269</v>
      </c>
      <c r="J495">
        <v>8</v>
      </c>
      <c r="K495">
        <v>22</v>
      </c>
      <c r="L495">
        <v>24</v>
      </c>
      <c r="M495">
        <v>39</v>
      </c>
      <c r="N495">
        <v>53</v>
      </c>
      <c r="O495">
        <v>18</v>
      </c>
      <c r="P495">
        <v>52</v>
      </c>
      <c r="Q495">
        <v>6</v>
      </c>
      <c r="R495">
        <v>45</v>
      </c>
      <c r="S495">
        <v>53</v>
      </c>
      <c r="T495">
        <v>12</v>
      </c>
      <c r="U495">
        <v>26</v>
      </c>
      <c r="V495">
        <v>7</v>
      </c>
      <c r="W495">
        <v>0</v>
      </c>
      <c r="X495">
        <v>1</v>
      </c>
      <c r="Y495">
        <v>16</v>
      </c>
      <c r="Z495">
        <v>0</v>
      </c>
      <c r="AA495">
        <v>0</v>
      </c>
      <c r="AB495">
        <v>19</v>
      </c>
      <c r="AC495">
        <v>0</v>
      </c>
      <c r="AD495">
        <v>0</v>
      </c>
      <c r="AE495">
        <v>0</v>
      </c>
      <c r="AF495">
        <v>0</v>
      </c>
      <c r="AG495">
        <v>3</v>
      </c>
      <c r="AH495">
        <v>0</v>
      </c>
    </row>
    <row r="496" spans="1:34" x14ac:dyDescent="0.3">
      <c r="A496" t="s">
        <v>196</v>
      </c>
      <c r="B496" t="s">
        <v>199</v>
      </c>
      <c r="C496" t="s">
        <v>33</v>
      </c>
      <c r="D496" s="1">
        <v>5964</v>
      </c>
      <c r="E496" s="1">
        <v>4916</v>
      </c>
      <c r="F496">
        <v>305</v>
      </c>
      <c r="G496">
        <v>60</v>
      </c>
      <c r="H496">
        <v>19</v>
      </c>
      <c r="I496">
        <v>267</v>
      </c>
      <c r="J496">
        <v>6</v>
      </c>
      <c r="K496">
        <v>20</v>
      </c>
      <c r="L496">
        <v>24</v>
      </c>
      <c r="M496">
        <v>39</v>
      </c>
      <c r="N496">
        <v>51</v>
      </c>
      <c r="O496">
        <v>18</v>
      </c>
      <c r="P496">
        <v>52</v>
      </c>
      <c r="Q496">
        <v>6</v>
      </c>
      <c r="R496">
        <v>45</v>
      </c>
      <c r="S496">
        <v>53</v>
      </c>
      <c r="T496">
        <v>12</v>
      </c>
      <c r="U496">
        <v>26</v>
      </c>
      <c r="V496">
        <v>7</v>
      </c>
      <c r="W496">
        <v>0</v>
      </c>
      <c r="X496">
        <v>1</v>
      </c>
      <c r="Y496">
        <v>16</v>
      </c>
      <c r="Z496">
        <v>0</v>
      </c>
      <c r="AA496">
        <v>0</v>
      </c>
      <c r="AB496">
        <v>19</v>
      </c>
      <c r="AC496">
        <v>0</v>
      </c>
      <c r="AD496">
        <v>0</v>
      </c>
      <c r="AE496">
        <v>0</v>
      </c>
      <c r="AF496">
        <v>0</v>
      </c>
      <c r="AG496">
        <v>2</v>
      </c>
      <c r="AH496">
        <v>0</v>
      </c>
    </row>
    <row r="497" spans="1:34" x14ac:dyDescent="0.3">
      <c r="A497" t="s">
        <v>196</v>
      </c>
      <c r="B497" t="s">
        <v>199</v>
      </c>
      <c r="C497" t="s">
        <v>34</v>
      </c>
      <c r="D497" s="1">
        <v>1676</v>
      </c>
      <c r="E497" s="1">
        <v>1588</v>
      </c>
      <c r="F497">
        <v>51</v>
      </c>
      <c r="G497">
        <v>16</v>
      </c>
      <c r="H497">
        <v>12</v>
      </c>
      <c r="I497">
        <v>2</v>
      </c>
      <c r="J497">
        <v>2</v>
      </c>
      <c r="K497">
        <v>2</v>
      </c>
      <c r="L497">
        <v>0</v>
      </c>
      <c r="M497">
        <v>0</v>
      </c>
      <c r="N497">
        <v>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</row>
    <row r="498" spans="1:34" x14ac:dyDescent="0.3">
      <c r="A498" t="s">
        <v>196</v>
      </c>
      <c r="B498" t="s">
        <v>200</v>
      </c>
      <c r="C498" t="s">
        <v>32</v>
      </c>
      <c r="D498" s="1">
        <v>6384</v>
      </c>
      <c r="E498" s="1">
        <v>5831</v>
      </c>
      <c r="F498">
        <v>219</v>
      </c>
      <c r="G498">
        <v>87</v>
      </c>
      <c r="H498">
        <v>40</v>
      </c>
      <c r="I498">
        <v>110</v>
      </c>
      <c r="J498">
        <v>5</v>
      </c>
      <c r="K498">
        <v>23</v>
      </c>
      <c r="L498">
        <v>26</v>
      </c>
      <c r="M498">
        <v>11</v>
      </c>
      <c r="N498">
        <v>23</v>
      </c>
      <c r="O498">
        <v>0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3</v>
      </c>
      <c r="AH498">
        <v>0</v>
      </c>
    </row>
    <row r="499" spans="1:34" x14ac:dyDescent="0.3">
      <c r="A499" t="s">
        <v>196</v>
      </c>
      <c r="B499" t="s">
        <v>200</v>
      </c>
      <c r="C499" t="s">
        <v>33</v>
      </c>
      <c r="D499" s="1">
        <v>3039</v>
      </c>
      <c r="E499" s="1">
        <v>2693</v>
      </c>
      <c r="F499">
        <v>137</v>
      </c>
      <c r="G499">
        <v>36</v>
      </c>
      <c r="H499">
        <v>17</v>
      </c>
      <c r="I499">
        <v>87</v>
      </c>
      <c r="J499">
        <v>1</v>
      </c>
      <c r="K499">
        <v>12</v>
      </c>
      <c r="L499">
        <v>22</v>
      </c>
      <c r="M499">
        <v>11</v>
      </c>
      <c r="N499">
        <v>16</v>
      </c>
      <c r="O499">
        <v>0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</v>
      </c>
      <c r="AH499">
        <v>0</v>
      </c>
    </row>
    <row r="500" spans="1:34" x14ac:dyDescent="0.3">
      <c r="A500" t="s">
        <v>196</v>
      </c>
      <c r="B500" t="s">
        <v>200</v>
      </c>
      <c r="C500" t="s">
        <v>34</v>
      </c>
      <c r="D500" s="1">
        <v>3345</v>
      </c>
      <c r="E500" s="1">
        <v>3138</v>
      </c>
      <c r="F500">
        <v>82</v>
      </c>
      <c r="G500">
        <v>51</v>
      </c>
      <c r="H500">
        <v>23</v>
      </c>
      <c r="I500">
        <v>23</v>
      </c>
      <c r="J500">
        <v>4</v>
      </c>
      <c r="K500">
        <v>11</v>
      </c>
      <c r="L500">
        <v>4</v>
      </c>
      <c r="M500">
        <v>0</v>
      </c>
      <c r="N500">
        <v>7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1</v>
      </c>
      <c r="AH500">
        <v>0</v>
      </c>
    </row>
    <row r="501" spans="1:34" x14ac:dyDescent="0.3">
      <c r="A501" t="s">
        <v>196</v>
      </c>
      <c r="B501" t="s">
        <v>201</v>
      </c>
      <c r="C501" t="s">
        <v>32</v>
      </c>
      <c r="D501" s="1">
        <v>5147</v>
      </c>
      <c r="E501" s="1">
        <v>2275</v>
      </c>
      <c r="F501">
        <v>127</v>
      </c>
      <c r="G501">
        <v>25</v>
      </c>
      <c r="H501">
        <v>13</v>
      </c>
      <c r="I501" s="1">
        <v>1282</v>
      </c>
      <c r="J501">
        <v>1</v>
      </c>
      <c r="K501">
        <v>7</v>
      </c>
      <c r="L501">
        <v>870</v>
      </c>
      <c r="M501">
        <v>155</v>
      </c>
      <c r="N501">
        <v>364</v>
      </c>
      <c r="O501">
        <v>0</v>
      </c>
      <c r="P501">
        <v>0</v>
      </c>
      <c r="Q501">
        <v>0</v>
      </c>
      <c r="R501">
        <v>0</v>
      </c>
      <c r="S501">
        <v>6</v>
      </c>
      <c r="T501">
        <v>8</v>
      </c>
      <c r="U501">
        <v>0</v>
      </c>
      <c r="V501">
        <v>11</v>
      </c>
      <c r="W501">
        <v>0</v>
      </c>
      <c r="X501">
        <v>0</v>
      </c>
      <c r="Y501">
        <v>1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</row>
    <row r="502" spans="1:34" x14ac:dyDescent="0.3">
      <c r="A502" t="s">
        <v>196</v>
      </c>
      <c r="B502" t="s">
        <v>201</v>
      </c>
      <c r="C502" t="s">
        <v>33</v>
      </c>
      <c r="D502" s="1">
        <v>4134</v>
      </c>
      <c r="E502" s="1">
        <v>1355</v>
      </c>
      <c r="F502">
        <v>83</v>
      </c>
      <c r="G502">
        <v>15</v>
      </c>
      <c r="H502">
        <v>5</v>
      </c>
      <c r="I502" s="1">
        <v>1271</v>
      </c>
      <c r="J502">
        <v>0</v>
      </c>
      <c r="K502">
        <v>7</v>
      </c>
      <c r="L502">
        <v>864</v>
      </c>
      <c r="M502">
        <v>154</v>
      </c>
      <c r="N502">
        <v>352</v>
      </c>
      <c r="O502">
        <v>0</v>
      </c>
      <c r="P502">
        <v>0</v>
      </c>
      <c r="Q502">
        <v>0</v>
      </c>
      <c r="R502">
        <v>0</v>
      </c>
      <c r="S502">
        <v>6</v>
      </c>
      <c r="T502">
        <v>8</v>
      </c>
      <c r="U502">
        <v>0</v>
      </c>
      <c r="V502">
        <v>11</v>
      </c>
      <c r="W502">
        <v>0</v>
      </c>
      <c r="X502">
        <v>0</v>
      </c>
      <c r="Y502">
        <v>1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</row>
    <row r="503" spans="1:34" x14ac:dyDescent="0.3">
      <c r="A503" t="s">
        <v>196</v>
      </c>
      <c r="B503" t="s">
        <v>201</v>
      </c>
      <c r="C503" t="s">
        <v>34</v>
      </c>
      <c r="D503" s="1">
        <v>1013</v>
      </c>
      <c r="E503">
        <v>920</v>
      </c>
      <c r="F503">
        <v>44</v>
      </c>
      <c r="G503">
        <v>10</v>
      </c>
      <c r="H503">
        <v>8</v>
      </c>
      <c r="I503">
        <v>11</v>
      </c>
      <c r="J503">
        <v>1</v>
      </c>
      <c r="K503">
        <v>0</v>
      </c>
      <c r="L503">
        <v>6</v>
      </c>
      <c r="M503">
        <v>1</v>
      </c>
      <c r="N503">
        <v>12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</row>
    <row r="504" spans="1:34" x14ac:dyDescent="0.3">
      <c r="A504" t="s">
        <v>196</v>
      </c>
      <c r="B504" t="s">
        <v>202</v>
      </c>
      <c r="C504" t="s">
        <v>32</v>
      </c>
      <c r="D504" s="1">
        <v>3538</v>
      </c>
      <c r="E504" s="1">
        <v>2822</v>
      </c>
      <c r="F504">
        <v>211</v>
      </c>
      <c r="G504">
        <v>38</v>
      </c>
      <c r="H504">
        <v>7</v>
      </c>
      <c r="I504">
        <v>220</v>
      </c>
      <c r="J504">
        <v>3</v>
      </c>
      <c r="K504">
        <v>22</v>
      </c>
      <c r="L504">
        <v>150</v>
      </c>
      <c r="M504">
        <v>36</v>
      </c>
      <c r="N504">
        <v>24</v>
      </c>
      <c r="O504">
        <v>0</v>
      </c>
      <c r="P504">
        <v>0</v>
      </c>
      <c r="Q504">
        <v>0</v>
      </c>
      <c r="R504">
        <v>0</v>
      </c>
      <c r="S504">
        <v>4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</row>
    <row r="505" spans="1:34" x14ac:dyDescent="0.3">
      <c r="A505" t="s">
        <v>196</v>
      </c>
      <c r="B505" t="s">
        <v>202</v>
      </c>
      <c r="C505" t="s">
        <v>33</v>
      </c>
      <c r="D505" s="1">
        <v>2420</v>
      </c>
      <c r="E505" s="1">
        <v>1767</v>
      </c>
      <c r="F505">
        <v>172</v>
      </c>
      <c r="G505">
        <v>20</v>
      </c>
      <c r="H505">
        <v>6</v>
      </c>
      <c r="I505">
        <v>218</v>
      </c>
      <c r="J505">
        <v>2</v>
      </c>
      <c r="K505">
        <v>21</v>
      </c>
      <c r="L505">
        <v>149</v>
      </c>
      <c r="M505">
        <v>36</v>
      </c>
      <c r="N505">
        <v>24</v>
      </c>
      <c r="O505">
        <v>0</v>
      </c>
      <c r="P505">
        <v>0</v>
      </c>
      <c r="Q505">
        <v>0</v>
      </c>
      <c r="R505">
        <v>0</v>
      </c>
      <c r="S505">
        <v>4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</row>
    <row r="506" spans="1:34" x14ac:dyDescent="0.3">
      <c r="A506" t="s">
        <v>196</v>
      </c>
      <c r="B506" t="s">
        <v>202</v>
      </c>
      <c r="C506" t="s">
        <v>34</v>
      </c>
      <c r="D506" s="1">
        <v>1118</v>
      </c>
      <c r="E506" s="1">
        <v>1055</v>
      </c>
      <c r="F506">
        <v>39</v>
      </c>
      <c r="G506">
        <v>18</v>
      </c>
      <c r="H506">
        <v>1</v>
      </c>
      <c r="I506">
        <v>2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 x14ac:dyDescent="0.3">
      <c r="A507" t="s">
        <v>196</v>
      </c>
      <c r="B507" t="s">
        <v>203</v>
      </c>
      <c r="C507" t="s">
        <v>32</v>
      </c>
      <c r="D507" s="1">
        <v>3213</v>
      </c>
      <c r="E507">
        <v>542</v>
      </c>
      <c r="F507">
        <v>31</v>
      </c>
      <c r="G507">
        <v>10</v>
      </c>
      <c r="H507">
        <v>4</v>
      </c>
      <c r="I507" s="1">
        <v>1254</v>
      </c>
      <c r="J507">
        <v>0</v>
      </c>
      <c r="K507">
        <v>1</v>
      </c>
      <c r="L507">
        <v>597</v>
      </c>
      <c r="M507">
        <v>316</v>
      </c>
      <c r="N507">
        <v>422</v>
      </c>
      <c r="O507">
        <v>0</v>
      </c>
      <c r="P507">
        <v>0</v>
      </c>
      <c r="Q507">
        <v>0</v>
      </c>
      <c r="R507">
        <v>0</v>
      </c>
      <c r="S507">
        <v>21</v>
      </c>
      <c r="T507">
        <v>0</v>
      </c>
      <c r="U507">
        <v>0</v>
      </c>
      <c r="V507">
        <v>5</v>
      </c>
      <c r="W507">
        <v>0</v>
      </c>
      <c r="X507">
        <v>0</v>
      </c>
      <c r="Y507">
        <v>0</v>
      </c>
      <c r="Z507">
        <v>10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 x14ac:dyDescent="0.3">
      <c r="A508" t="s">
        <v>196</v>
      </c>
      <c r="B508" t="s">
        <v>203</v>
      </c>
      <c r="C508" t="s">
        <v>33</v>
      </c>
      <c r="D508" s="1">
        <v>2960</v>
      </c>
      <c r="E508">
        <v>324</v>
      </c>
      <c r="F508">
        <v>19</v>
      </c>
      <c r="G508">
        <v>7</v>
      </c>
      <c r="H508">
        <v>0</v>
      </c>
      <c r="I508" s="1">
        <v>1246</v>
      </c>
      <c r="J508">
        <v>0</v>
      </c>
      <c r="K508">
        <v>1</v>
      </c>
      <c r="L508">
        <v>592</v>
      </c>
      <c r="M508">
        <v>313</v>
      </c>
      <c r="N508">
        <v>422</v>
      </c>
      <c r="O508">
        <v>0</v>
      </c>
      <c r="P508">
        <v>0</v>
      </c>
      <c r="Q508">
        <v>0</v>
      </c>
      <c r="R508">
        <v>0</v>
      </c>
      <c r="S508">
        <v>21</v>
      </c>
      <c r="T508">
        <v>0</v>
      </c>
      <c r="U508">
        <v>0</v>
      </c>
      <c r="V508">
        <v>5</v>
      </c>
      <c r="W508">
        <v>0</v>
      </c>
      <c r="X508">
        <v>0</v>
      </c>
      <c r="Y508">
        <v>0</v>
      </c>
      <c r="Z508">
        <v>10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 x14ac:dyDescent="0.3">
      <c r="A509" t="s">
        <v>196</v>
      </c>
      <c r="B509" t="s">
        <v>203</v>
      </c>
      <c r="C509" t="s">
        <v>34</v>
      </c>
      <c r="D509">
        <v>253</v>
      </c>
      <c r="E509">
        <v>218</v>
      </c>
      <c r="F509">
        <v>12</v>
      </c>
      <c r="G509">
        <v>3</v>
      </c>
      <c r="H509">
        <v>4</v>
      </c>
      <c r="I509">
        <v>8</v>
      </c>
      <c r="J509">
        <v>0</v>
      </c>
      <c r="K509">
        <v>0</v>
      </c>
      <c r="L509">
        <v>5</v>
      </c>
      <c r="M509">
        <v>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 x14ac:dyDescent="0.3">
      <c r="A510" t="s">
        <v>196</v>
      </c>
      <c r="B510" t="s">
        <v>204</v>
      </c>
      <c r="C510" t="s">
        <v>32</v>
      </c>
      <c r="D510" s="1">
        <v>2448</v>
      </c>
      <c r="E510" s="1">
        <v>2421</v>
      </c>
      <c r="F510">
        <v>19</v>
      </c>
      <c r="G510">
        <v>1</v>
      </c>
      <c r="H510">
        <v>0</v>
      </c>
      <c r="I510">
        <v>1</v>
      </c>
      <c r="J510">
        <v>0</v>
      </c>
      <c r="K510">
        <v>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</row>
    <row r="511" spans="1:34" x14ac:dyDescent="0.3">
      <c r="A511" t="s">
        <v>196</v>
      </c>
      <c r="B511" t="s">
        <v>204</v>
      </c>
      <c r="C511" t="s">
        <v>33</v>
      </c>
      <c r="D511" s="1">
        <v>2328</v>
      </c>
      <c r="E511" s="1">
        <v>2301</v>
      </c>
      <c r="F511">
        <v>19</v>
      </c>
      <c r="G511">
        <v>1</v>
      </c>
      <c r="H511">
        <v>0</v>
      </c>
      <c r="I511">
        <v>1</v>
      </c>
      <c r="J511">
        <v>0</v>
      </c>
      <c r="K511">
        <v>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4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</row>
    <row r="512" spans="1:34" x14ac:dyDescent="0.3">
      <c r="A512" t="s">
        <v>196</v>
      </c>
      <c r="B512" t="s">
        <v>204</v>
      </c>
      <c r="C512" t="s">
        <v>34</v>
      </c>
      <c r="D512">
        <v>120</v>
      </c>
      <c r="E512">
        <v>120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 x14ac:dyDescent="0.3">
      <c r="A513" t="s">
        <v>196</v>
      </c>
      <c r="B513" t="s">
        <v>205</v>
      </c>
      <c r="C513" t="s">
        <v>32</v>
      </c>
      <c r="D513" s="1">
        <v>2344</v>
      </c>
      <c r="E513" s="1">
        <v>1836</v>
      </c>
      <c r="F513">
        <v>65</v>
      </c>
      <c r="G513">
        <v>12</v>
      </c>
      <c r="H513">
        <v>5</v>
      </c>
      <c r="I513">
        <v>192</v>
      </c>
      <c r="J513">
        <v>7</v>
      </c>
      <c r="K513">
        <v>0</v>
      </c>
      <c r="L513">
        <v>47</v>
      </c>
      <c r="M513">
        <v>14</v>
      </c>
      <c r="N513">
        <v>8</v>
      </c>
      <c r="O513">
        <v>9</v>
      </c>
      <c r="P513">
        <v>44</v>
      </c>
      <c r="Q513">
        <v>73</v>
      </c>
      <c r="R513">
        <v>1</v>
      </c>
      <c r="S513">
        <v>6</v>
      </c>
      <c r="T513">
        <v>0</v>
      </c>
      <c r="U513">
        <v>0</v>
      </c>
      <c r="V513">
        <v>0</v>
      </c>
      <c r="W513">
        <v>2</v>
      </c>
      <c r="X513">
        <v>2</v>
      </c>
      <c r="Y513">
        <v>2</v>
      </c>
      <c r="Z513">
        <v>0</v>
      </c>
      <c r="AA513">
        <v>17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1</v>
      </c>
      <c r="AH513">
        <v>0</v>
      </c>
    </row>
    <row r="514" spans="1:34" x14ac:dyDescent="0.3">
      <c r="A514" t="s">
        <v>196</v>
      </c>
      <c r="B514" t="s">
        <v>205</v>
      </c>
      <c r="C514" t="s">
        <v>33</v>
      </c>
      <c r="D514" s="1">
        <v>1908</v>
      </c>
      <c r="E514" s="1">
        <v>1423</v>
      </c>
      <c r="F514">
        <v>51</v>
      </c>
      <c r="G514">
        <v>8</v>
      </c>
      <c r="H514">
        <v>4</v>
      </c>
      <c r="I514">
        <v>192</v>
      </c>
      <c r="J514">
        <v>7</v>
      </c>
      <c r="K514">
        <v>0</v>
      </c>
      <c r="L514">
        <v>47</v>
      </c>
      <c r="M514">
        <v>14</v>
      </c>
      <c r="N514">
        <v>8</v>
      </c>
      <c r="O514">
        <v>9</v>
      </c>
      <c r="P514">
        <v>42</v>
      </c>
      <c r="Q514">
        <v>73</v>
      </c>
      <c r="R514">
        <v>1</v>
      </c>
      <c r="S514">
        <v>6</v>
      </c>
      <c r="T514">
        <v>0</v>
      </c>
      <c r="U514">
        <v>0</v>
      </c>
      <c r="V514">
        <v>0</v>
      </c>
      <c r="W514">
        <v>0</v>
      </c>
      <c r="X514">
        <v>2</v>
      </c>
      <c r="Y514">
        <v>2</v>
      </c>
      <c r="Z514">
        <v>0</v>
      </c>
      <c r="AA514">
        <v>17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1</v>
      </c>
      <c r="AH514">
        <v>0</v>
      </c>
    </row>
    <row r="515" spans="1:34" x14ac:dyDescent="0.3">
      <c r="A515" t="s">
        <v>196</v>
      </c>
      <c r="B515" t="s">
        <v>205</v>
      </c>
      <c r="C515" t="s">
        <v>34</v>
      </c>
      <c r="D515">
        <v>436</v>
      </c>
      <c r="E515">
        <v>413</v>
      </c>
      <c r="F515">
        <v>14</v>
      </c>
      <c r="G515">
        <v>4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 x14ac:dyDescent="0.3">
      <c r="A516" t="s">
        <v>196</v>
      </c>
      <c r="B516" t="s">
        <v>206</v>
      </c>
      <c r="C516" t="s">
        <v>32</v>
      </c>
      <c r="D516" s="1">
        <v>2261</v>
      </c>
      <c r="E516">
        <v>855</v>
      </c>
      <c r="F516">
        <v>41</v>
      </c>
      <c r="G516">
        <v>45</v>
      </c>
      <c r="H516">
        <v>12</v>
      </c>
      <c r="I516">
        <v>612</v>
      </c>
      <c r="J516">
        <v>0</v>
      </c>
      <c r="K516">
        <v>3</v>
      </c>
      <c r="L516">
        <v>258</v>
      </c>
      <c r="M516">
        <v>178</v>
      </c>
      <c r="N516">
        <v>231</v>
      </c>
      <c r="O516">
        <v>4</v>
      </c>
      <c r="P516">
        <v>0</v>
      </c>
      <c r="Q516">
        <v>0</v>
      </c>
      <c r="R516">
        <v>0</v>
      </c>
      <c r="S516">
        <v>12</v>
      </c>
      <c r="T516">
        <v>0</v>
      </c>
      <c r="U516">
        <v>0</v>
      </c>
      <c r="V516">
        <v>3</v>
      </c>
      <c r="W516">
        <v>0</v>
      </c>
      <c r="X516">
        <v>0</v>
      </c>
      <c r="Y516">
        <v>3</v>
      </c>
      <c r="Z516">
        <v>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</row>
    <row r="517" spans="1:34" x14ac:dyDescent="0.3">
      <c r="A517" t="s">
        <v>196</v>
      </c>
      <c r="B517" t="s">
        <v>206</v>
      </c>
      <c r="C517" t="s">
        <v>33</v>
      </c>
      <c r="D517" s="1">
        <v>1698</v>
      </c>
      <c r="E517">
        <v>431</v>
      </c>
      <c r="F517">
        <v>23</v>
      </c>
      <c r="G517">
        <v>28</v>
      </c>
      <c r="H517">
        <v>8</v>
      </c>
      <c r="I517">
        <v>541</v>
      </c>
      <c r="J517">
        <v>0</v>
      </c>
      <c r="K517">
        <v>2</v>
      </c>
      <c r="L517">
        <v>247</v>
      </c>
      <c r="M517">
        <v>177</v>
      </c>
      <c r="N517">
        <v>215</v>
      </c>
      <c r="O517">
        <v>4</v>
      </c>
      <c r="P517">
        <v>0</v>
      </c>
      <c r="Q517">
        <v>0</v>
      </c>
      <c r="R517">
        <v>0</v>
      </c>
      <c r="S517">
        <v>12</v>
      </c>
      <c r="T517">
        <v>0</v>
      </c>
      <c r="U517">
        <v>0</v>
      </c>
      <c r="V517">
        <v>3</v>
      </c>
      <c r="W517">
        <v>0</v>
      </c>
      <c r="X517">
        <v>0</v>
      </c>
      <c r="Y517">
        <v>3</v>
      </c>
      <c r="Z517">
        <v>3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</row>
    <row r="518" spans="1:34" x14ac:dyDescent="0.3">
      <c r="A518" t="s">
        <v>196</v>
      </c>
      <c r="B518" t="s">
        <v>206</v>
      </c>
      <c r="C518" t="s">
        <v>34</v>
      </c>
      <c r="D518">
        <v>563</v>
      </c>
      <c r="E518">
        <v>424</v>
      </c>
      <c r="F518">
        <v>18</v>
      </c>
      <c r="G518">
        <v>17</v>
      </c>
      <c r="H518">
        <v>4</v>
      </c>
      <c r="I518">
        <v>71</v>
      </c>
      <c r="J518">
        <v>0</v>
      </c>
      <c r="K518">
        <v>1</v>
      </c>
      <c r="L518">
        <v>11</v>
      </c>
      <c r="M518">
        <v>1</v>
      </c>
      <c r="N518">
        <v>16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 x14ac:dyDescent="0.3">
      <c r="A519" t="s">
        <v>196</v>
      </c>
      <c r="B519" t="s">
        <v>207</v>
      </c>
      <c r="C519" t="s">
        <v>32</v>
      </c>
      <c r="D519" s="1">
        <v>2177</v>
      </c>
      <c r="E519" s="1">
        <v>1956</v>
      </c>
      <c r="F519">
        <v>54</v>
      </c>
      <c r="G519">
        <v>26</v>
      </c>
      <c r="H519">
        <v>5</v>
      </c>
      <c r="I519">
        <v>36</v>
      </c>
      <c r="J519">
        <v>2</v>
      </c>
      <c r="K519">
        <v>20</v>
      </c>
      <c r="L519">
        <v>20</v>
      </c>
      <c r="M519">
        <v>42</v>
      </c>
      <c r="N519">
        <v>1</v>
      </c>
      <c r="O519">
        <v>5</v>
      </c>
      <c r="P519">
        <v>2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6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 x14ac:dyDescent="0.3">
      <c r="A520" t="s">
        <v>196</v>
      </c>
      <c r="B520" t="s">
        <v>207</v>
      </c>
      <c r="C520" t="s">
        <v>33</v>
      </c>
      <c r="D520" s="1">
        <v>1544</v>
      </c>
      <c r="E520" s="1">
        <v>1356</v>
      </c>
      <c r="F520">
        <v>43</v>
      </c>
      <c r="G520">
        <v>16</v>
      </c>
      <c r="H520">
        <v>3</v>
      </c>
      <c r="I520">
        <v>35</v>
      </c>
      <c r="J520">
        <v>2</v>
      </c>
      <c r="K520">
        <v>14</v>
      </c>
      <c r="L520">
        <v>20</v>
      </c>
      <c r="M520">
        <v>40</v>
      </c>
      <c r="N520">
        <v>1</v>
      </c>
      <c r="O520">
        <v>5</v>
      </c>
      <c r="P520">
        <v>2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6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 x14ac:dyDescent="0.3">
      <c r="A521" t="s">
        <v>196</v>
      </c>
      <c r="B521" t="s">
        <v>207</v>
      </c>
      <c r="C521" t="s">
        <v>34</v>
      </c>
      <c r="D521">
        <v>633</v>
      </c>
      <c r="E521">
        <v>600</v>
      </c>
      <c r="F521">
        <v>11</v>
      </c>
      <c r="G521">
        <v>10</v>
      </c>
      <c r="H521">
        <v>2</v>
      </c>
      <c r="I521">
        <v>1</v>
      </c>
      <c r="J521">
        <v>0</v>
      </c>
      <c r="K521">
        <v>6</v>
      </c>
      <c r="L521">
        <v>0</v>
      </c>
      <c r="M521">
        <v>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</row>
    <row r="522" spans="1:34" x14ac:dyDescent="0.3">
      <c r="A522" t="s">
        <v>196</v>
      </c>
      <c r="B522" t="s">
        <v>208</v>
      </c>
      <c r="C522" t="s">
        <v>32</v>
      </c>
      <c r="D522" s="1">
        <v>2040</v>
      </c>
      <c r="E522" s="1">
        <v>1494</v>
      </c>
      <c r="F522">
        <v>60</v>
      </c>
      <c r="G522">
        <v>4</v>
      </c>
      <c r="H522">
        <v>14</v>
      </c>
      <c r="I522">
        <v>340</v>
      </c>
      <c r="J522">
        <v>0</v>
      </c>
      <c r="K522">
        <v>2</v>
      </c>
      <c r="L522">
        <v>32</v>
      </c>
      <c r="M522">
        <v>15</v>
      </c>
      <c r="N522">
        <v>37</v>
      </c>
      <c r="O522">
        <v>6</v>
      </c>
      <c r="P522">
        <v>0</v>
      </c>
      <c r="Q522">
        <v>8</v>
      </c>
      <c r="R522">
        <v>0</v>
      </c>
      <c r="S522">
        <v>0</v>
      </c>
      <c r="T522">
        <v>4</v>
      </c>
      <c r="U522">
        <v>0</v>
      </c>
      <c r="V522">
        <v>2</v>
      </c>
      <c r="W522">
        <v>0</v>
      </c>
      <c r="X522">
        <v>0</v>
      </c>
      <c r="Y522">
        <v>8</v>
      </c>
      <c r="Z522">
        <v>0</v>
      </c>
      <c r="AA522">
        <v>0</v>
      </c>
      <c r="AB522">
        <v>14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</row>
    <row r="523" spans="1:34" x14ac:dyDescent="0.3">
      <c r="A523" t="s">
        <v>196</v>
      </c>
      <c r="B523" t="s">
        <v>208</v>
      </c>
      <c r="C523" t="s">
        <v>33</v>
      </c>
      <c r="D523" s="1">
        <v>1596</v>
      </c>
      <c r="E523" s="1">
        <v>1066</v>
      </c>
      <c r="F523">
        <v>51</v>
      </c>
      <c r="G523">
        <v>1</v>
      </c>
      <c r="H523">
        <v>12</v>
      </c>
      <c r="I523">
        <v>340</v>
      </c>
      <c r="J523">
        <v>0</v>
      </c>
      <c r="K523">
        <v>0</v>
      </c>
      <c r="L523">
        <v>32</v>
      </c>
      <c r="M523">
        <v>15</v>
      </c>
      <c r="N523">
        <v>37</v>
      </c>
      <c r="O523">
        <v>6</v>
      </c>
      <c r="P523">
        <v>0</v>
      </c>
      <c r="Q523">
        <v>8</v>
      </c>
      <c r="R523">
        <v>0</v>
      </c>
      <c r="S523">
        <v>0</v>
      </c>
      <c r="T523">
        <v>4</v>
      </c>
      <c r="U523">
        <v>0</v>
      </c>
      <c r="V523">
        <v>2</v>
      </c>
      <c r="W523">
        <v>0</v>
      </c>
      <c r="X523">
        <v>0</v>
      </c>
      <c r="Y523">
        <v>8</v>
      </c>
      <c r="Z523">
        <v>0</v>
      </c>
      <c r="AA523">
        <v>0</v>
      </c>
      <c r="AB523">
        <v>14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 x14ac:dyDescent="0.3">
      <c r="A524" t="s">
        <v>196</v>
      </c>
      <c r="B524" t="s">
        <v>208</v>
      </c>
      <c r="C524" t="s">
        <v>34</v>
      </c>
      <c r="D524">
        <v>444</v>
      </c>
      <c r="E524">
        <v>428</v>
      </c>
      <c r="F524">
        <v>9</v>
      </c>
      <c r="G524">
        <v>3</v>
      </c>
      <c r="H524">
        <v>2</v>
      </c>
      <c r="I524">
        <v>0</v>
      </c>
      <c r="J524">
        <v>0</v>
      </c>
      <c r="K524">
        <v>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 x14ac:dyDescent="0.3">
      <c r="A525" t="s">
        <v>196</v>
      </c>
      <c r="B525" t="s">
        <v>209</v>
      </c>
      <c r="C525" t="s">
        <v>32</v>
      </c>
      <c r="D525" s="1">
        <v>1968</v>
      </c>
      <c r="E525" s="1">
        <v>1746</v>
      </c>
      <c r="F525">
        <v>121</v>
      </c>
      <c r="G525">
        <v>55</v>
      </c>
      <c r="H525">
        <v>7</v>
      </c>
      <c r="I525">
        <v>2</v>
      </c>
      <c r="J525">
        <v>4</v>
      </c>
      <c r="K525">
        <v>5</v>
      </c>
      <c r="L525">
        <v>4</v>
      </c>
      <c r="M525">
        <v>4</v>
      </c>
      <c r="N525">
        <v>1</v>
      </c>
      <c r="O525">
        <v>6</v>
      </c>
      <c r="P525">
        <v>0</v>
      </c>
      <c r="Q525">
        <v>0</v>
      </c>
      <c r="R525">
        <v>0</v>
      </c>
      <c r="S525">
        <v>11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</row>
    <row r="526" spans="1:34" x14ac:dyDescent="0.3">
      <c r="A526" t="s">
        <v>196</v>
      </c>
      <c r="B526" t="s">
        <v>209</v>
      </c>
      <c r="C526" t="s">
        <v>33</v>
      </c>
      <c r="D526" s="1">
        <v>1403</v>
      </c>
      <c r="E526" s="1">
        <v>1210</v>
      </c>
      <c r="F526">
        <v>108</v>
      </c>
      <c r="G526">
        <v>49</v>
      </c>
      <c r="H526">
        <v>6</v>
      </c>
      <c r="I526">
        <v>1</v>
      </c>
      <c r="J526">
        <v>1</v>
      </c>
      <c r="K526">
        <v>3</v>
      </c>
      <c r="L526">
        <v>3</v>
      </c>
      <c r="M526">
        <v>4</v>
      </c>
      <c r="N526">
        <v>0</v>
      </c>
      <c r="O526">
        <v>6</v>
      </c>
      <c r="P526">
        <v>0</v>
      </c>
      <c r="Q526">
        <v>0</v>
      </c>
      <c r="R526">
        <v>0</v>
      </c>
      <c r="S526">
        <v>11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 x14ac:dyDescent="0.3">
      <c r="A527" t="s">
        <v>196</v>
      </c>
      <c r="B527" t="s">
        <v>209</v>
      </c>
      <c r="C527" t="s">
        <v>34</v>
      </c>
      <c r="D527">
        <v>565</v>
      </c>
      <c r="E527">
        <v>536</v>
      </c>
      <c r="F527">
        <v>13</v>
      </c>
      <c r="G527">
        <v>6</v>
      </c>
      <c r="H527">
        <v>1</v>
      </c>
      <c r="I527">
        <v>1</v>
      </c>
      <c r="J527">
        <v>3</v>
      </c>
      <c r="K527">
        <v>2</v>
      </c>
      <c r="L527">
        <v>1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</row>
    <row r="528" spans="1:34" x14ac:dyDescent="0.3">
      <c r="A528" t="s">
        <v>196</v>
      </c>
      <c r="B528" t="s">
        <v>210</v>
      </c>
      <c r="C528" t="s">
        <v>32</v>
      </c>
      <c r="D528" s="1">
        <v>1966</v>
      </c>
      <c r="E528">
        <v>269</v>
      </c>
      <c r="F528">
        <v>20</v>
      </c>
      <c r="G528">
        <v>3</v>
      </c>
      <c r="H528">
        <v>14</v>
      </c>
      <c r="I528">
        <v>716</v>
      </c>
      <c r="J528">
        <v>0</v>
      </c>
      <c r="K528">
        <v>2</v>
      </c>
      <c r="L528">
        <v>661</v>
      </c>
      <c r="M528">
        <v>76</v>
      </c>
      <c r="N528">
        <v>203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 x14ac:dyDescent="0.3">
      <c r="A529" t="s">
        <v>196</v>
      </c>
      <c r="B529" t="s">
        <v>210</v>
      </c>
      <c r="C529" t="s">
        <v>33</v>
      </c>
      <c r="D529" s="1">
        <v>1792</v>
      </c>
      <c r="E529">
        <v>121</v>
      </c>
      <c r="F529">
        <v>12</v>
      </c>
      <c r="G529">
        <v>0</v>
      </c>
      <c r="H529">
        <v>8</v>
      </c>
      <c r="I529">
        <v>714</v>
      </c>
      <c r="J529">
        <v>0</v>
      </c>
      <c r="K529">
        <v>0</v>
      </c>
      <c r="L529">
        <v>658</v>
      </c>
      <c r="M529">
        <v>76</v>
      </c>
      <c r="N529">
        <v>201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 x14ac:dyDescent="0.3">
      <c r="A530" t="s">
        <v>196</v>
      </c>
      <c r="B530" t="s">
        <v>210</v>
      </c>
      <c r="C530" t="s">
        <v>34</v>
      </c>
      <c r="D530">
        <v>174</v>
      </c>
      <c r="E530">
        <v>148</v>
      </c>
      <c r="F530">
        <v>8</v>
      </c>
      <c r="G530">
        <v>3</v>
      </c>
      <c r="H530">
        <v>6</v>
      </c>
      <c r="I530">
        <v>2</v>
      </c>
      <c r="J530">
        <v>0</v>
      </c>
      <c r="K530">
        <v>2</v>
      </c>
      <c r="L530">
        <v>3</v>
      </c>
      <c r="M530">
        <v>0</v>
      </c>
      <c r="N530">
        <v>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</row>
    <row r="531" spans="1:34" x14ac:dyDescent="0.3">
      <c r="A531" t="s">
        <v>196</v>
      </c>
      <c r="B531" t="s">
        <v>211</v>
      </c>
      <c r="C531" t="s">
        <v>32</v>
      </c>
      <c r="D531" s="1">
        <v>1093</v>
      </c>
      <c r="E531">
        <v>887</v>
      </c>
      <c r="F531">
        <v>19</v>
      </c>
      <c r="G531">
        <v>11</v>
      </c>
      <c r="H531">
        <v>6</v>
      </c>
      <c r="I531">
        <v>77</v>
      </c>
      <c r="J531">
        <v>2</v>
      </c>
      <c r="K531">
        <v>7</v>
      </c>
      <c r="L531">
        <v>16</v>
      </c>
      <c r="M531">
        <v>33</v>
      </c>
      <c r="N531">
        <v>35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 x14ac:dyDescent="0.3">
      <c r="A532" t="s">
        <v>196</v>
      </c>
      <c r="B532" t="s">
        <v>211</v>
      </c>
      <c r="C532" t="s">
        <v>33</v>
      </c>
      <c r="D532">
        <v>723</v>
      </c>
      <c r="E532">
        <v>548</v>
      </c>
      <c r="F532">
        <v>14</v>
      </c>
      <c r="G532">
        <v>5</v>
      </c>
      <c r="H532">
        <v>3</v>
      </c>
      <c r="I532">
        <v>77</v>
      </c>
      <c r="J532">
        <v>1</v>
      </c>
      <c r="K532">
        <v>4</v>
      </c>
      <c r="L532">
        <v>12</v>
      </c>
      <c r="M532">
        <v>33</v>
      </c>
      <c r="N532">
        <v>26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</row>
    <row r="533" spans="1:34" x14ac:dyDescent="0.3">
      <c r="A533" t="s">
        <v>196</v>
      </c>
      <c r="B533" t="s">
        <v>211</v>
      </c>
      <c r="C533" t="s">
        <v>34</v>
      </c>
      <c r="D533">
        <v>370</v>
      </c>
      <c r="E533">
        <v>339</v>
      </c>
      <c r="F533">
        <v>5</v>
      </c>
      <c r="G533">
        <v>6</v>
      </c>
      <c r="H533">
        <v>3</v>
      </c>
      <c r="I533">
        <v>0</v>
      </c>
      <c r="J533">
        <v>1</v>
      </c>
      <c r="K533">
        <v>3</v>
      </c>
      <c r="L533">
        <v>4</v>
      </c>
      <c r="M533">
        <v>0</v>
      </c>
      <c r="N533">
        <v>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 x14ac:dyDescent="0.3">
      <c r="A534" t="s">
        <v>196</v>
      </c>
      <c r="B534" t="s">
        <v>212</v>
      </c>
      <c r="C534" t="s">
        <v>32</v>
      </c>
      <c r="D534">
        <v>857</v>
      </c>
      <c r="E534">
        <v>796</v>
      </c>
      <c r="F534">
        <v>11</v>
      </c>
      <c r="G534">
        <v>0</v>
      </c>
      <c r="H534">
        <v>6</v>
      </c>
      <c r="I534">
        <v>14</v>
      </c>
      <c r="J534">
        <v>0</v>
      </c>
      <c r="K534">
        <v>2</v>
      </c>
      <c r="L534">
        <v>15</v>
      </c>
      <c r="M534">
        <v>3</v>
      </c>
      <c r="N534">
        <v>10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 x14ac:dyDescent="0.3">
      <c r="A535" t="s">
        <v>196</v>
      </c>
      <c r="B535" t="s">
        <v>212</v>
      </c>
      <c r="C535" t="s">
        <v>33</v>
      </c>
      <c r="D535">
        <v>633</v>
      </c>
      <c r="E535">
        <v>583</v>
      </c>
      <c r="F535">
        <v>4</v>
      </c>
      <c r="G535">
        <v>0</v>
      </c>
      <c r="H535">
        <v>2</v>
      </c>
      <c r="I535">
        <v>14</v>
      </c>
      <c r="J535">
        <v>0</v>
      </c>
      <c r="K535">
        <v>2</v>
      </c>
      <c r="L535">
        <v>15</v>
      </c>
      <c r="M535">
        <v>3</v>
      </c>
      <c r="N535">
        <v>10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 x14ac:dyDescent="0.3">
      <c r="A536" t="s">
        <v>196</v>
      </c>
      <c r="B536" t="s">
        <v>212</v>
      </c>
      <c r="C536" t="s">
        <v>34</v>
      </c>
      <c r="D536">
        <v>224</v>
      </c>
      <c r="E536">
        <v>213</v>
      </c>
      <c r="F536">
        <v>7</v>
      </c>
      <c r="G536">
        <v>0</v>
      </c>
      <c r="H536">
        <v>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 x14ac:dyDescent="0.3">
      <c r="A537" t="s">
        <v>196</v>
      </c>
      <c r="B537" t="s">
        <v>213</v>
      </c>
      <c r="C537" t="s">
        <v>32</v>
      </c>
      <c r="D537">
        <v>631</v>
      </c>
      <c r="E537">
        <v>583</v>
      </c>
      <c r="F537">
        <v>22</v>
      </c>
      <c r="G537">
        <v>8</v>
      </c>
      <c r="H537">
        <v>1</v>
      </c>
      <c r="I537">
        <v>4</v>
      </c>
      <c r="J537">
        <v>1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2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 x14ac:dyDescent="0.3">
      <c r="A538" t="s">
        <v>196</v>
      </c>
      <c r="B538" t="s">
        <v>213</v>
      </c>
      <c r="C538" t="s">
        <v>33</v>
      </c>
      <c r="D538">
        <v>417</v>
      </c>
      <c r="E538">
        <v>375</v>
      </c>
      <c r="F538">
        <v>18</v>
      </c>
      <c r="G538">
        <v>6</v>
      </c>
      <c r="H538">
        <v>1</v>
      </c>
      <c r="I538">
        <v>4</v>
      </c>
      <c r="J538">
        <v>1</v>
      </c>
      <c r="K538">
        <v>0</v>
      </c>
      <c r="L538">
        <v>10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</row>
    <row r="539" spans="1:34" x14ac:dyDescent="0.3">
      <c r="A539" t="s">
        <v>196</v>
      </c>
      <c r="B539" t="s">
        <v>213</v>
      </c>
      <c r="C539" t="s">
        <v>34</v>
      </c>
      <c r="D539">
        <v>214</v>
      </c>
      <c r="E539">
        <v>208</v>
      </c>
      <c r="F539">
        <v>4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 x14ac:dyDescent="0.3">
      <c r="A540" t="s">
        <v>196</v>
      </c>
      <c r="B540" t="s">
        <v>214</v>
      </c>
      <c r="C540" t="s">
        <v>32</v>
      </c>
      <c r="D540">
        <v>624</v>
      </c>
      <c r="E540">
        <v>610</v>
      </c>
      <c r="F540">
        <v>7</v>
      </c>
      <c r="G540">
        <v>3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 x14ac:dyDescent="0.3">
      <c r="A541" t="s">
        <v>196</v>
      </c>
      <c r="B541" t="s">
        <v>214</v>
      </c>
      <c r="C541" t="s">
        <v>33</v>
      </c>
      <c r="D541">
        <v>439</v>
      </c>
      <c r="E541">
        <v>428</v>
      </c>
      <c r="F541">
        <v>4</v>
      </c>
      <c r="G541">
        <v>3</v>
      </c>
      <c r="H541">
        <v>4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 x14ac:dyDescent="0.3">
      <c r="A542" t="s">
        <v>196</v>
      </c>
      <c r="B542" t="s">
        <v>214</v>
      </c>
      <c r="C542" t="s">
        <v>34</v>
      </c>
      <c r="D542">
        <v>185</v>
      </c>
      <c r="E542">
        <v>182</v>
      </c>
      <c r="F542">
        <v>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</row>
    <row r="543" spans="1:34" x14ac:dyDescent="0.3">
      <c r="A543" t="s">
        <v>196</v>
      </c>
      <c r="B543" t="s">
        <v>215</v>
      </c>
      <c r="C543" t="s">
        <v>32</v>
      </c>
      <c r="D543">
        <v>582</v>
      </c>
      <c r="E543">
        <v>521</v>
      </c>
      <c r="F543">
        <v>8</v>
      </c>
      <c r="G543">
        <v>14</v>
      </c>
      <c r="H543">
        <v>2</v>
      </c>
      <c r="I543">
        <v>20</v>
      </c>
      <c r="J543">
        <v>0</v>
      </c>
      <c r="K543">
        <v>0</v>
      </c>
      <c r="L543">
        <v>0</v>
      </c>
      <c r="M543">
        <v>4</v>
      </c>
      <c r="N543">
        <v>10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 x14ac:dyDescent="0.3">
      <c r="A544" t="s">
        <v>196</v>
      </c>
      <c r="B544" t="s">
        <v>215</v>
      </c>
      <c r="C544" t="s">
        <v>33</v>
      </c>
      <c r="D544">
        <v>378</v>
      </c>
      <c r="E544">
        <v>330</v>
      </c>
      <c r="F544">
        <v>6</v>
      </c>
      <c r="G544">
        <v>3</v>
      </c>
      <c r="H544">
        <v>2</v>
      </c>
      <c r="I544">
        <v>20</v>
      </c>
      <c r="J544">
        <v>0</v>
      </c>
      <c r="K544">
        <v>0</v>
      </c>
      <c r="L544">
        <v>0</v>
      </c>
      <c r="M544">
        <v>4</v>
      </c>
      <c r="N544">
        <v>10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</row>
    <row r="545" spans="1:34" x14ac:dyDescent="0.3">
      <c r="A545" t="s">
        <v>196</v>
      </c>
      <c r="B545" t="s">
        <v>215</v>
      </c>
      <c r="C545" t="s">
        <v>34</v>
      </c>
      <c r="D545">
        <v>204</v>
      </c>
      <c r="E545">
        <v>191</v>
      </c>
      <c r="F545">
        <v>2</v>
      </c>
      <c r="G545">
        <v>11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 x14ac:dyDescent="0.3">
      <c r="A546" t="s">
        <v>196</v>
      </c>
      <c r="B546" t="s">
        <v>216</v>
      </c>
      <c r="C546" t="s">
        <v>32</v>
      </c>
      <c r="D546">
        <v>497</v>
      </c>
      <c r="E546">
        <v>476</v>
      </c>
      <c r="F546">
        <v>9</v>
      </c>
      <c r="G546">
        <v>7</v>
      </c>
      <c r="H546">
        <v>0</v>
      </c>
      <c r="I546">
        <v>2</v>
      </c>
      <c r="J546">
        <v>0</v>
      </c>
      <c r="K546">
        <v>2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1:34" x14ac:dyDescent="0.3">
      <c r="A547" t="s">
        <v>196</v>
      </c>
      <c r="B547" t="s">
        <v>216</v>
      </c>
      <c r="C547" t="s">
        <v>33</v>
      </c>
      <c r="D547">
        <v>376</v>
      </c>
      <c r="E547">
        <v>362</v>
      </c>
      <c r="F547">
        <v>6</v>
      </c>
      <c r="G547">
        <v>4</v>
      </c>
      <c r="H547">
        <v>0</v>
      </c>
      <c r="I547">
        <v>2</v>
      </c>
      <c r="J547">
        <v>0</v>
      </c>
      <c r="K547">
        <v>1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</row>
    <row r="548" spans="1:34" x14ac:dyDescent="0.3">
      <c r="A548" t="s">
        <v>196</v>
      </c>
      <c r="B548" t="s">
        <v>216</v>
      </c>
      <c r="C548" t="s">
        <v>34</v>
      </c>
      <c r="D548">
        <v>121</v>
      </c>
      <c r="E548">
        <v>114</v>
      </c>
      <c r="F548">
        <v>3</v>
      </c>
      <c r="G548">
        <v>3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 x14ac:dyDescent="0.3">
      <c r="A549" t="s">
        <v>196</v>
      </c>
      <c r="B549" t="s">
        <v>217</v>
      </c>
      <c r="C549" t="s">
        <v>32</v>
      </c>
      <c r="D549">
        <v>490</v>
      </c>
      <c r="E549">
        <v>433</v>
      </c>
      <c r="F549">
        <v>21</v>
      </c>
      <c r="G549">
        <v>7</v>
      </c>
      <c r="H549">
        <v>8</v>
      </c>
      <c r="I549">
        <v>7</v>
      </c>
      <c r="J549">
        <v>2</v>
      </c>
      <c r="K549">
        <v>0</v>
      </c>
      <c r="L549">
        <v>11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</row>
    <row r="550" spans="1:34" x14ac:dyDescent="0.3">
      <c r="A550" t="s">
        <v>196</v>
      </c>
      <c r="B550" t="s">
        <v>217</v>
      </c>
      <c r="C550" t="s">
        <v>33</v>
      </c>
      <c r="D550">
        <v>396</v>
      </c>
      <c r="E550">
        <v>352</v>
      </c>
      <c r="F550">
        <v>18</v>
      </c>
      <c r="G550">
        <v>3</v>
      </c>
      <c r="H550">
        <v>2</v>
      </c>
      <c r="I550">
        <v>7</v>
      </c>
      <c r="J550">
        <v>2</v>
      </c>
      <c r="K550">
        <v>0</v>
      </c>
      <c r="L550">
        <v>11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</row>
    <row r="551" spans="1:34" x14ac:dyDescent="0.3">
      <c r="A551" t="s">
        <v>196</v>
      </c>
      <c r="B551" t="s">
        <v>217</v>
      </c>
      <c r="C551" t="s">
        <v>34</v>
      </c>
      <c r="D551">
        <v>94</v>
      </c>
      <c r="E551">
        <v>81</v>
      </c>
      <c r="F551">
        <v>3</v>
      </c>
      <c r="G551">
        <v>4</v>
      </c>
      <c r="H551">
        <v>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</row>
    <row r="552" spans="1:34" x14ac:dyDescent="0.3">
      <c r="A552" t="s">
        <v>196</v>
      </c>
      <c r="B552" t="s">
        <v>218</v>
      </c>
      <c r="C552" t="s">
        <v>32</v>
      </c>
      <c r="D552">
        <v>411</v>
      </c>
      <c r="E552">
        <v>399</v>
      </c>
      <c r="F552">
        <v>3</v>
      </c>
      <c r="G552">
        <v>3</v>
      </c>
      <c r="H552">
        <v>6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 x14ac:dyDescent="0.3">
      <c r="A553" t="s">
        <v>196</v>
      </c>
      <c r="B553" t="s">
        <v>218</v>
      </c>
      <c r="C553" t="s">
        <v>33</v>
      </c>
      <c r="D553">
        <v>335</v>
      </c>
      <c r="E553">
        <v>324</v>
      </c>
      <c r="F553">
        <v>3</v>
      </c>
      <c r="G553">
        <v>3</v>
      </c>
      <c r="H553">
        <v>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 x14ac:dyDescent="0.3">
      <c r="A554" t="s">
        <v>196</v>
      </c>
      <c r="B554" t="s">
        <v>218</v>
      </c>
      <c r="C554" t="s">
        <v>34</v>
      </c>
      <c r="D554">
        <v>76</v>
      </c>
      <c r="E554">
        <v>75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</row>
    <row r="555" spans="1:34" x14ac:dyDescent="0.3">
      <c r="A555" t="s">
        <v>196</v>
      </c>
      <c r="B555" t="s">
        <v>219</v>
      </c>
      <c r="C555" t="s">
        <v>32</v>
      </c>
      <c r="D555">
        <v>375</v>
      </c>
      <c r="E555">
        <v>102</v>
      </c>
      <c r="F555">
        <v>9</v>
      </c>
      <c r="G555">
        <v>0</v>
      </c>
      <c r="H555">
        <v>0</v>
      </c>
      <c r="I555">
        <v>132</v>
      </c>
      <c r="J555">
        <v>0</v>
      </c>
      <c r="K555">
        <v>0</v>
      </c>
      <c r="L555">
        <v>35</v>
      </c>
      <c r="M555">
        <v>35</v>
      </c>
      <c r="N555">
        <v>62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 x14ac:dyDescent="0.3">
      <c r="A556" t="s">
        <v>196</v>
      </c>
      <c r="B556" t="s">
        <v>219</v>
      </c>
      <c r="C556" t="s">
        <v>33</v>
      </c>
      <c r="D556">
        <v>342</v>
      </c>
      <c r="E556">
        <v>74</v>
      </c>
      <c r="F556">
        <v>5</v>
      </c>
      <c r="G556">
        <v>0</v>
      </c>
      <c r="H556">
        <v>0</v>
      </c>
      <c r="I556">
        <v>132</v>
      </c>
      <c r="J556">
        <v>0</v>
      </c>
      <c r="K556">
        <v>0</v>
      </c>
      <c r="L556">
        <v>35</v>
      </c>
      <c r="M556">
        <v>34</v>
      </c>
      <c r="N556">
        <v>62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 x14ac:dyDescent="0.3">
      <c r="A557" t="s">
        <v>196</v>
      </c>
      <c r="B557" t="s">
        <v>219</v>
      </c>
      <c r="C557" t="s">
        <v>34</v>
      </c>
      <c r="D557">
        <v>33</v>
      </c>
      <c r="E557">
        <v>28</v>
      </c>
      <c r="F557">
        <v>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 x14ac:dyDescent="0.3">
      <c r="A558" t="s">
        <v>196</v>
      </c>
      <c r="B558" t="s">
        <v>220</v>
      </c>
      <c r="C558" t="s">
        <v>32</v>
      </c>
      <c r="D558">
        <v>374</v>
      </c>
      <c r="E558">
        <v>329</v>
      </c>
      <c r="F558">
        <v>3</v>
      </c>
      <c r="G558">
        <v>1</v>
      </c>
      <c r="H558">
        <v>1</v>
      </c>
      <c r="I558">
        <v>33</v>
      </c>
      <c r="J558">
        <v>0</v>
      </c>
      <c r="K558">
        <v>2</v>
      </c>
      <c r="L558">
        <v>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 x14ac:dyDescent="0.3">
      <c r="A559" t="s">
        <v>196</v>
      </c>
      <c r="B559" t="s">
        <v>220</v>
      </c>
      <c r="C559" t="s">
        <v>33</v>
      </c>
      <c r="D559">
        <v>260</v>
      </c>
      <c r="E559">
        <v>220</v>
      </c>
      <c r="F559">
        <v>0</v>
      </c>
      <c r="G559">
        <v>1</v>
      </c>
      <c r="H559">
        <v>0</v>
      </c>
      <c r="I559">
        <v>33</v>
      </c>
      <c r="J559">
        <v>0</v>
      </c>
      <c r="K559">
        <v>1</v>
      </c>
      <c r="L559">
        <v>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 x14ac:dyDescent="0.3">
      <c r="A560" t="s">
        <v>196</v>
      </c>
      <c r="B560" t="s">
        <v>220</v>
      </c>
      <c r="C560" t="s">
        <v>34</v>
      </c>
      <c r="D560">
        <v>114</v>
      </c>
      <c r="E560">
        <v>109</v>
      </c>
      <c r="F560">
        <v>3</v>
      </c>
      <c r="G560">
        <v>0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</row>
    <row r="561" spans="1:34" x14ac:dyDescent="0.3">
      <c r="A561" t="s">
        <v>196</v>
      </c>
      <c r="B561" t="s">
        <v>221</v>
      </c>
      <c r="C561" t="s">
        <v>32</v>
      </c>
      <c r="D561">
        <v>336</v>
      </c>
      <c r="E561">
        <v>300</v>
      </c>
      <c r="F561">
        <v>20</v>
      </c>
      <c r="G561">
        <v>3</v>
      </c>
      <c r="H561">
        <v>0</v>
      </c>
      <c r="I561">
        <v>5</v>
      </c>
      <c r="J561">
        <v>0</v>
      </c>
      <c r="K561">
        <v>0</v>
      </c>
      <c r="L561">
        <v>3</v>
      </c>
      <c r="M561">
        <v>2</v>
      </c>
      <c r="N561">
        <v>3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 x14ac:dyDescent="0.3">
      <c r="A562" t="s">
        <v>196</v>
      </c>
      <c r="B562" t="s">
        <v>221</v>
      </c>
      <c r="C562" t="s">
        <v>33</v>
      </c>
      <c r="D562">
        <v>226</v>
      </c>
      <c r="E562">
        <v>201</v>
      </c>
      <c r="F562">
        <v>10</v>
      </c>
      <c r="G562">
        <v>2</v>
      </c>
      <c r="H562">
        <v>0</v>
      </c>
      <c r="I562">
        <v>5</v>
      </c>
      <c r="J562">
        <v>0</v>
      </c>
      <c r="K562">
        <v>0</v>
      </c>
      <c r="L562">
        <v>3</v>
      </c>
      <c r="M562">
        <v>2</v>
      </c>
      <c r="N562">
        <v>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</row>
    <row r="563" spans="1:34" x14ac:dyDescent="0.3">
      <c r="A563" t="s">
        <v>196</v>
      </c>
      <c r="B563" t="s">
        <v>221</v>
      </c>
      <c r="C563" t="s">
        <v>34</v>
      </c>
      <c r="D563">
        <v>110</v>
      </c>
      <c r="E563">
        <v>99</v>
      </c>
      <c r="F563">
        <v>10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 x14ac:dyDescent="0.3">
      <c r="A564" t="s">
        <v>196</v>
      </c>
      <c r="B564" t="s">
        <v>222</v>
      </c>
      <c r="C564" t="s">
        <v>32</v>
      </c>
      <c r="D564">
        <v>288</v>
      </c>
      <c r="E564">
        <v>205</v>
      </c>
      <c r="F564">
        <v>6</v>
      </c>
      <c r="G564">
        <v>5</v>
      </c>
      <c r="H564">
        <v>2</v>
      </c>
      <c r="I564">
        <v>35</v>
      </c>
      <c r="J564">
        <v>0</v>
      </c>
      <c r="K564">
        <v>3</v>
      </c>
      <c r="L564">
        <v>18</v>
      </c>
      <c r="M564">
        <v>6</v>
      </c>
      <c r="N564">
        <v>8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 x14ac:dyDescent="0.3">
      <c r="A565" t="s">
        <v>196</v>
      </c>
      <c r="B565" t="s">
        <v>222</v>
      </c>
      <c r="C565" t="s">
        <v>33</v>
      </c>
      <c r="D565">
        <v>187</v>
      </c>
      <c r="E565">
        <v>111</v>
      </c>
      <c r="F565">
        <v>3</v>
      </c>
      <c r="G565">
        <v>3</v>
      </c>
      <c r="H565">
        <v>2</v>
      </c>
      <c r="I565">
        <v>35</v>
      </c>
      <c r="J565">
        <v>0</v>
      </c>
      <c r="K565">
        <v>2</v>
      </c>
      <c r="L565">
        <v>18</v>
      </c>
      <c r="M565">
        <v>5</v>
      </c>
      <c r="N565">
        <v>8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 x14ac:dyDescent="0.3">
      <c r="A566" t="s">
        <v>196</v>
      </c>
      <c r="B566" t="s">
        <v>222</v>
      </c>
      <c r="C566" t="s">
        <v>34</v>
      </c>
      <c r="D566">
        <v>101</v>
      </c>
      <c r="E566">
        <v>94</v>
      </c>
      <c r="F566">
        <v>3</v>
      </c>
      <c r="G566">
        <v>2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 x14ac:dyDescent="0.3">
      <c r="A567" t="s">
        <v>196</v>
      </c>
      <c r="B567" t="s">
        <v>223</v>
      </c>
      <c r="C567" t="s">
        <v>32</v>
      </c>
      <c r="D567">
        <v>193</v>
      </c>
      <c r="E567">
        <v>150</v>
      </c>
      <c r="F567">
        <v>2</v>
      </c>
      <c r="G567">
        <v>9</v>
      </c>
      <c r="H567">
        <v>8</v>
      </c>
      <c r="I567">
        <v>17</v>
      </c>
      <c r="J567">
        <v>0</v>
      </c>
      <c r="K567">
        <v>0</v>
      </c>
      <c r="L567">
        <v>1</v>
      </c>
      <c r="M567">
        <v>3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 x14ac:dyDescent="0.3">
      <c r="A568" t="s">
        <v>196</v>
      </c>
      <c r="B568" t="s">
        <v>223</v>
      </c>
      <c r="C568" t="s">
        <v>33</v>
      </c>
      <c r="D568">
        <v>111</v>
      </c>
      <c r="E568">
        <v>80</v>
      </c>
      <c r="F568">
        <v>0</v>
      </c>
      <c r="G568">
        <v>5</v>
      </c>
      <c r="H568">
        <v>2</v>
      </c>
      <c r="I568">
        <v>17</v>
      </c>
      <c r="J568">
        <v>0</v>
      </c>
      <c r="K568">
        <v>0</v>
      </c>
      <c r="L568">
        <v>1</v>
      </c>
      <c r="M568">
        <v>3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 x14ac:dyDescent="0.3">
      <c r="A569" t="s">
        <v>196</v>
      </c>
      <c r="B569" t="s">
        <v>223</v>
      </c>
      <c r="C569" t="s">
        <v>34</v>
      </c>
      <c r="D569">
        <v>82</v>
      </c>
      <c r="E569">
        <v>70</v>
      </c>
      <c r="F569">
        <v>2</v>
      </c>
      <c r="G569">
        <v>4</v>
      </c>
      <c r="H569">
        <v>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 x14ac:dyDescent="0.3">
      <c r="A570" t="s">
        <v>196</v>
      </c>
      <c r="B570" t="s">
        <v>224</v>
      </c>
      <c r="C570" t="s">
        <v>32</v>
      </c>
      <c r="D570">
        <v>192</v>
      </c>
      <c r="E570">
        <v>168</v>
      </c>
      <c r="F570">
        <v>7</v>
      </c>
      <c r="G570">
        <v>4</v>
      </c>
      <c r="H570">
        <v>2</v>
      </c>
      <c r="I570">
        <v>7</v>
      </c>
      <c r="J570">
        <v>0</v>
      </c>
      <c r="K570">
        <v>0</v>
      </c>
      <c r="L570">
        <v>0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 x14ac:dyDescent="0.3">
      <c r="A571" t="s">
        <v>196</v>
      </c>
      <c r="B571" t="s">
        <v>224</v>
      </c>
      <c r="C571" t="s">
        <v>33</v>
      </c>
      <c r="D571">
        <v>115</v>
      </c>
      <c r="E571">
        <v>94</v>
      </c>
      <c r="F571">
        <v>6</v>
      </c>
      <c r="G571">
        <v>3</v>
      </c>
      <c r="H571">
        <v>1</v>
      </c>
      <c r="I571">
        <v>7</v>
      </c>
      <c r="J571">
        <v>0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 x14ac:dyDescent="0.3">
      <c r="A572" t="s">
        <v>196</v>
      </c>
      <c r="B572" t="s">
        <v>224</v>
      </c>
      <c r="C572" t="s">
        <v>34</v>
      </c>
      <c r="D572">
        <v>77</v>
      </c>
      <c r="E572">
        <v>74</v>
      </c>
      <c r="F572">
        <v>1</v>
      </c>
      <c r="G572">
        <v>1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 x14ac:dyDescent="0.3">
      <c r="A573" t="s">
        <v>196</v>
      </c>
      <c r="B573" t="s">
        <v>225</v>
      </c>
      <c r="C573" t="s">
        <v>32</v>
      </c>
      <c r="D573">
        <v>189</v>
      </c>
      <c r="E573">
        <v>103</v>
      </c>
      <c r="F573">
        <v>12</v>
      </c>
      <c r="G573">
        <v>3</v>
      </c>
      <c r="H573">
        <v>3</v>
      </c>
      <c r="I573">
        <v>44</v>
      </c>
      <c r="J573">
        <v>1</v>
      </c>
      <c r="K573">
        <v>0</v>
      </c>
      <c r="L573">
        <v>0</v>
      </c>
      <c r="M573">
        <v>5</v>
      </c>
      <c r="N573">
        <v>17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 x14ac:dyDescent="0.3">
      <c r="A574" t="s">
        <v>196</v>
      </c>
      <c r="B574" t="s">
        <v>225</v>
      </c>
      <c r="C574" t="s">
        <v>33</v>
      </c>
      <c r="D574">
        <v>144</v>
      </c>
      <c r="E574">
        <v>65</v>
      </c>
      <c r="F574">
        <v>9</v>
      </c>
      <c r="G574">
        <v>1</v>
      </c>
      <c r="H574">
        <v>3</v>
      </c>
      <c r="I574">
        <v>43</v>
      </c>
      <c r="J574">
        <v>0</v>
      </c>
      <c r="K574">
        <v>0</v>
      </c>
      <c r="L574">
        <v>0</v>
      </c>
      <c r="M574">
        <v>5</v>
      </c>
      <c r="N574">
        <v>17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</row>
    <row r="575" spans="1:34" x14ac:dyDescent="0.3">
      <c r="A575" t="s">
        <v>196</v>
      </c>
      <c r="B575" t="s">
        <v>225</v>
      </c>
      <c r="C575" t="s">
        <v>34</v>
      </c>
      <c r="D575">
        <v>45</v>
      </c>
      <c r="E575">
        <v>38</v>
      </c>
      <c r="F575">
        <v>3</v>
      </c>
      <c r="G575">
        <v>2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4" x14ac:dyDescent="0.3">
      <c r="A576" t="s">
        <v>196</v>
      </c>
      <c r="B576" t="s">
        <v>226</v>
      </c>
      <c r="C576" t="s">
        <v>32</v>
      </c>
      <c r="D576">
        <v>188</v>
      </c>
      <c r="E576">
        <v>174</v>
      </c>
      <c r="F576">
        <v>10</v>
      </c>
      <c r="G576">
        <v>3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 x14ac:dyDescent="0.3">
      <c r="A577" t="s">
        <v>196</v>
      </c>
      <c r="B577" t="s">
        <v>226</v>
      </c>
      <c r="C577" t="s">
        <v>33</v>
      </c>
      <c r="D577">
        <v>102</v>
      </c>
      <c r="E577">
        <v>91</v>
      </c>
      <c r="F577">
        <v>8</v>
      </c>
      <c r="G577">
        <v>2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 x14ac:dyDescent="0.3">
      <c r="A578" t="s">
        <v>196</v>
      </c>
      <c r="B578" t="s">
        <v>226</v>
      </c>
      <c r="C578" t="s">
        <v>34</v>
      </c>
      <c r="D578">
        <v>86</v>
      </c>
      <c r="E578">
        <v>83</v>
      </c>
      <c r="F578">
        <v>2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x14ac:dyDescent="0.3">
      <c r="A579" t="s">
        <v>196</v>
      </c>
      <c r="B579" t="s">
        <v>227</v>
      </c>
      <c r="C579" t="s">
        <v>32</v>
      </c>
      <c r="D579">
        <v>173</v>
      </c>
      <c r="E579">
        <v>162</v>
      </c>
      <c r="F579">
        <v>4</v>
      </c>
      <c r="G579">
        <v>2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 x14ac:dyDescent="0.3">
      <c r="A580" t="s">
        <v>196</v>
      </c>
      <c r="B580" t="s">
        <v>227</v>
      </c>
      <c r="C580" t="s">
        <v>33</v>
      </c>
      <c r="D580">
        <v>130</v>
      </c>
      <c r="E580">
        <v>121</v>
      </c>
      <c r="F580">
        <v>3</v>
      </c>
      <c r="G580">
        <v>1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 x14ac:dyDescent="0.3">
      <c r="A581" t="s">
        <v>196</v>
      </c>
      <c r="B581" t="s">
        <v>227</v>
      </c>
      <c r="C581" t="s">
        <v>34</v>
      </c>
      <c r="D581">
        <v>43</v>
      </c>
      <c r="E581">
        <v>41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 x14ac:dyDescent="0.3">
      <c r="A582" t="s">
        <v>196</v>
      </c>
      <c r="B582" t="s">
        <v>228</v>
      </c>
      <c r="C582" t="s">
        <v>32</v>
      </c>
      <c r="D582">
        <v>172</v>
      </c>
      <c r="E582">
        <v>163</v>
      </c>
      <c r="F582">
        <v>1</v>
      </c>
      <c r="G582">
        <v>2</v>
      </c>
      <c r="H582">
        <v>1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4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 x14ac:dyDescent="0.3">
      <c r="A583" t="s">
        <v>196</v>
      </c>
      <c r="B583" t="s">
        <v>228</v>
      </c>
      <c r="C583" t="s">
        <v>33</v>
      </c>
      <c r="D583">
        <v>108</v>
      </c>
      <c r="E583">
        <v>103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4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 x14ac:dyDescent="0.3">
      <c r="A584" t="s">
        <v>196</v>
      </c>
      <c r="B584" t="s">
        <v>228</v>
      </c>
      <c r="C584" t="s">
        <v>34</v>
      </c>
      <c r="D584">
        <v>64</v>
      </c>
      <c r="E584">
        <v>60</v>
      </c>
      <c r="F584">
        <v>1</v>
      </c>
      <c r="G584">
        <v>2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 x14ac:dyDescent="0.3">
      <c r="A585" t="s">
        <v>196</v>
      </c>
      <c r="B585" t="s">
        <v>229</v>
      </c>
      <c r="C585" t="s">
        <v>32</v>
      </c>
      <c r="D585">
        <v>172</v>
      </c>
      <c r="E585">
        <v>150</v>
      </c>
      <c r="F585">
        <v>3</v>
      </c>
      <c r="G585">
        <v>1</v>
      </c>
      <c r="H585">
        <v>0</v>
      </c>
      <c r="I585">
        <v>5</v>
      </c>
      <c r="J585">
        <v>0</v>
      </c>
      <c r="K585">
        <v>0</v>
      </c>
      <c r="L585">
        <v>10</v>
      </c>
      <c r="M585">
        <v>0</v>
      </c>
      <c r="N585">
        <v>0</v>
      </c>
      <c r="O585">
        <v>0</v>
      </c>
      <c r="P585">
        <v>0</v>
      </c>
      <c r="Q585">
        <v>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 x14ac:dyDescent="0.3">
      <c r="A586" t="s">
        <v>196</v>
      </c>
      <c r="B586" t="s">
        <v>229</v>
      </c>
      <c r="C586" t="s">
        <v>33</v>
      </c>
      <c r="D586">
        <v>144</v>
      </c>
      <c r="E586">
        <v>122</v>
      </c>
      <c r="F586">
        <v>3</v>
      </c>
      <c r="G586">
        <v>1</v>
      </c>
      <c r="H586">
        <v>0</v>
      </c>
      <c r="I586">
        <v>5</v>
      </c>
      <c r="J586">
        <v>0</v>
      </c>
      <c r="K586">
        <v>0</v>
      </c>
      <c r="L586">
        <v>10</v>
      </c>
      <c r="M586">
        <v>0</v>
      </c>
      <c r="N586">
        <v>0</v>
      </c>
      <c r="O586">
        <v>0</v>
      </c>
      <c r="P586">
        <v>0</v>
      </c>
      <c r="Q586">
        <v>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</row>
    <row r="587" spans="1:34" x14ac:dyDescent="0.3">
      <c r="A587" t="s">
        <v>196</v>
      </c>
      <c r="B587" t="s">
        <v>229</v>
      </c>
      <c r="C587" t="s">
        <v>34</v>
      </c>
      <c r="D587">
        <v>28</v>
      </c>
      <c r="E587">
        <v>28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 x14ac:dyDescent="0.3">
      <c r="A588" t="s">
        <v>196</v>
      </c>
      <c r="B588" t="s">
        <v>230</v>
      </c>
      <c r="C588" t="s">
        <v>32</v>
      </c>
      <c r="D588">
        <v>163</v>
      </c>
      <c r="E588">
        <v>159</v>
      </c>
      <c r="F588">
        <v>2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 x14ac:dyDescent="0.3">
      <c r="A589" t="s">
        <v>196</v>
      </c>
      <c r="B589" t="s">
        <v>230</v>
      </c>
      <c r="C589" t="s">
        <v>33</v>
      </c>
      <c r="D589">
        <v>141</v>
      </c>
      <c r="E589">
        <v>137</v>
      </c>
      <c r="F589">
        <v>2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 x14ac:dyDescent="0.3">
      <c r="A590" t="s">
        <v>196</v>
      </c>
      <c r="B590" t="s">
        <v>230</v>
      </c>
      <c r="C590" t="s">
        <v>34</v>
      </c>
      <c r="D590">
        <v>22</v>
      </c>
      <c r="E590">
        <v>22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1" spans="1:34" x14ac:dyDescent="0.3">
      <c r="A591" t="s">
        <v>196</v>
      </c>
      <c r="B591" t="s">
        <v>231</v>
      </c>
      <c r="C591" t="s">
        <v>32</v>
      </c>
      <c r="D591">
        <v>141</v>
      </c>
      <c r="E591">
        <v>133</v>
      </c>
      <c r="F591">
        <v>2</v>
      </c>
      <c r="G591">
        <v>5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</row>
    <row r="592" spans="1:34" x14ac:dyDescent="0.3">
      <c r="A592" t="s">
        <v>196</v>
      </c>
      <c r="B592" t="s">
        <v>231</v>
      </c>
      <c r="C592" t="s">
        <v>33</v>
      </c>
      <c r="D592">
        <v>92</v>
      </c>
      <c r="E592">
        <v>84</v>
      </c>
      <c r="F592">
        <v>2</v>
      </c>
      <c r="G592">
        <v>5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</row>
    <row r="593" spans="1:34" x14ac:dyDescent="0.3">
      <c r="A593" t="s">
        <v>196</v>
      </c>
      <c r="B593" t="s">
        <v>231</v>
      </c>
      <c r="C593" t="s">
        <v>34</v>
      </c>
      <c r="D593">
        <v>49</v>
      </c>
      <c r="E593">
        <v>49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</row>
    <row r="594" spans="1:34" x14ac:dyDescent="0.3">
      <c r="A594" t="s">
        <v>196</v>
      </c>
      <c r="B594" t="s">
        <v>232</v>
      </c>
      <c r="C594" t="s">
        <v>32</v>
      </c>
      <c r="D594">
        <v>140</v>
      </c>
      <c r="E594">
        <v>128</v>
      </c>
      <c r="F594">
        <v>8</v>
      </c>
      <c r="G594">
        <v>0</v>
      </c>
      <c r="H594">
        <v>0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</row>
    <row r="595" spans="1:34" x14ac:dyDescent="0.3">
      <c r="A595" t="s">
        <v>196</v>
      </c>
      <c r="B595" t="s">
        <v>232</v>
      </c>
      <c r="C595" t="s">
        <v>33</v>
      </c>
      <c r="D595">
        <v>71</v>
      </c>
      <c r="E595">
        <v>64</v>
      </c>
      <c r="F595">
        <v>3</v>
      </c>
      <c r="G595">
        <v>0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 x14ac:dyDescent="0.3">
      <c r="A596" t="s">
        <v>196</v>
      </c>
      <c r="B596" t="s">
        <v>232</v>
      </c>
      <c r="C596" t="s">
        <v>34</v>
      </c>
      <c r="D596">
        <v>69</v>
      </c>
      <c r="E596">
        <v>64</v>
      </c>
      <c r="F596">
        <v>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</row>
    <row r="597" spans="1:34" x14ac:dyDescent="0.3">
      <c r="A597" t="s">
        <v>196</v>
      </c>
      <c r="B597" t="s">
        <v>233</v>
      </c>
      <c r="C597" t="s">
        <v>32</v>
      </c>
      <c r="D597">
        <v>134</v>
      </c>
      <c r="E597">
        <v>127</v>
      </c>
      <c r="F597">
        <v>0</v>
      </c>
      <c r="G597">
        <v>4</v>
      </c>
      <c r="H597">
        <v>1</v>
      </c>
      <c r="I597">
        <v>0</v>
      </c>
      <c r="J597">
        <v>0</v>
      </c>
      <c r="K597">
        <v>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</row>
    <row r="598" spans="1:34" x14ac:dyDescent="0.3">
      <c r="A598" t="s">
        <v>196</v>
      </c>
      <c r="B598" t="s">
        <v>233</v>
      </c>
      <c r="C598" t="s">
        <v>33</v>
      </c>
      <c r="D598">
        <v>95</v>
      </c>
      <c r="E598">
        <v>90</v>
      </c>
      <c r="F598">
        <v>0</v>
      </c>
      <c r="G598">
        <v>3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 x14ac:dyDescent="0.3">
      <c r="A599" t="s">
        <v>196</v>
      </c>
      <c r="B599" t="s">
        <v>233</v>
      </c>
      <c r="C599" t="s">
        <v>34</v>
      </c>
      <c r="D599">
        <v>39</v>
      </c>
      <c r="E599">
        <v>37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 x14ac:dyDescent="0.3">
      <c r="A600" t="s">
        <v>196</v>
      </c>
      <c r="B600" t="s">
        <v>234</v>
      </c>
      <c r="C600" t="s">
        <v>32</v>
      </c>
      <c r="D600">
        <v>127</v>
      </c>
      <c r="E600">
        <v>124</v>
      </c>
      <c r="F600">
        <v>0</v>
      </c>
      <c r="G600">
        <v>1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</row>
    <row r="601" spans="1:34" x14ac:dyDescent="0.3">
      <c r="A601" t="s">
        <v>196</v>
      </c>
      <c r="B601" t="s">
        <v>234</v>
      </c>
      <c r="C601" t="s">
        <v>33</v>
      </c>
      <c r="D601">
        <v>88</v>
      </c>
      <c r="E601">
        <v>85</v>
      </c>
      <c r="F601">
        <v>0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</row>
    <row r="602" spans="1:34" x14ac:dyDescent="0.3">
      <c r="A602" t="s">
        <v>196</v>
      </c>
      <c r="B602" t="s">
        <v>234</v>
      </c>
      <c r="C602" t="s">
        <v>34</v>
      </c>
      <c r="D602">
        <v>39</v>
      </c>
      <c r="E602">
        <v>39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 x14ac:dyDescent="0.3">
      <c r="A603" t="s">
        <v>196</v>
      </c>
      <c r="B603" t="s">
        <v>235</v>
      </c>
      <c r="C603" t="s">
        <v>32</v>
      </c>
      <c r="D603">
        <v>111</v>
      </c>
      <c r="E603">
        <v>99</v>
      </c>
      <c r="F603">
        <v>7</v>
      </c>
      <c r="G603">
        <v>1</v>
      </c>
      <c r="H603">
        <v>0</v>
      </c>
      <c r="I603">
        <v>2</v>
      </c>
      <c r="J603">
        <v>0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 x14ac:dyDescent="0.3">
      <c r="A604" t="s">
        <v>196</v>
      </c>
      <c r="B604" t="s">
        <v>235</v>
      </c>
      <c r="C604" t="s">
        <v>33</v>
      </c>
      <c r="D604">
        <v>69</v>
      </c>
      <c r="E604">
        <v>61</v>
      </c>
      <c r="F604">
        <v>5</v>
      </c>
      <c r="G604">
        <v>1</v>
      </c>
      <c r="H604">
        <v>0</v>
      </c>
      <c r="I604">
        <v>1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4" x14ac:dyDescent="0.3">
      <c r="A605" t="s">
        <v>196</v>
      </c>
      <c r="B605" t="s">
        <v>235</v>
      </c>
      <c r="C605" t="s">
        <v>34</v>
      </c>
      <c r="D605">
        <v>42</v>
      </c>
      <c r="E605">
        <v>38</v>
      </c>
      <c r="F605">
        <v>2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</row>
    <row r="606" spans="1:34" x14ac:dyDescent="0.3">
      <c r="A606" t="s">
        <v>196</v>
      </c>
      <c r="B606" t="s">
        <v>236</v>
      </c>
      <c r="C606" t="s">
        <v>32</v>
      </c>
      <c r="D606">
        <v>105</v>
      </c>
      <c r="E606">
        <v>48</v>
      </c>
      <c r="F606">
        <v>3</v>
      </c>
      <c r="G606">
        <v>4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49</v>
      </c>
      <c r="AH606">
        <v>0</v>
      </c>
    </row>
    <row r="607" spans="1:34" x14ac:dyDescent="0.3">
      <c r="A607" t="s">
        <v>196</v>
      </c>
      <c r="B607" t="s">
        <v>236</v>
      </c>
      <c r="C607" t="s">
        <v>33</v>
      </c>
      <c r="D607">
        <v>87</v>
      </c>
      <c r="E607">
        <v>37</v>
      </c>
      <c r="F607">
        <v>2</v>
      </c>
      <c r="G607">
        <v>2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45</v>
      </c>
      <c r="AH607">
        <v>0</v>
      </c>
    </row>
    <row r="608" spans="1:34" x14ac:dyDescent="0.3">
      <c r="A608" t="s">
        <v>196</v>
      </c>
      <c r="B608" t="s">
        <v>236</v>
      </c>
      <c r="C608" t="s">
        <v>34</v>
      </c>
      <c r="D608">
        <v>18</v>
      </c>
      <c r="E608">
        <v>11</v>
      </c>
      <c r="F608">
        <v>1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4</v>
      </c>
      <c r="AH608">
        <v>0</v>
      </c>
    </row>
    <row r="609" spans="1:34" x14ac:dyDescent="0.3">
      <c r="A609" t="s">
        <v>196</v>
      </c>
      <c r="B609" t="s">
        <v>237</v>
      </c>
      <c r="C609" t="s">
        <v>32</v>
      </c>
      <c r="D609">
        <v>100</v>
      </c>
      <c r="E609">
        <v>36</v>
      </c>
      <c r="F609">
        <v>1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62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 x14ac:dyDescent="0.3">
      <c r="A610" t="s">
        <v>196</v>
      </c>
      <c r="B610" t="s">
        <v>237</v>
      </c>
      <c r="C610" t="s">
        <v>33</v>
      </c>
      <c r="D610">
        <v>89</v>
      </c>
      <c r="E610">
        <v>26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62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</row>
    <row r="611" spans="1:34" x14ac:dyDescent="0.3">
      <c r="A611" t="s">
        <v>196</v>
      </c>
      <c r="B611" t="s">
        <v>237</v>
      </c>
      <c r="C611" t="s">
        <v>34</v>
      </c>
      <c r="D611">
        <v>11</v>
      </c>
      <c r="E611">
        <v>10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</row>
    <row r="612" spans="1:34" x14ac:dyDescent="0.3">
      <c r="A612" t="s">
        <v>196</v>
      </c>
      <c r="B612" t="s">
        <v>238</v>
      </c>
      <c r="C612" t="s">
        <v>32</v>
      </c>
      <c r="D612">
        <v>75</v>
      </c>
      <c r="E612">
        <v>67</v>
      </c>
      <c r="F612">
        <v>4</v>
      </c>
      <c r="G612">
        <v>1</v>
      </c>
      <c r="H612">
        <v>3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 x14ac:dyDescent="0.3">
      <c r="A613" t="s">
        <v>196</v>
      </c>
      <c r="B613" t="s">
        <v>238</v>
      </c>
      <c r="C613" t="s">
        <v>33</v>
      </c>
      <c r="D613">
        <v>50</v>
      </c>
      <c r="E613">
        <v>46</v>
      </c>
      <c r="F613">
        <v>0</v>
      </c>
      <c r="G613">
        <v>1</v>
      </c>
      <c r="H613">
        <v>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 x14ac:dyDescent="0.3">
      <c r="A614" t="s">
        <v>196</v>
      </c>
      <c r="B614" t="s">
        <v>238</v>
      </c>
      <c r="C614" t="s">
        <v>34</v>
      </c>
      <c r="D614">
        <v>25</v>
      </c>
      <c r="E614">
        <v>21</v>
      </c>
      <c r="F614">
        <v>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4" x14ac:dyDescent="0.3">
      <c r="A615" t="s">
        <v>196</v>
      </c>
      <c r="B615" t="s">
        <v>239</v>
      </c>
      <c r="C615" t="s">
        <v>32</v>
      </c>
      <c r="D615">
        <v>73</v>
      </c>
      <c r="E615">
        <v>62</v>
      </c>
      <c r="F615">
        <v>4</v>
      </c>
      <c r="G615">
        <v>3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 x14ac:dyDescent="0.3">
      <c r="A616" t="s">
        <v>196</v>
      </c>
      <c r="B616" t="s">
        <v>239</v>
      </c>
      <c r="C616" t="s">
        <v>33</v>
      </c>
      <c r="D616">
        <v>56</v>
      </c>
      <c r="E616">
        <v>49</v>
      </c>
      <c r="F616">
        <v>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3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</row>
    <row r="617" spans="1:34" x14ac:dyDescent="0.3">
      <c r="A617" t="s">
        <v>196</v>
      </c>
      <c r="B617" t="s">
        <v>239</v>
      </c>
      <c r="C617" t="s">
        <v>34</v>
      </c>
      <c r="D617">
        <v>17</v>
      </c>
      <c r="E617">
        <v>13</v>
      </c>
      <c r="F617">
        <v>0</v>
      </c>
      <c r="G617">
        <v>3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</row>
    <row r="618" spans="1:34" x14ac:dyDescent="0.3">
      <c r="A618" t="s">
        <v>196</v>
      </c>
      <c r="B618" t="s">
        <v>240</v>
      </c>
      <c r="C618" t="s">
        <v>32</v>
      </c>
      <c r="D618">
        <v>62</v>
      </c>
      <c r="E618">
        <v>52</v>
      </c>
      <c r="F618">
        <v>3</v>
      </c>
      <c r="G618">
        <v>1</v>
      </c>
      <c r="H618">
        <v>0</v>
      </c>
      <c r="I618">
        <v>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 x14ac:dyDescent="0.3">
      <c r="A619" t="s">
        <v>196</v>
      </c>
      <c r="B619" t="s">
        <v>240</v>
      </c>
      <c r="C619" t="s">
        <v>33</v>
      </c>
      <c r="D619">
        <v>40</v>
      </c>
      <c r="E619">
        <v>33</v>
      </c>
      <c r="F619">
        <v>1</v>
      </c>
      <c r="G619">
        <v>1</v>
      </c>
      <c r="H619">
        <v>0</v>
      </c>
      <c r="I619">
        <v>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 x14ac:dyDescent="0.3">
      <c r="A620" t="s">
        <v>196</v>
      </c>
      <c r="B620" t="s">
        <v>240</v>
      </c>
      <c r="C620" t="s">
        <v>34</v>
      </c>
      <c r="D620">
        <v>22</v>
      </c>
      <c r="E620">
        <v>19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</row>
    <row r="621" spans="1:34" x14ac:dyDescent="0.3">
      <c r="A621" t="s">
        <v>196</v>
      </c>
      <c r="B621" t="s">
        <v>241</v>
      </c>
      <c r="C621" t="s">
        <v>32</v>
      </c>
      <c r="D621">
        <v>53</v>
      </c>
      <c r="E621">
        <v>50</v>
      </c>
      <c r="F621">
        <v>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 spans="1:34" x14ac:dyDescent="0.3">
      <c r="A622" t="s">
        <v>196</v>
      </c>
      <c r="B622" t="s">
        <v>241</v>
      </c>
      <c r="C622" t="s">
        <v>33</v>
      </c>
      <c r="D622">
        <v>38</v>
      </c>
      <c r="E622">
        <v>36</v>
      </c>
      <c r="F622">
        <v>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</row>
    <row r="623" spans="1:34" x14ac:dyDescent="0.3">
      <c r="A623" t="s">
        <v>196</v>
      </c>
      <c r="B623" t="s">
        <v>241</v>
      </c>
      <c r="C623" t="s">
        <v>34</v>
      </c>
      <c r="D623">
        <v>15</v>
      </c>
      <c r="E623">
        <v>14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</row>
    <row r="624" spans="1:34" x14ac:dyDescent="0.3">
      <c r="A624" t="s">
        <v>196</v>
      </c>
      <c r="B624" t="s">
        <v>242</v>
      </c>
      <c r="C624" t="s">
        <v>32</v>
      </c>
      <c r="D624">
        <v>52</v>
      </c>
      <c r="E624">
        <v>46</v>
      </c>
      <c r="F624">
        <v>2</v>
      </c>
      <c r="G624">
        <v>1</v>
      </c>
      <c r="H624">
        <v>3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</row>
    <row r="625" spans="1:34" x14ac:dyDescent="0.3">
      <c r="A625" t="s">
        <v>196</v>
      </c>
      <c r="B625" t="s">
        <v>242</v>
      </c>
      <c r="C625" t="s">
        <v>33</v>
      </c>
      <c r="D625">
        <v>32</v>
      </c>
      <c r="E625">
        <v>29</v>
      </c>
      <c r="F625">
        <v>2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 x14ac:dyDescent="0.3">
      <c r="A626" t="s">
        <v>196</v>
      </c>
      <c r="B626" t="s">
        <v>242</v>
      </c>
      <c r="C626" t="s">
        <v>34</v>
      </c>
      <c r="D626">
        <v>20</v>
      </c>
      <c r="E626">
        <v>17</v>
      </c>
      <c r="F626">
        <v>0</v>
      </c>
      <c r="G626">
        <v>1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 spans="1:34" x14ac:dyDescent="0.3">
      <c r="A627" t="s">
        <v>196</v>
      </c>
      <c r="B627" t="s">
        <v>243</v>
      </c>
      <c r="C627" t="s">
        <v>32</v>
      </c>
      <c r="D627">
        <v>43</v>
      </c>
      <c r="E627">
        <v>39</v>
      </c>
      <c r="F627">
        <v>0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</row>
    <row r="628" spans="1:34" x14ac:dyDescent="0.3">
      <c r="A628" t="s">
        <v>196</v>
      </c>
      <c r="B628" t="s">
        <v>243</v>
      </c>
      <c r="C628" t="s">
        <v>33</v>
      </c>
      <c r="D628">
        <v>31</v>
      </c>
      <c r="E628">
        <v>27</v>
      </c>
      <c r="F628">
        <v>0</v>
      </c>
      <c r="G628">
        <v>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 x14ac:dyDescent="0.3">
      <c r="A629" t="s">
        <v>196</v>
      </c>
      <c r="B629" t="s">
        <v>243</v>
      </c>
      <c r="C629" t="s">
        <v>34</v>
      </c>
      <c r="D629">
        <v>12</v>
      </c>
      <c r="E629">
        <v>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 x14ac:dyDescent="0.3">
      <c r="A630" t="s">
        <v>196</v>
      </c>
      <c r="B630" t="s">
        <v>244</v>
      </c>
      <c r="C630" t="s">
        <v>32</v>
      </c>
      <c r="D630">
        <v>39</v>
      </c>
      <c r="E630">
        <v>39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</row>
    <row r="631" spans="1:34" x14ac:dyDescent="0.3">
      <c r="A631" t="s">
        <v>196</v>
      </c>
      <c r="B631" t="s">
        <v>244</v>
      </c>
      <c r="C631" t="s">
        <v>33</v>
      </c>
      <c r="D631">
        <v>32</v>
      </c>
      <c r="E631">
        <v>32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 x14ac:dyDescent="0.3">
      <c r="A632" t="s">
        <v>196</v>
      </c>
      <c r="B632" t="s">
        <v>244</v>
      </c>
      <c r="C632" t="s">
        <v>34</v>
      </c>
      <c r="D632">
        <v>7</v>
      </c>
      <c r="E632">
        <v>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</row>
    <row r="633" spans="1:34" x14ac:dyDescent="0.3">
      <c r="A633" t="s">
        <v>196</v>
      </c>
      <c r="B633" t="s">
        <v>245</v>
      </c>
      <c r="C633" t="s">
        <v>32</v>
      </c>
      <c r="D633">
        <v>36</v>
      </c>
      <c r="E633">
        <v>35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 x14ac:dyDescent="0.3">
      <c r="A634" t="s">
        <v>196</v>
      </c>
      <c r="B634" t="s">
        <v>245</v>
      </c>
      <c r="C634" t="s">
        <v>33</v>
      </c>
      <c r="D634">
        <v>23</v>
      </c>
      <c r="E634">
        <v>23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 x14ac:dyDescent="0.3">
      <c r="A635" t="s">
        <v>196</v>
      </c>
      <c r="B635" t="s">
        <v>245</v>
      </c>
      <c r="C635" t="s">
        <v>34</v>
      </c>
      <c r="D635">
        <v>13</v>
      </c>
      <c r="E635">
        <v>12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 x14ac:dyDescent="0.3">
      <c r="A636" t="s">
        <v>196</v>
      </c>
      <c r="B636" t="s">
        <v>246</v>
      </c>
      <c r="C636" t="s">
        <v>32</v>
      </c>
      <c r="D636">
        <v>31</v>
      </c>
      <c r="E636">
        <v>26</v>
      </c>
      <c r="F636">
        <v>4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 x14ac:dyDescent="0.3">
      <c r="A637" t="s">
        <v>196</v>
      </c>
      <c r="B637" t="s">
        <v>246</v>
      </c>
      <c r="C637" t="s">
        <v>33</v>
      </c>
      <c r="D637">
        <v>21</v>
      </c>
      <c r="E637">
        <v>18</v>
      </c>
      <c r="F637">
        <v>2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 x14ac:dyDescent="0.3">
      <c r="A638" t="s">
        <v>196</v>
      </c>
      <c r="B638" t="s">
        <v>246</v>
      </c>
      <c r="C638" t="s">
        <v>34</v>
      </c>
      <c r="D638">
        <v>10</v>
      </c>
      <c r="E638">
        <v>8</v>
      </c>
      <c r="F638">
        <v>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 x14ac:dyDescent="0.3">
      <c r="A639" t="s">
        <v>196</v>
      </c>
      <c r="B639" t="s">
        <v>247</v>
      </c>
      <c r="C639" t="s">
        <v>32</v>
      </c>
      <c r="D639">
        <v>24</v>
      </c>
      <c r="E639">
        <v>23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 x14ac:dyDescent="0.3">
      <c r="A640" t="s">
        <v>196</v>
      </c>
      <c r="B640" t="s">
        <v>247</v>
      </c>
      <c r="C640" t="s">
        <v>33</v>
      </c>
      <c r="D640">
        <v>14</v>
      </c>
      <c r="E640">
        <v>13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</row>
    <row r="641" spans="1:34" x14ac:dyDescent="0.3">
      <c r="A641" t="s">
        <v>196</v>
      </c>
      <c r="B641" t="s">
        <v>247</v>
      </c>
      <c r="C641" t="s">
        <v>34</v>
      </c>
      <c r="D641">
        <v>10</v>
      </c>
      <c r="E641">
        <v>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 x14ac:dyDescent="0.3">
      <c r="A642" t="s">
        <v>196</v>
      </c>
      <c r="B642" t="s">
        <v>248</v>
      </c>
      <c r="C642" t="s">
        <v>32</v>
      </c>
      <c r="D642">
        <v>18</v>
      </c>
      <c r="E642">
        <v>15</v>
      </c>
      <c r="F642">
        <v>2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</row>
    <row r="643" spans="1:34" x14ac:dyDescent="0.3">
      <c r="A643" t="s">
        <v>196</v>
      </c>
      <c r="B643" t="s">
        <v>248</v>
      </c>
      <c r="C643" t="s">
        <v>33</v>
      </c>
      <c r="D643">
        <v>11</v>
      </c>
      <c r="E643">
        <v>9</v>
      </c>
      <c r="F643">
        <v>1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 x14ac:dyDescent="0.3">
      <c r="A644" t="s">
        <v>196</v>
      </c>
      <c r="B644" t="s">
        <v>248</v>
      </c>
      <c r="C644" t="s">
        <v>34</v>
      </c>
      <c r="D644">
        <v>7</v>
      </c>
      <c r="E644">
        <v>6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 spans="1:34" x14ac:dyDescent="0.3">
      <c r="A645" t="s">
        <v>196</v>
      </c>
      <c r="B645" t="s">
        <v>249</v>
      </c>
      <c r="C645" t="s">
        <v>32</v>
      </c>
      <c r="D645">
        <v>15</v>
      </c>
      <c r="E645">
        <v>13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 x14ac:dyDescent="0.3">
      <c r="A646" t="s">
        <v>196</v>
      </c>
      <c r="B646" t="s">
        <v>249</v>
      </c>
      <c r="C646" t="s">
        <v>33</v>
      </c>
      <c r="D646">
        <v>8</v>
      </c>
      <c r="E646">
        <v>6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</row>
    <row r="647" spans="1:34" x14ac:dyDescent="0.3">
      <c r="A647" t="s">
        <v>196</v>
      </c>
      <c r="B647" t="s">
        <v>249</v>
      </c>
      <c r="C647" t="s">
        <v>34</v>
      </c>
      <c r="D647">
        <v>7</v>
      </c>
      <c r="E647">
        <v>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</row>
    <row r="648" spans="1:34" x14ac:dyDescent="0.3">
      <c r="A648" t="s">
        <v>196</v>
      </c>
      <c r="B648" t="s">
        <v>250</v>
      </c>
      <c r="C648" t="s">
        <v>32</v>
      </c>
      <c r="D648">
        <v>11</v>
      </c>
      <c r="E648">
        <v>11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 x14ac:dyDescent="0.3">
      <c r="A649" t="s">
        <v>196</v>
      </c>
      <c r="B649" t="s">
        <v>250</v>
      </c>
      <c r="C649" t="s">
        <v>33</v>
      </c>
      <c r="D649">
        <v>6</v>
      </c>
      <c r="E649">
        <v>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 x14ac:dyDescent="0.3">
      <c r="A650" t="s">
        <v>196</v>
      </c>
      <c r="B650" t="s">
        <v>250</v>
      </c>
      <c r="C650" t="s">
        <v>34</v>
      </c>
      <c r="D650">
        <v>5</v>
      </c>
      <c r="E650">
        <v>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 x14ac:dyDescent="0.3">
      <c r="A651" s="4" t="s">
        <v>251</v>
      </c>
      <c r="B651" s="4"/>
      <c r="C651" t="s">
        <v>32</v>
      </c>
      <c r="D651" s="1">
        <v>1449</v>
      </c>
      <c r="E651" s="1">
        <v>1195</v>
      </c>
      <c r="F651">
        <v>81</v>
      </c>
      <c r="G651">
        <v>49</v>
      </c>
      <c r="H651">
        <v>13</v>
      </c>
      <c r="I651">
        <v>15</v>
      </c>
      <c r="J651">
        <v>0</v>
      </c>
      <c r="K651">
        <v>0</v>
      </c>
      <c r="L651">
        <v>0</v>
      </c>
      <c r="M651">
        <v>2</v>
      </c>
      <c r="N651">
        <v>4</v>
      </c>
      <c r="O651">
        <v>2</v>
      </c>
      <c r="P651">
        <v>48</v>
      </c>
      <c r="Q651">
        <v>0</v>
      </c>
      <c r="R651">
        <v>0</v>
      </c>
      <c r="S651">
        <v>27</v>
      </c>
      <c r="T651">
        <v>0</v>
      </c>
      <c r="U651">
        <v>5</v>
      </c>
      <c r="V651">
        <v>0</v>
      </c>
      <c r="W651">
        <v>0</v>
      </c>
      <c r="X651">
        <v>4</v>
      </c>
      <c r="Y651">
        <v>4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 x14ac:dyDescent="0.3">
      <c r="A652" s="4"/>
      <c r="B652" s="4"/>
      <c r="C652" t="s">
        <v>33</v>
      </c>
      <c r="D652" s="1">
        <v>865</v>
      </c>
      <c r="E652" s="1">
        <v>674</v>
      </c>
      <c r="F652" s="1">
        <v>52</v>
      </c>
      <c r="G652" s="1">
        <v>26</v>
      </c>
      <c r="H652" s="1">
        <v>7</v>
      </c>
      <c r="I652" s="1">
        <v>14</v>
      </c>
      <c r="J652" s="1">
        <v>0</v>
      </c>
      <c r="K652" s="1">
        <v>0</v>
      </c>
      <c r="L652" s="1">
        <v>0</v>
      </c>
      <c r="M652" s="1">
        <v>2</v>
      </c>
      <c r="N652" s="1">
        <v>0</v>
      </c>
      <c r="O652" s="1">
        <v>2</v>
      </c>
      <c r="P652" s="1">
        <v>48</v>
      </c>
      <c r="Q652" s="1">
        <v>0</v>
      </c>
      <c r="R652" s="1">
        <v>0</v>
      </c>
      <c r="S652" s="1">
        <v>27</v>
      </c>
      <c r="T652" s="1">
        <v>0</v>
      </c>
      <c r="U652" s="1">
        <v>5</v>
      </c>
      <c r="V652" s="1">
        <v>0</v>
      </c>
      <c r="W652" s="1">
        <v>0</v>
      </c>
      <c r="X652" s="1">
        <v>4</v>
      </c>
      <c r="Y652" s="1">
        <v>4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</row>
    <row r="653" spans="1:34" x14ac:dyDescent="0.3">
      <c r="A653" s="4"/>
      <c r="B653" s="4"/>
      <c r="C653" t="s">
        <v>34</v>
      </c>
      <c r="D653" s="1">
        <v>584</v>
      </c>
      <c r="E653" s="1">
        <v>521</v>
      </c>
      <c r="F653" s="1">
        <v>29</v>
      </c>
      <c r="G653" s="1">
        <v>23</v>
      </c>
      <c r="H653" s="1">
        <v>6</v>
      </c>
      <c r="I653" s="1">
        <v>1</v>
      </c>
      <c r="J653" s="1">
        <v>0</v>
      </c>
      <c r="K653" s="1">
        <v>0</v>
      </c>
      <c r="L653" s="1">
        <v>0</v>
      </c>
      <c r="M653" s="1">
        <v>0</v>
      </c>
      <c r="N653" s="1">
        <v>4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</row>
  </sheetData>
  <mergeCells count="4">
    <mergeCell ref="A2:B5"/>
    <mergeCell ref="A6:B8"/>
    <mergeCell ref="A9:B12"/>
    <mergeCell ref="A651:B653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2026-02-27T09:04:07Z</dcterms:created>
  <dcterms:modified xsi:type="dcterms:W3CDTF">2026-03-04T10:24:09Z</dcterms:modified>
</cp:coreProperties>
</file>